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AAE8BA33-22C6-4524-BB96-132926D99E6B}" xr6:coauthVersionLast="47" xr6:coauthVersionMax="47" xr10:uidLastSave="{00000000-0000-0000-0000-000000000000}"/>
  <bookViews>
    <workbookView xWindow="-108" yWindow="-108" windowWidth="23256" windowHeight="12456" xr2:uid="{00000000-000D-0000-FFFF-FFFF00000000}"/>
  </bookViews>
  <sheets>
    <sheet name="PARAMETRES" sheetId="15" r:id="rId1"/>
    <sheet name="ACCUEIL" sheetId="13" r:id="rId2"/>
    <sheet name="BUDGET" sheetId="8" r:id="rId3"/>
    <sheet name="DISTANCES_DISTRICTS" sheetId="14" r:id="rId4"/>
    <sheet name="LISTES" sheetId="4" r:id="rId5"/>
    <sheet name="REFERENTIEL_TARIFS" sheetId="7" r:id="rId6"/>
    <sheet name="LISTES ACTIVITES" sheetId="6" r:id="rId7"/>
    <sheet name="J.Banque" sheetId="12" r:id="rId8"/>
    <sheet name="J.Depenses" sheetId="10" r:id="rId9"/>
    <sheet name="Rappr Banc " sheetId="11" r:id="rId10"/>
    <sheet name="REFERENTIEL_BUDGET" sheetId="3" r:id="rId11"/>
    <sheet name="CONTROLE_PJ" sheetId="1" r:id="rId12"/>
    <sheet name="PRESENCES_INDEMNITES" sheetId="2" r:id="rId13"/>
    <sheet name="RAPPORT FINANCIER" sheetId="9" r:id="rId14"/>
    <sheet name="TABLEAU_DE_BORD" sheetId="5"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xlnm._FilterDatabase" localSheetId="7" hidden="1">J.Banque!$A$5:$J$93</definedName>
    <definedName name="_xlnm._FilterDatabase" localSheetId="8" hidden="1">J.Depenses!$A$3:$P$24</definedName>
    <definedName name="A" localSheetId="7">#REF!</definedName>
    <definedName name="A">#REF!</definedName>
    <definedName name="AAAAAAZ" localSheetId="7">#REF!</definedName>
    <definedName name="AAAAAAZ">#REF!</definedName>
    <definedName name="AB" localSheetId="7">#REF!</definedName>
    <definedName name="AB">#REF!</definedName>
    <definedName name="Activité_14" localSheetId="7">[1]Processus!#REF!</definedName>
    <definedName name="Activité_14">[1]Processus!#REF!</definedName>
    <definedName name="AD" localSheetId="7">#REF!</definedName>
    <definedName name="AD">#REF!</definedName>
    <definedName name="Admin">'[2]Range Page'!$A$21</definedName>
    <definedName name="adminfee">'[3]Range Page'!$A$24</definedName>
    <definedName name="agent" localSheetId="7">#REF!</definedName>
    <definedName name="agent">#REF!</definedName>
    <definedName name="anjakakk\" localSheetId="7">#REF!</definedName>
    <definedName name="anjakakk\">#REF!</definedName>
    <definedName name="AOUT" localSheetId="7">#REF!</definedName>
    <definedName name="AOUT">#REF!</definedName>
    <definedName name="Août" localSheetId="7">#REF!</definedName>
    <definedName name="Août">#REF!</definedName>
    <definedName name="aqs" localSheetId="7">#REF!</definedName>
    <definedName name="aqs">#REF!</definedName>
    <definedName name="Avril" localSheetId="7">#REF!</definedName>
    <definedName name="Avril">#REF!</definedName>
    <definedName name="az" localSheetId="7">#REF!</definedName>
    <definedName name="az">#REF!</definedName>
    <definedName name="AZERTY" localSheetId="7">#REF!</definedName>
    <definedName name="AZERTY">#REF!</definedName>
    <definedName name="BHGFR" localSheetId="7">#REF!</definedName>
    <definedName name="BHGFR">#REF!</definedName>
    <definedName name="codprod">[4]Listes!$J$2:$P$44</definedName>
    <definedName name="Cost_Category">[5]Definitions!$F$3:$F$15</definedName>
    <definedName name="Cost_Category2">[6]Definitions!$F$3:$F$15</definedName>
    <definedName name="CSB" localSheetId="7">[7]liste!$B$2:$F$17</definedName>
    <definedName name="CSB" localSheetId="9">[7]liste!$B$2:$F$17</definedName>
    <definedName name="csb">[8]liste!$B$2:$F$17</definedName>
    <definedName name="DA" localSheetId="7">#REF!</definedName>
    <definedName name="DA">#REF!</definedName>
    <definedName name="dangerpay">'[3]Range Page'!$A$14</definedName>
    <definedName name="DECA" localSheetId="7">#REF!</definedName>
    <definedName name="DECA">#REF!</definedName>
    <definedName name="Décembre" localSheetId="7">#REF!</definedName>
    <definedName name="Décembre">#REF!</definedName>
    <definedName name="Disease_components">[3]Definitions!$A$2:$D$2</definedName>
    <definedName name="dist">'[9]Variables-Normes'!#REF!</definedName>
    <definedName name="DISTRICT">'[9]Variables-Normes'!#REF!</definedName>
    <definedName name="DISTRICTS_FORM" localSheetId="3">DISTANCES_DISTRICTS!$D$2:$D$116</definedName>
    <definedName name="DISTRICTS_FORM">[10]DISTANCES_DISTRICTS!$D$2:$D$116</definedName>
    <definedName name="DollarLC">'[3]Range Page'!$A$29</definedName>
    <definedName name="DRS" localSheetId="7">#REF!</definedName>
    <definedName name="DRS">#REF!</definedName>
    <definedName name="e" localSheetId="7">#REF!</definedName>
    <definedName name="e">#REF!</definedName>
    <definedName name="eduallowance.expat1">'[3]Range Page'!$A$15</definedName>
    <definedName name="eduallowance.expat2">'[3]Range Page'!$A$16</definedName>
    <definedName name="effets">[4]Listes!$F$2:$H$19</definedName>
    <definedName name="entree">[11]mouvement!$E$3:$E$65536</definedName>
    <definedName name="Excel_BuiltIn__FilterDatabase_2">"$'1_ Variables_Normes'.$#REF !$#REF !:$#REF !$#REF !"</definedName>
    <definedName name="Excel_BuiltIn_Print_Area_1" localSheetId="7">#REF!</definedName>
    <definedName name="Excel_BuiltIn_Print_Area_1">#REF!</definedName>
    <definedName name="Excel_BuiltIn_Print_Area_3" localSheetId="7">#REF!</definedName>
    <definedName name="Excel_BuiltIn_Print_Area_3">#REF!</definedName>
    <definedName name="Excel_BuiltIn_Print_Titles_3" localSheetId="7">#REF!</definedName>
    <definedName name="Excel_BuiltIn_Print_Titles_3">#REF!</definedName>
    <definedName name="F" localSheetId="7">#REF!</definedName>
    <definedName name="F">#REF!</definedName>
    <definedName name="Février" localSheetId="7">#REF!</definedName>
    <definedName name="Février">#REF!</definedName>
    <definedName name="ForeignTransferAllowance">'[3]Range Page'!$A$19</definedName>
    <definedName name="FSFDS" localSheetId="7">#REF!</definedName>
    <definedName name="FSFDS">#REF!</definedName>
    <definedName name="GandA">'[3]Range Page'!$A$5</definedName>
    <definedName name="GFR" localSheetId="7">#REF!</definedName>
    <definedName name="GFR">#REF!</definedName>
    <definedName name="gg" localSheetId="7">#REF!</definedName>
    <definedName name="gg">#REF!</definedName>
    <definedName name="hnjuytt" localSheetId="7">#REF!</definedName>
    <definedName name="hnjuytt">#REF!</definedName>
    <definedName name="Implementing_Entity_Type">[5]Definitions!$H$3:$H$9</definedName>
    <definedName name="_xlnm.Print_Titles" localSheetId="7">J.Banque!$5:$5</definedName>
    <definedName name="intlfringe">'[3]Range Page'!$A$7</definedName>
    <definedName name="iou" localSheetId="7">#REF!</definedName>
    <definedName name="iou">#REF!</definedName>
    <definedName name="IUYTRR" localSheetId="7">#REF!</definedName>
    <definedName name="IUYTRR">#REF!</definedName>
    <definedName name="Janvier" localSheetId="7">#REF!</definedName>
    <definedName name="Janvier">#REF!</definedName>
    <definedName name="juiko" localSheetId="7">#REF!</definedName>
    <definedName name="juiko">#REF!</definedName>
    <definedName name="Juillet" localSheetId="7">#REF!</definedName>
    <definedName name="Juillet">#REF!</definedName>
    <definedName name="Juin" localSheetId="7">#REF!</definedName>
    <definedName name="Juin">#REF!</definedName>
    <definedName name="kilp" localSheetId="7">#REF!</definedName>
    <definedName name="kilp">#REF!</definedName>
    <definedName name="LANTO" localSheetId="7">#REF!</definedName>
    <definedName name="LANTO">#REF!</definedName>
    <definedName name="LIST_FREQUENCE" localSheetId="3">[12]LISTES!$H$2:$H$32</definedName>
    <definedName name="LIST_FREQUENCE">[10]LISTES!$H$2:$H$32</definedName>
    <definedName name="LIST_MODES_PAIEMENT" localSheetId="3">[12]LISTES!$M$2:$M$4</definedName>
    <definedName name="LIST_MODES_PAIEMENT">[10]LISTES!$M$2:$M$4</definedName>
    <definedName name="LIST_OUI_NON" localSheetId="3">[12]LISTES!$D$2:$D$3</definedName>
    <definedName name="LIST_OUI_NON">[10]LISTES!$D$2:$D$3</definedName>
    <definedName name="LIST_PHASE_INDEMNITE">[12]LISTES!$S$2:$S$5</definedName>
    <definedName name="LIST_PJ_OUI" localSheetId="3">[12]LISTES!$D$2:$D$4</definedName>
    <definedName name="LIST_PJ_OUI" localSheetId="0">[23]LISTES!$D$2:$D$4</definedName>
    <definedName name="LIST_PJ_OUI">[10]LISTES!$D$2:$D$4</definedName>
    <definedName name="LIST_RUBRIQUES" localSheetId="3">[12]LISTES!$A$2:$A$8</definedName>
    <definedName name="LIST_RUBRIQUES" localSheetId="0">[23]LISTES!$A$2:$A$8</definedName>
    <definedName name="LIST_RUBRIQUES">[10]LISTES!$A$2:$A$8</definedName>
    <definedName name="LIST_TYPE_INDEMNITE_BUDGET">[12]LISTES!$R$2:$R$5</definedName>
    <definedName name="LIST_TYPES_SAISIE" localSheetId="3">[12]LISTES!$C$2:$C$5</definedName>
    <definedName name="LIST_TYPES_SAISIE" localSheetId="0">[23]LISTES!$C$2:$C$5</definedName>
    <definedName name="LIST_TYPES_SAISIE">[10]LISTES!$C$2:$C$5</definedName>
    <definedName name="ListeTypesMouvement" localSheetId="3">[12]LISTES!$N$2:$N$7</definedName>
    <definedName name="ListeTypesMouvement" localSheetId="0">[23]LISTES!$M$2:$M$7</definedName>
    <definedName name="ListeTypesMouvement">[10]LISTES!$N$2:$N$7</definedName>
    <definedName name="listmac">[13]Définitions!$B$38:$B$42</definedName>
    <definedName name="localfringe">'[3]Range Page'!$A$8</definedName>
    <definedName name="localinflation_yr2">'[3]Range Page'!$A$39</definedName>
    <definedName name="localinflation_yr3">'[3]Range Page'!$A$40</definedName>
    <definedName name="localinflation_yr4">'[3]Range Page'!$A$41</definedName>
    <definedName name="localinflation_yr5">'[3]Range Page'!$A$42</definedName>
    <definedName name="LOZA" localSheetId="7">#REF!</definedName>
    <definedName name="LOZA">#REF!</definedName>
    <definedName name="MacrocategoriesALL">[14]Definitions!$B$127:$B$149</definedName>
    <definedName name="Mai" localSheetId="7">#REF!</definedName>
    <definedName name="Mai">#REF!</definedName>
    <definedName name="MARRS" localSheetId="7">#REF!</definedName>
    <definedName name="MARRS">#REF!</definedName>
    <definedName name="Mars" localSheetId="7">#REF!</definedName>
    <definedName name="Mars">#REF!</definedName>
    <definedName name="Mauricette" localSheetId="7">#REF!</definedName>
    <definedName name="Mauricette">#REF!</definedName>
    <definedName name="NBVCXD" localSheetId="7">#REF!</definedName>
    <definedName name="NBVCXD">#REF!</definedName>
    <definedName name="NewOH">'[3]Range Page'!$A$4</definedName>
    <definedName name="Niveau">[15]Prog_data!$B$7</definedName>
    <definedName name="Novembre" localSheetId="7">#REF!</definedName>
    <definedName name="Novembre">#REF!</definedName>
    <definedName name="NOVEMBRE1" localSheetId="7">#REF!</definedName>
    <definedName name="NOVEMBRE1">#REF!</definedName>
    <definedName name="ObjectiveSDA">[3]Definitions!$J$3:$J$52</definedName>
    <definedName name="Octobre" localSheetId="7">#REF!</definedName>
    <definedName name="Octobre">#REF!</definedName>
    <definedName name="OH">'[2]Country Budget x 6'!$E$503</definedName>
    <definedName name="OIPUT" localSheetId="7">#REF!</definedName>
    <definedName name="OIPUT">#REF!</definedName>
    <definedName name="OPIU" localSheetId="7">#REF!</definedName>
    <definedName name="OPIU">#REF!</definedName>
    <definedName name="Over_Head">'[2]Range Page'!$A$19</definedName>
    <definedName name="overhead">'[3]Range Page'!$A$22</definedName>
    <definedName name="PAUSENS" localSheetId="7">#REF!</definedName>
    <definedName name="PAUSENS">#REF!</definedName>
    <definedName name="PJPuits">'[16] Cactus rouge jardin scolaire'!$F$23</definedName>
    <definedName name="PJPuits_1">'[16] mare artificiel'!$F$22</definedName>
    <definedName name="PJPuits_2">'[16] piste'!$F$18</definedName>
    <definedName name="PJPuits_3">'[16] Reboisement (2)'!$F$17</definedName>
    <definedName name="PJPuits_4">'[16] Assainissement'!$F$23</definedName>
    <definedName name="postallowance">'[3]Range Page'!$A$9</definedName>
    <definedName name="postallowance.expat2">'[3]Range Page'!$A$10</definedName>
    <definedName name="postallowance.expat3">'[3]Range Page'!$A$11</definedName>
    <definedName name="postallowance.expat4">'[3]Range Page'!$A$12</definedName>
    <definedName name="postdifferential">'[3]Range Page'!$A$13</definedName>
    <definedName name="POUR" localSheetId="7">#REF!</definedName>
    <definedName name="POUR">#REF!</definedName>
    <definedName name="Procure">'[2]Range Page'!$A$20</definedName>
    <definedName name="procurementfee">'[3]Range Page'!$A$23</definedName>
    <definedName name="programme">'[17]data summary'!#REF!</definedName>
    <definedName name="PSA">'[3]Range Page'!$A$6</definedName>
    <definedName name="QJ" localSheetId="7">#REF!</definedName>
    <definedName name="QJ">#REF!</definedName>
    <definedName name="ref">[11]mouvement!$C$3:$C$65536</definedName>
    <definedName name="REFTS" localSheetId="7">#REF!</definedName>
    <definedName name="REFTS">#REF!</definedName>
    <definedName name="region" localSheetId="7">[7]liste!$H$2:$H$10</definedName>
    <definedName name="region" localSheetId="9">[7]liste!$H$2:$H$10</definedName>
    <definedName name="region">[8]liste!$H$2:$H$10</definedName>
    <definedName name="Région_oct14">'[18]Variables-Normes'!#REF!</definedName>
    <definedName name="REP" localSheetId="7">#REF!</definedName>
    <definedName name="REP">#REF!</definedName>
    <definedName name="responsable">[4]Listes!$D$2:$D$6</definedName>
    <definedName name="réunioNcoordBKA" localSheetId="7">#REF!</definedName>
    <definedName name="réunioNcoordBKA">#REF!</definedName>
    <definedName name="REVUE" localSheetId="7">#REF!</definedName>
    <definedName name="REVUE">#REF!</definedName>
    <definedName name="rListeCSB_par_SSD_par_commune" localSheetId="7">#REF!</definedName>
    <definedName name="rListeCSB_par_SSD_par_commune">#REF!</definedName>
    <definedName name="RTD" localSheetId="7">#REF!</definedName>
    <definedName name="RTD">#REF!</definedName>
    <definedName name="rtyv" localSheetId="7">#REF!</definedName>
    <definedName name="rtyv">#REF!</definedName>
    <definedName name="salaire" localSheetId="7">'[9]Variables-Normes'!#REF!</definedName>
    <definedName name="salaire">'[9]Variables-Normes'!#REF!</definedName>
    <definedName name="SDAList">[19]SDAs_impact_datasources!$A$2:$A$24</definedName>
    <definedName name="SDSP">'[18]Variables-Normes'!#REF!</definedName>
    <definedName name="Septembre" localSheetId="7">#REF!</definedName>
    <definedName name="Septembre">#REF!</definedName>
    <definedName name="SEUIL" localSheetId="7">#REF!</definedName>
    <definedName name="SEUIL">#REF!</definedName>
    <definedName name="source">[4]Listes!$E$2:$E$33</definedName>
    <definedName name="SR_RESTAURATION">[12]LISTES!$L$2:$L$5</definedName>
    <definedName name="SSS" localSheetId="7">#REF!</definedName>
    <definedName name="SSS">#REF!</definedName>
    <definedName name="staff_security" localSheetId="7">'[17]data summary'!#REF!</definedName>
    <definedName name="staff_security">'[17]data summary'!#REF!</definedName>
    <definedName name="SUB_DEPENSE_AUTRES">[10]LISTES!$L$26:$L$26</definedName>
    <definedName name="SUB_DEPENSE_DEPLACEMENTS">[10]LISTES!$L$20:$L$25</definedName>
    <definedName name="SUB_DEPENSE_FOURNITURES">[10]LISTES!$L$6:$L$16</definedName>
    <definedName name="SUB_DEPENSE_INDEMNITES">[10]LISTES!$L$17:$L$19</definedName>
    <definedName name="SUB_DEPENSE_RESTAURATION">[10]LISTES!$L$2:$L$5</definedName>
    <definedName name="SUB_DEPLACEMENT_MISSIONNAIRES">[10]LISTES!$L$20:$L$25</definedName>
    <definedName name="SUB_FOURNITURE">[10]LISTES!$L$6:$L$16</definedName>
    <definedName name="SUB_RESTAURATION">[10]LISTES!$L$2:$L$5</definedName>
    <definedName name="TREFST" localSheetId="7">#REF!</definedName>
    <definedName name="TREFST">#REF!</definedName>
    <definedName name="ttt" localSheetId="7">#REF!</definedName>
    <definedName name="ttt">#REF!</definedName>
    <definedName name="TYREY" localSheetId="7">#REF!</definedName>
    <definedName name="TYREY">#REF!</definedName>
    <definedName name="usinflation_yr2">'[20]Range Page'!$A$33</definedName>
    <definedName name="usinflation_yr3">'[20]Range Page'!$A$34</definedName>
    <definedName name="usinflation_yr4">'[3]Range Page'!$A$35</definedName>
    <definedName name="usinflation_yr5">'[3]Range Page'!$A$36</definedName>
    <definedName name="UUU" localSheetId="7">#REF!</definedName>
    <definedName name="UUU">#REF!</definedName>
    <definedName name="UYYTRR" localSheetId="7">#REF!</definedName>
    <definedName name="UYYTRR">#REF!</definedName>
    <definedName name="VAKIN" localSheetId="7">#REF!</definedName>
    <definedName name="VAKIN">#REF!</definedName>
    <definedName name="VEHICULES_FORM">[10]LISTES!$G$2:$G$7</definedName>
    <definedName name="VF" localSheetId="7">'[21]CAT 6'!#REF!</definedName>
    <definedName name="VF">'[21]CAT 6'!#REF!</definedName>
    <definedName name="VFVFVF2" localSheetId="7">'[21]CAT 6'!#REF!</definedName>
    <definedName name="VFVFVF2">'[21]CAT 6'!#REF!</definedName>
    <definedName name="VGFR" localSheetId="7">#REF!</definedName>
    <definedName name="VGFR">#REF!</definedName>
    <definedName name="voahirana" localSheetId="7">#REF!</definedName>
    <definedName name="voahirana">#REF!</definedName>
    <definedName name="VVV" localSheetId="7">#REF!</definedName>
    <definedName name="VVV">#REF!</definedName>
    <definedName name="workerscomp.expat">'[3]Range Page'!$A$20</definedName>
    <definedName name="workerscomp.STTA">'[3]Range Page'!$A$21</definedName>
    <definedName name="x">[22]Listes!$E$2:$E$34</definedName>
    <definedName name="ytr" localSheetId="7">#REF!</definedName>
    <definedName name="ytr">#REF!</definedName>
    <definedName name="z" localSheetId="7">#REF!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7" i="8" l="1"/>
  <c r="G35" i="8"/>
  <c r="G47" i="8"/>
  <c r="G46" i="8"/>
  <c r="G45" i="8"/>
  <c r="G44" i="8"/>
  <c r="G40" i="8"/>
  <c r="G41" i="8" s="1"/>
  <c r="G2" i="14"/>
  <c r="F33" i="8"/>
  <c r="F32" i="8"/>
  <c r="F34" i="8"/>
  <c r="E26" i="8"/>
  <c r="F20" i="8"/>
  <c r="F27" i="8" s="1"/>
  <c r="G3" i="14"/>
  <c r="G4" i="14"/>
  <c r="G5" i="14"/>
  <c r="G6" i="14"/>
  <c r="G7" i="14"/>
  <c r="G8" i="14"/>
  <c r="C37" i="8" s="1"/>
  <c r="G37" i="8" s="1"/>
  <c r="G38" i="8" s="1"/>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F17" i="14"/>
  <c r="J3" i="14"/>
  <c r="J4" i="14"/>
  <c r="E20" i="8" s="1"/>
  <c r="E27" i="8" s="1"/>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2" i="14"/>
  <c r="E116" i="14"/>
  <c r="E115" i="14"/>
  <c r="E114" i="14"/>
  <c r="E113" i="14"/>
  <c r="E112" i="14"/>
  <c r="E111" i="14"/>
  <c r="E110" i="14"/>
  <c r="E109" i="14"/>
  <c r="E108" i="14"/>
  <c r="E107" i="14"/>
  <c r="E106" i="14"/>
  <c r="E105" i="14"/>
  <c r="E104" i="14"/>
  <c r="E103" i="14"/>
  <c r="E102" i="14"/>
  <c r="E101" i="14"/>
  <c r="E100" i="14"/>
  <c r="E99" i="14"/>
  <c r="E98" i="14"/>
  <c r="E97" i="14"/>
  <c r="E96" i="14"/>
  <c r="E95" i="14"/>
  <c r="E94" i="14"/>
  <c r="E93" i="14"/>
  <c r="E92" i="14"/>
  <c r="E91" i="14"/>
  <c r="E90" i="14"/>
  <c r="E89" i="14"/>
  <c r="E88" i="14"/>
  <c r="E87" i="14"/>
  <c r="E86" i="14"/>
  <c r="E85" i="14"/>
  <c r="E84" i="14"/>
  <c r="E83" i="14"/>
  <c r="E82" i="14"/>
  <c r="E81" i="14"/>
  <c r="E80" i="14"/>
  <c r="E79" i="14"/>
  <c r="E78" i="14"/>
  <c r="E77" i="14"/>
  <c r="E76" i="14"/>
  <c r="E75" i="14"/>
  <c r="E74" i="14"/>
  <c r="E73" i="14"/>
  <c r="E72" i="14"/>
  <c r="E71" i="14"/>
  <c r="E70" i="14"/>
  <c r="E69" i="14"/>
  <c r="E68" i="14"/>
  <c r="E67" i="14"/>
  <c r="E66" i="14"/>
  <c r="E65" i="14"/>
  <c r="E64" i="14"/>
  <c r="E63" i="14"/>
  <c r="E62" i="14"/>
  <c r="E61" i="14"/>
  <c r="E60" i="14"/>
  <c r="E59" i="14"/>
  <c r="E58" i="14"/>
  <c r="E57" i="14"/>
  <c r="E56" i="14"/>
  <c r="E55" i="14"/>
  <c r="E54" i="14"/>
  <c r="E53" i="14"/>
  <c r="E52" i="14"/>
  <c r="E51" i="14"/>
  <c r="E50" i="14"/>
  <c r="E49" i="14"/>
  <c r="E48" i="14"/>
  <c r="E47" i="14"/>
  <c r="E46" i="14"/>
  <c r="E45" i="14"/>
  <c r="E44" i="14"/>
  <c r="E43" i="14"/>
  <c r="E42" i="14"/>
  <c r="E41" i="14"/>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E11" i="14"/>
  <c r="E10" i="14"/>
  <c r="E9" i="14"/>
  <c r="E8" i="14"/>
  <c r="E7" i="14"/>
  <c r="E6" i="14"/>
  <c r="E5" i="14"/>
  <c r="E4" i="14"/>
  <c r="E3" i="14"/>
  <c r="E2" i="14"/>
  <c r="G48" i="8" l="1"/>
  <c r="G42" i="8"/>
  <c r="F26" i="8"/>
  <c r="G26" i="8" s="1"/>
  <c r="F23" i="8"/>
  <c r="E23" i="8"/>
  <c r="G27" i="8"/>
  <c r="G20" i="8"/>
  <c r="G24" i="8" s="1"/>
  <c r="G93" i="12"/>
  <c r="F93" i="12"/>
  <c r="H6" i="12"/>
  <c r="G28" i="8" l="1"/>
  <c r="G29" i="8" s="1"/>
  <c r="H93" i="12"/>
  <c r="K31" i="11" l="1"/>
  <c r="J31" i="11"/>
  <c r="E31" i="11"/>
  <c r="D31" i="11"/>
  <c r="K10" i="11"/>
  <c r="D33" i="11" l="1"/>
  <c r="L33" i="11"/>
  <c r="L31" i="11"/>
  <c r="J33" i="11"/>
  <c r="D35" i="11" l="1"/>
  <c r="P21" i="10" l="1"/>
  <c r="P20" i="10"/>
  <c r="P18" i="10"/>
  <c r="P17" i="10"/>
  <c r="P16" i="10"/>
  <c r="P14" i="10"/>
  <c r="P12" i="10"/>
  <c r="P10" i="10"/>
  <c r="P9" i="10"/>
  <c r="P7" i="10"/>
  <c r="P6" i="10"/>
  <c r="P5" i="10"/>
  <c r="P4" i="10" l="1"/>
  <c r="P23" i="10"/>
  <c r="H18" i="9"/>
  <c r="H19" i="9"/>
  <c r="H20" i="9"/>
  <c r="H21" i="9"/>
  <c r="H22" i="9"/>
  <c r="H23" i="9"/>
  <c r="H24" i="9"/>
  <c r="H25" i="9"/>
  <c r="H26" i="9"/>
  <c r="H17" i="9"/>
  <c r="C27" i="9" l="1"/>
  <c r="D9" i="9" s="1"/>
  <c r="I23" i="9"/>
  <c r="I24" i="9"/>
  <c r="I25" i="9"/>
  <c r="I26" i="9"/>
  <c r="I22" i="9"/>
  <c r="I21" i="9"/>
  <c r="I18" i="9"/>
  <c r="I17" i="9"/>
  <c r="G64" i="8"/>
  <c r="M2" i="1"/>
  <c r="N2" i="1"/>
  <c r="S4" i="1"/>
  <c r="S5" i="1"/>
  <c r="S6" i="1"/>
  <c r="S7" i="1"/>
  <c r="S8" i="1"/>
  <c r="S9" i="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2" i="3"/>
  <c r="J3" i="3"/>
  <c r="J4" i="3"/>
  <c r="S2" i="1" s="1"/>
  <c r="J2" i="3"/>
  <c r="S3" i="1" s="1"/>
  <c r="Q2" i="2"/>
  <c r="P2" i="2"/>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N3" i="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2" i="2"/>
  <c r="O2" i="2" s="1"/>
  <c r="Q2"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I19" i="9" l="1"/>
  <c r="I20" i="9"/>
  <c r="H27" i="9"/>
  <c r="D10" i="9" s="1"/>
  <c r="D11" i="9" s="1"/>
  <c r="B6" i="5"/>
  <c r="B5" i="5"/>
  <c r="B4" i="5"/>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S501" i="2"/>
  <c r="Q501" i="2"/>
  <c r="P501" i="2"/>
  <c r="O501" i="2"/>
  <c r="A501" i="2"/>
  <c r="S500" i="2"/>
  <c r="Q500" i="2"/>
  <c r="P500" i="2"/>
  <c r="O500" i="2"/>
  <c r="A500" i="2"/>
  <c r="S499" i="2"/>
  <c r="Q499" i="2"/>
  <c r="P499" i="2"/>
  <c r="R499" i="2"/>
  <c r="A499" i="2"/>
  <c r="S498" i="2"/>
  <c r="Q498" i="2"/>
  <c r="P498" i="2"/>
  <c r="A498" i="2"/>
  <c r="S497" i="2"/>
  <c r="Q497" i="2"/>
  <c r="P497" i="2"/>
  <c r="R497" i="2"/>
  <c r="A497" i="2"/>
  <c r="S496" i="2"/>
  <c r="Q496" i="2"/>
  <c r="P496" i="2"/>
  <c r="A496" i="2"/>
  <c r="S495" i="2"/>
  <c r="Q495" i="2"/>
  <c r="P495" i="2"/>
  <c r="R495" i="2"/>
  <c r="A495" i="2"/>
  <c r="S494" i="2"/>
  <c r="Q494" i="2"/>
  <c r="P494" i="2"/>
  <c r="A494" i="2"/>
  <c r="S493" i="2"/>
  <c r="Q493" i="2"/>
  <c r="P493" i="2"/>
  <c r="R493" i="2"/>
  <c r="A493" i="2"/>
  <c r="S492" i="2"/>
  <c r="Q492" i="2"/>
  <c r="P492" i="2"/>
  <c r="R492" i="2"/>
  <c r="A492" i="2"/>
  <c r="S491" i="2"/>
  <c r="Q491" i="2"/>
  <c r="P491" i="2"/>
  <c r="R491" i="2"/>
  <c r="A491" i="2"/>
  <c r="S490" i="2"/>
  <c r="Q490" i="2"/>
  <c r="P490" i="2"/>
  <c r="O490" i="2"/>
  <c r="A490" i="2"/>
  <c r="S489" i="2"/>
  <c r="Q489" i="2"/>
  <c r="P489" i="2"/>
  <c r="O489" i="2"/>
  <c r="A489" i="2"/>
  <c r="S488" i="2"/>
  <c r="Q488" i="2"/>
  <c r="P488" i="2"/>
  <c r="A488" i="2"/>
  <c r="S487" i="2"/>
  <c r="Q487" i="2"/>
  <c r="P487" i="2"/>
  <c r="R487" i="2"/>
  <c r="A487" i="2"/>
  <c r="S486" i="2"/>
  <c r="Q486" i="2"/>
  <c r="P486" i="2"/>
  <c r="A486" i="2"/>
  <c r="S485" i="2"/>
  <c r="Q485" i="2"/>
  <c r="P485" i="2"/>
  <c r="R485" i="2"/>
  <c r="A485" i="2"/>
  <c r="S484" i="2"/>
  <c r="Q484" i="2"/>
  <c r="P484" i="2"/>
  <c r="A484" i="2"/>
  <c r="S483" i="2"/>
  <c r="Q483" i="2"/>
  <c r="P483" i="2"/>
  <c r="O483" i="2"/>
  <c r="A483" i="2"/>
  <c r="S482" i="2"/>
  <c r="Q482" i="2"/>
  <c r="P482" i="2"/>
  <c r="O482" i="2"/>
  <c r="A482" i="2"/>
  <c r="S481" i="2"/>
  <c r="Q481" i="2"/>
  <c r="P481" i="2"/>
  <c r="O481" i="2"/>
  <c r="A481" i="2"/>
  <c r="S480" i="2"/>
  <c r="Q480" i="2"/>
  <c r="P480" i="2"/>
  <c r="O480" i="2"/>
  <c r="A480" i="2"/>
  <c r="S479" i="2"/>
  <c r="Q479" i="2"/>
  <c r="P479" i="2"/>
  <c r="R479" i="2"/>
  <c r="A479" i="2"/>
  <c r="S478" i="2"/>
  <c r="Q478" i="2"/>
  <c r="P478" i="2"/>
  <c r="O478" i="2"/>
  <c r="A478" i="2"/>
  <c r="S477" i="2"/>
  <c r="Q477" i="2"/>
  <c r="P477" i="2"/>
  <c r="O477" i="2"/>
  <c r="A477" i="2"/>
  <c r="S476" i="2"/>
  <c r="Q476" i="2"/>
  <c r="P476" i="2"/>
  <c r="O476" i="2"/>
  <c r="A476" i="2"/>
  <c r="S475" i="2"/>
  <c r="Q475" i="2"/>
  <c r="P475" i="2"/>
  <c r="A475" i="2"/>
  <c r="S474" i="2"/>
  <c r="Q474" i="2"/>
  <c r="P474" i="2"/>
  <c r="O474" i="2"/>
  <c r="A474" i="2"/>
  <c r="S473" i="2"/>
  <c r="Q473" i="2"/>
  <c r="P473" i="2"/>
  <c r="A473" i="2"/>
  <c r="S472" i="2"/>
  <c r="Q472" i="2"/>
  <c r="P472" i="2"/>
  <c r="O472" i="2"/>
  <c r="A472" i="2"/>
  <c r="S471" i="2"/>
  <c r="Q471" i="2"/>
  <c r="P471" i="2"/>
  <c r="O471" i="2"/>
  <c r="A471" i="2"/>
  <c r="S470" i="2"/>
  <c r="Q470" i="2"/>
  <c r="P470" i="2"/>
  <c r="O470" i="2"/>
  <c r="A470" i="2"/>
  <c r="S469" i="2"/>
  <c r="Q469" i="2"/>
  <c r="P469" i="2"/>
  <c r="O469" i="2"/>
  <c r="A469" i="2"/>
  <c r="S468" i="2"/>
  <c r="Q468" i="2"/>
  <c r="P468" i="2"/>
  <c r="R468" i="2"/>
  <c r="A468" i="2"/>
  <c r="S467" i="2"/>
  <c r="Q467" i="2"/>
  <c r="P467" i="2"/>
  <c r="R467" i="2"/>
  <c r="A467" i="2"/>
  <c r="S466" i="2"/>
  <c r="Q466" i="2"/>
  <c r="P466" i="2"/>
  <c r="R466" i="2"/>
  <c r="A466" i="2"/>
  <c r="S465" i="2"/>
  <c r="Q465" i="2"/>
  <c r="P465" i="2"/>
  <c r="O465" i="2"/>
  <c r="A465" i="2"/>
  <c r="S464" i="2"/>
  <c r="Q464" i="2"/>
  <c r="P464" i="2"/>
  <c r="O464" i="2"/>
  <c r="A464" i="2"/>
  <c r="S463" i="2"/>
  <c r="Q463" i="2"/>
  <c r="P463" i="2"/>
  <c r="R463" i="2"/>
  <c r="A463" i="2"/>
  <c r="S462" i="2"/>
  <c r="Q462" i="2"/>
  <c r="P462" i="2"/>
  <c r="O462" i="2"/>
  <c r="A462" i="2"/>
  <c r="S461" i="2"/>
  <c r="Q461" i="2"/>
  <c r="P461" i="2"/>
  <c r="R461" i="2"/>
  <c r="A461" i="2"/>
  <c r="S460" i="2"/>
  <c r="Q460" i="2"/>
  <c r="P460" i="2"/>
  <c r="O460" i="2"/>
  <c r="A460" i="2"/>
  <c r="S459" i="2"/>
  <c r="Q459" i="2"/>
  <c r="P459" i="2"/>
  <c r="O459" i="2"/>
  <c r="A459" i="2"/>
  <c r="S458" i="2"/>
  <c r="Q458" i="2"/>
  <c r="P458" i="2"/>
  <c r="O458" i="2"/>
  <c r="A458" i="2"/>
  <c r="S457" i="2"/>
  <c r="Q457" i="2"/>
  <c r="P457" i="2"/>
  <c r="O457" i="2"/>
  <c r="A457" i="2"/>
  <c r="S456" i="2"/>
  <c r="Q456" i="2"/>
  <c r="P456" i="2"/>
  <c r="R456" i="2"/>
  <c r="A456" i="2"/>
  <c r="S455" i="2"/>
  <c r="Q455" i="2"/>
  <c r="P455" i="2"/>
  <c r="R455" i="2"/>
  <c r="A455" i="2"/>
  <c r="S454" i="2"/>
  <c r="Q454" i="2"/>
  <c r="P454" i="2"/>
  <c r="R454" i="2"/>
  <c r="A454" i="2"/>
  <c r="S453" i="2"/>
  <c r="Q453" i="2"/>
  <c r="P453" i="2"/>
  <c r="R453" i="2"/>
  <c r="A453" i="2"/>
  <c r="S452" i="2"/>
  <c r="Q452" i="2"/>
  <c r="P452" i="2"/>
  <c r="O452" i="2"/>
  <c r="A452" i="2"/>
  <c r="S451" i="2"/>
  <c r="Q451" i="2"/>
  <c r="P451" i="2"/>
  <c r="R451" i="2"/>
  <c r="A451" i="2"/>
  <c r="S450" i="2"/>
  <c r="Q450" i="2"/>
  <c r="P450" i="2"/>
  <c r="O450" i="2"/>
  <c r="A450" i="2"/>
  <c r="S449" i="2"/>
  <c r="Q449" i="2"/>
  <c r="P449" i="2"/>
  <c r="R449" i="2"/>
  <c r="A449" i="2"/>
  <c r="S448" i="2"/>
  <c r="Q448" i="2"/>
  <c r="P448" i="2"/>
  <c r="O448" i="2"/>
  <c r="A448" i="2"/>
  <c r="S447" i="2"/>
  <c r="Q447" i="2"/>
  <c r="P447" i="2"/>
  <c r="O447" i="2"/>
  <c r="A447" i="2"/>
  <c r="S446" i="2"/>
  <c r="Q446" i="2"/>
  <c r="P446" i="2"/>
  <c r="O446" i="2"/>
  <c r="A446" i="2"/>
  <c r="S445" i="2"/>
  <c r="Q445" i="2"/>
  <c r="P445" i="2"/>
  <c r="R445" i="2"/>
  <c r="A445" i="2"/>
  <c r="S444" i="2"/>
  <c r="Q444" i="2"/>
  <c r="P444" i="2"/>
  <c r="O444" i="2"/>
  <c r="A444" i="2"/>
  <c r="S443" i="2"/>
  <c r="Q443" i="2"/>
  <c r="P443" i="2"/>
  <c r="R443" i="2"/>
  <c r="A443" i="2"/>
  <c r="S442" i="2"/>
  <c r="Q442" i="2"/>
  <c r="P442" i="2"/>
  <c r="R442" i="2"/>
  <c r="A442" i="2"/>
  <c r="S441" i="2"/>
  <c r="Q441" i="2"/>
  <c r="P441" i="2"/>
  <c r="R441" i="2"/>
  <c r="A441" i="2"/>
  <c r="S440" i="2"/>
  <c r="Q440" i="2"/>
  <c r="P440" i="2"/>
  <c r="O440" i="2"/>
  <c r="A440" i="2"/>
  <c r="S439" i="2"/>
  <c r="Q439" i="2"/>
  <c r="P439" i="2"/>
  <c r="R439" i="2"/>
  <c r="A439" i="2"/>
  <c r="S438" i="2"/>
  <c r="Q438" i="2"/>
  <c r="P438" i="2"/>
  <c r="O438" i="2"/>
  <c r="A438" i="2"/>
  <c r="S437" i="2"/>
  <c r="Q437" i="2"/>
  <c r="P437" i="2"/>
  <c r="R437" i="2"/>
  <c r="A437" i="2"/>
  <c r="S436" i="2"/>
  <c r="Q436" i="2"/>
  <c r="P436" i="2"/>
  <c r="O436" i="2"/>
  <c r="A436" i="2"/>
  <c r="S435" i="2"/>
  <c r="Q435" i="2"/>
  <c r="P435" i="2"/>
  <c r="O435" i="2"/>
  <c r="A435" i="2"/>
  <c r="S434" i="2"/>
  <c r="Q434" i="2"/>
  <c r="P434" i="2"/>
  <c r="A434" i="2"/>
  <c r="S433" i="2"/>
  <c r="Q433" i="2"/>
  <c r="P433" i="2"/>
  <c r="O433" i="2"/>
  <c r="A433" i="2"/>
  <c r="S432" i="2"/>
  <c r="Q432" i="2"/>
  <c r="P432" i="2"/>
  <c r="R432" i="2"/>
  <c r="A432" i="2"/>
  <c r="S431" i="2"/>
  <c r="Q431" i="2"/>
  <c r="P431" i="2"/>
  <c r="R431" i="2"/>
  <c r="A431" i="2"/>
  <c r="S430" i="2"/>
  <c r="Q430" i="2"/>
  <c r="P430" i="2"/>
  <c r="R430" i="2"/>
  <c r="A430" i="2"/>
  <c r="S429" i="2"/>
  <c r="Q429" i="2"/>
  <c r="P429" i="2"/>
  <c r="R429" i="2"/>
  <c r="A429" i="2"/>
  <c r="S428" i="2"/>
  <c r="Q428" i="2"/>
  <c r="P428" i="2"/>
  <c r="O428" i="2"/>
  <c r="A428" i="2"/>
  <c r="S427" i="2"/>
  <c r="Q427" i="2"/>
  <c r="P427" i="2"/>
  <c r="R427" i="2"/>
  <c r="A427" i="2"/>
  <c r="S426" i="2"/>
  <c r="Q426" i="2"/>
  <c r="P426" i="2"/>
  <c r="O426" i="2"/>
  <c r="A426" i="2"/>
  <c r="S425" i="2"/>
  <c r="Q425" i="2"/>
  <c r="P425" i="2"/>
  <c r="R425" i="2"/>
  <c r="A425" i="2"/>
  <c r="S424" i="2"/>
  <c r="Q424" i="2"/>
  <c r="P424" i="2"/>
  <c r="O424" i="2"/>
  <c r="A424" i="2"/>
  <c r="S423" i="2"/>
  <c r="Q423" i="2"/>
  <c r="P423" i="2"/>
  <c r="O423" i="2"/>
  <c r="A423" i="2"/>
  <c r="S422" i="2"/>
  <c r="Q422" i="2"/>
  <c r="P422" i="2"/>
  <c r="O422" i="2"/>
  <c r="A422" i="2"/>
  <c r="S421" i="2"/>
  <c r="Q421" i="2"/>
  <c r="P421" i="2"/>
  <c r="O421" i="2"/>
  <c r="A421" i="2"/>
  <c r="S420" i="2"/>
  <c r="Q420" i="2"/>
  <c r="P420" i="2"/>
  <c r="R420" i="2"/>
  <c r="A420" i="2"/>
  <c r="S419" i="2"/>
  <c r="Q419" i="2"/>
  <c r="P419" i="2"/>
  <c r="R419" i="2"/>
  <c r="A419" i="2"/>
  <c r="S418" i="2"/>
  <c r="Q418" i="2"/>
  <c r="P418" i="2"/>
  <c r="R418" i="2"/>
  <c r="A418" i="2"/>
  <c r="S417" i="2"/>
  <c r="Q417" i="2"/>
  <c r="P417" i="2"/>
  <c r="R417" i="2"/>
  <c r="A417" i="2"/>
  <c r="S416" i="2"/>
  <c r="Q416" i="2"/>
  <c r="P416" i="2"/>
  <c r="O416" i="2"/>
  <c r="A416" i="2"/>
  <c r="S415" i="2"/>
  <c r="Q415" i="2"/>
  <c r="P415" i="2"/>
  <c r="R415" i="2"/>
  <c r="A415" i="2"/>
  <c r="S414" i="2"/>
  <c r="Q414" i="2"/>
  <c r="P414" i="2"/>
  <c r="O414" i="2"/>
  <c r="A414" i="2"/>
  <c r="S413" i="2"/>
  <c r="Q413" i="2"/>
  <c r="P413" i="2"/>
  <c r="R413" i="2"/>
  <c r="A413" i="2"/>
  <c r="S412" i="2"/>
  <c r="Q412" i="2"/>
  <c r="P412" i="2"/>
  <c r="O412" i="2"/>
  <c r="A412" i="2"/>
  <c r="S411" i="2"/>
  <c r="Q411" i="2"/>
  <c r="P411" i="2"/>
  <c r="O411" i="2"/>
  <c r="A411" i="2"/>
  <c r="S410" i="2"/>
  <c r="Q410" i="2"/>
  <c r="P410" i="2"/>
  <c r="O410" i="2"/>
  <c r="A410" i="2"/>
  <c r="S409" i="2"/>
  <c r="Q409" i="2"/>
  <c r="P409" i="2"/>
  <c r="O409" i="2"/>
  <c r="A409" i="2"/>
  <c r="S408" i="2"/>
  <c r="Q408" i="2"/>
  <c r="P408" i="2"/>
  <c r="O408" i="2"/>
  <c r="A408" i="2"/>
  <c r="S407" i="2"/>
  <c r="Q407" i="2"/>
  <c r="P407" i="2"/>
  <c r="R407" i="2"/>
  <c r="A407" i="2"/>
  <c r="S406" i="2"/>
  <c r="Q406" i="2"/>
  <c r="P406" i="2"/>
  <c r="R406" i="2"/>
  <c r="A406" i="2"/>
  <c r="S405" i="2"/>
  <c r="Q405" i="2"/>
  <c r="P405" i="2"/>
  <c r="R405" i="2"/>
  <c r="A405" i="2"/>
  <c r="S404" i="2"/>
  <c r="Q404" i="2"/>
  <c r="P404" i="2"/>
  <c r="O404" i="2"/>
  <c r="A404" i="2"/>
  <c r="S403" i="2"/>
  <c r="Q403" i="2"/>
  <c r="P403" i="2"/>
  <c r="R403" i="2"/>
  <c r="A403" i="2"/>
  <c r="S402" i="2"/>
  <c r="Q402" i="2"/>
  <c r="P402" i="2"/>
  <c r="O402" i="2"/>
  <c r="A402" i="2"/>
  <c r="S401" i="2"/>
  <c r="Q401" i="2"/>
  <c r="P401" i="2"/>
  <c r="R401" i="2"/>
  <c r="A401" i="2"/>
  <c r="S400" i="2"/>
  <c r="Q400" i="2"/>
  <c r="P400" i="2"/>
  <c r="O400" i="2"/>
  <c r="A400" i="2"/>
  <c r="S399" i="2"/>
  <c r="Q399" i="2"/>
  <c r="P399" i="2"/>
  <c r="R399" i="2"/>
  <c r="A399" i="2"/>
  <c r="S398" i="2"/>
  <c r="Q398" i="2"/>
  <c r="P398" i="2"/>
  <c r="A398" i="2"/>
  <c r="S397" i="2"/>
  <c r="Q397" i="2"/>
  <c r="P397" i="2"/>
  <c r="R397" i="2"/>
  <c r="A397" i="2"/>
  <c r="S396" i="2"/>
  <c r="Q396" i="2"/>
  <c r="P396" i="2"/>
  <c r="R396" i="2"/>
  <c r="A396" i="2"/>
  <c r="S395" i="2"/>
  <c r="Q395" i="2"/>
  <c r="P395" i="2"/>
  <c r="R395" i="2"/>
  <c r="A395" i="2"/>
  <c r="S394" i="2"/>
  <c r="Q394" i="2"/>
  <c r="P394" i="2"/>
  <c r="R394" i="2"/>
  <c r="A394" i="2"/>
  <c r="S393" i="2"/>
  <c r="Q393" i="2"/>
  <c r="P393" i="2"/>
  <c r="R393" i="2"/>
  <c r="A393" i="2"/>
  <c r="S392" i="2"/>
  <c r="Q392" i="2"/>
  <c r="P392" i="2"/>
  <c r="O392" i="2"/>
  <c r="A392" i="2"/>
  <c r="S391" i="2"/>
  <c r="Q391" i="2"/>
  <c r="P391" i="2"/>
  <c r="R391" i="2"/>
  <c r="A391" i="2"/>
  <c r="S390" i="2"/>
  <c r="Q390" i="2"/>
  <c r="P390" i="2"/>
  <c r="O390" i="2"/>
  <c r="A390" i="2"/>
  <c r="S389" i="2"/>
  <c r="Q389" i="2"/>
  <c r="P389" i="2"/>
  <c r="R389" i="2"/>
  <c r="A389" i="2"/>
  <c r="S388" i="2"/>
  <c r="Q388" i="2"/>
  <c r="P388" i="2"/>
  <c r="O388" i="2"/>
  <c r="A388" i="2"/>
  <c r="S387" i="2"/>
  <c r="Q387" i="2"/>
  <c r="P387" i="2"/>
  <c r="R387" i="2"/>
  <c r="A387" i="2"/>
  <c r="S386" i="2"/>
  <c r="Q386" i="2"/>
  <c r="P386" i="2"/>
  <c r="O386" i="2"/>
  <c r="A386" i="2"/>
  <c r="S385" i="2"/>
  <c r="Q385" i="2"/>
  <c r="P385" i="2"/>
  <c r="O385" i="2"/>
  <c r="A385" i="2"/>
  <c r="S384" i="2"/>
  <c r="Q384" i="2"/>
  <c r="P384" i="2"/>
  <c r="R384" i="2"/>
  <c r="A384" i="2"/>
  <c r="S383" i="2"/>
  <c r="Q383" i="2"/>
  <c r="P383" i="2"/>
  <c r="R383" i="2"/>
  <c r="A383" i="2"/>
  <c r="S382" i="2"/>
  <c r="Q382" i="2"/>
  <c r="P382" i="2"/>
  <c r="R382" i="2"/>
  <c r="A382" i="2"/>
  <c r="S381" i="2"/>
  <c r="Q381" i="2"/>
  <c r="P381" i="2"/>
  <c r="R381" i="2"/>
  <c r="A381" i="2"/>
  <c r="S380" i="2"/>
  <c r="Q380" i="2"/>
  <c r="P380" i="2"/>
  <c r="O380" i="2"/>
  <c r="A380" i="2"/>
  <c r="S379" i="2"/>
  <c r="Q379" i="2"/>
  <c r="P379" i="2"/>
  <c r="R379" i="2"/>
  <c r="A379" i="2"/>
  <c r="S378" i="2"/>
  <c r="Q378" i="2"/>
  <c r="P378" i="2"/>
  <c r="O378" i="2"/>
  <c r="A378" i="2"/>
  <c r="S377" i="2"/>
  <c r="Q377" i="2"/>
  <c r="P377" i="2"/>
  <c r="R377" i="2"/>
  <c r="A377" i="2"/>
  <c r="S376" i="2"/>
  <c r="Q376" i="2"/>
  <c r="P376" i="2"/>
  <c r="O376" i="2"/>
  <c r="A376" i="2"/>
  <c r="S375" i="2"/>
  <c r="Q375" i="2"/>
  <c r="P375" i="2"/>
  <c r="R375" i="2"/>
  <c r="A375" i="2"/>
  <c r="S374" i="2"/>
  <c r="Q374" i="2"/>
  <c r="P374" i="2"/>
  <c r="O374" i="2"/>
  <c r="A374" i="2"/>
  <c r="S373" i="2"/>
  <c r="Q373" i="2"/>
  <c r="P373" i="2"/>
  <c r="O373" i="2"/>
  <c r="A373" i="2"/>
  <c r="S372" i="2"/>
  <c r="Q372" i="2"/>
  <c r="P372" i="2"/>
  <c r="O372" i="2"/>
  <c r="A372" i="2"/>
  <c r="S371" i="2"/>
  <c r="Q371" i="2"/>
  <c r="P371" i="2"/>
  <c r="R371" i="2"/>
  <c r="A371" i="2"/>
  <c r="S370" i="2"/>
  <c r="Q370" i="2"/>
  <c r="P370" i="2"/>
  <c r="R370" i="2"/>
  <c r="A370" i="2"/>
  <c r="S369" i="2"/>
  <c r="Q369" i="2"/>
  <c r="P369" i="2"/>
  <c r="R369" i="2"/>
  <c r="A369" i="2"/>
  <c r="S368" i="2"/>
  <c r="Q368" i="2"/>
  <c r="P368" i="2"/>
  <c r="O368" i="2"/>
  <c r="A368" i="2"/>
  <c r="S367" i="2"/>
  <c r="Q367" i="2"/>
  <c r="P367" i="2"/>
  <c r="R367" i="2"/>
  <c r="A367" i="2"/>
  <c r="S366" i="2"/>
  <c r="Q366" i="2"/>
  <c r="P366" i="2"/>
  <c r="O366" i="2"/>
  <c r="A366" i="2"/>
  <c r="S365" i="2"/>
  <c r="Q365" i="2"/>
  <c r="P365" i="2"/>
  <c r="R365" i="2"/>
  <c r="A365" i="2"/>
  <c r="S364" i="2"/>
  <c r="Q364" i="2"/>
  <c r="P364" i="2"/>
  <c r="O364" i="2"/>
  <c r="A364" i="2"/>
  <c r="S363" i="2"/>
  <c r="Q363" i="2"/>
  <c r="P363" i="2"/>
  <c r="R363" i="2"/>
  <c r="A363" i="2"/>
  <c r="S362" i="2"/>
  <c r="Q362" i="2"/>
  <c r="P362" i="2"/>
  <c r="A362" i="2"/>
  <c r="S361" i="2"/>
  <c r="Q361" i="2"/>
  <c r="P361" i="2"/>
  <c r="R361" i="2"/>
  <c r="A361" i="2"/>
  <c r="S360" i="2"/>
  <c r="Q360" i="2"/>
  <c r="P360" i="2"/>
  <c r="R360" i="2"/>
  <c r="A360" i="2"/>
  <c r="S359" i="2"/>
  <c r="Q359" i="2"/>
  <c r="P359" i="2"/>
  <c r="R359" i="2"/>
  <c r="A359" i="2"/>
  <c r="S358" i="2"/>
  <c r="Q358" i="2"/>
  <c r="P358" i="2"/>
  <c r="R358" i="2"/>
  <c r="A358" i="2"/>
  <c r="S357" i="2"/>
  <c r="Q357" i="2"/>
  <c r="P357" i="2"/>
  <c r="R357" i="2"/>
  <c r="A357" i="2"/>
  <c r="S356" i="2"/>
  <c r="Q356" i="2"/>
  <c r="P356" i="2"/>
  <c r="O356" i="2"/>
  <c r="A356" i="2"/>
  <c r="S355" i="2"/>
  <c r="Q355" i="2"/>
  <c r="P355" i="2"/>
  <c r="R355" i="2"/>
  <c r="A355" i="2"/>
  <c r="S354" i="2"/>
  <c r="Q354" i="2"/>
  <c r="P354" i="2"/>
  <c r="O354" i="2"/>
  <c r="A354" i="2"/>
  <c r="S353" i="2"/>
  <c r="Q353" i="2"/>
  <c r="P353" i="2"/>
  <c r="R353" i="2"/>
  <c r="A353" i="2"/>
  <c r="S352" i="2"/>
  <c r="Q352" i="2"/>
  <c r="P352" i="2"/>
  <c r="O352" i="2"/>
  <c r="A352" i="2"/>
  <c r="S351" i="2"/>
  <c r="Q351" i="2"/>
  <c r="P351" i="2"/>
  <c r="O351" i="2"/>
  <c r="A351" i="2"/>
  <c r="S350" i="2"/>
  <c r="Q350" i="2"/>
  <c r="P350" i="2"/>
  <c r="O350" i="2"/>
  <c r="A350" i="2"/>
  <c r="S349" i="2"/>
  <c r="Q349" i="2"/>
  <c r="P349" i="2"/>
  <c r="O349" i="2"/>
  <c r="A349" i="2"/>
  <c r="S348" i="2"/>
  <c r="Q348" i="2"/>
  <c r="P348" i="2"/>
  <c r="O348" i="2"/>
  <c r="A348" i="2"/>
  <c r="S347" i="2"/>
  <c r="Q347" i="2"/>
  <c r="P347" i="2"/>
  <c r="R347" i="2"/>
  <c r="A347" i="2"/>
  <c r="S346" i="2"/>
  <c r="Q346" i="2"/>
  <c r="P346" i="2"/>
  <c r="O346" i="2"/>
  <c r="A346" i="2"/>
  <c r="S345" i="2"/>
  <c r="Q345" i="2"/>
  <c r="P345" i="2"/>
  <c r="R345" i="2"/>
  <c r="A345" i="2"/>
  <c r="S344" i="2"/>
  <c r="Q344" i="2"/>
  <c r="P344" i="2"/>
  <c r="O344" i="2"/>
  <c r="A344" i="2"/>
  <c r="S343" i="2"/>
  <c r="Q343" i="2"/>
  <c r="P343" i="2"/>
  <c r="R343" i="2"/>
  <c r="A343" i="2"/>
  <c r="S342" i="2"/>
  <c r="Q342" i="2"/>
  <c r="P342" i="2"/>
  <c r="O342" i="2"/>
  <c r="A342" i="2"/>
  <c r="S341" i="2"/>
  <c r="Q341" i="2"/>
  <c r="P341" i="2"/>
  <c r="R341" i="2"/>
  <c r="A341" i="2"/>
  <c r="S340" i="2"/>
  <c r="Q340" i="2"/>
  <c r="P340" i="2"/>
  <c r="O340" i="2"/>
  <c r="A340" i="2"/>
  <c r="S339" i="2"/>
  <c r="Q339" i="2"/>
  <c r="P339" i="2"/>
  <c r="O339" i="2"/>
  <c r="A339" i="2"/>
  <c r="S338" i="2"/>
  <c r="Q338" i="2"/>
  <c r="P338" i="2"/>
  <c r="O338" i="2"/>
  <c r="A338" i="2"/>
  <c r="S337" i="2"/>
  <c r="Q337" i="2"/>
  <c r="P337" i="2"/>
  <c r="R337" i="2"/>
  <c r="A337" i="2"/>
  <c r="S336" i="2"/>
  <c r="Q336" i="2"/>
  <c r="P336" i="2"/>
  <c r="O336" i="2"/>
  <c r="A336" i="2"/>
  <c r="S335" i="2"/>
  <c r="Q335" i="2"/>
  <c r="P335" i="2"/>
  <c r="R335" i="2"/>
  <c r="A335" i="2"/>
  <c r="S334" i="2"/>
  <c r="Q334" i="2"/>
  <c r="P334" i="2"/>
  <c r="R334" i="2"/>
  <c r="A334" i="2"/>
  <c r="S333" i="2"/>
  <c r="Q333" i="2"/>
  <c r="P333" i="2"/>
  <c r="R333" i="2"/>
  <c r="A333" i="2"/>
  <c r="S332" i="2"/>
  <c r="Q332" i="2"/>
  <c r="P332" i="2"/>
  <c r="O332" i="2"/>
  <c r="A332" i="2"/>
  <c r="S331" i="2"/>
  <c r="Q331" i="2"/>
  <c r="P331" i="2"/>
  <c r="R331" i="2"/>
  <c r="A331" i="2"/>
  <c r="S330" i="2"/>
  <c r="Q330" i="2"/>
  <c r="P330" i="2"/>
  <c r="O330" i="2"/>
  <c r="A330" i="2"/>
  <c r="S329" i="2"/>
  <c r="Q329" i="2"/>
  <c r="P329" i="2"/>
  <c r="R329" i="2"/>
  <c r="A329" i="2"/>
  <c r="S328" i="2"/>
  <c r="Q328" i="2"/>
  <c r="P328" i="2"/>
  <c r="O328" i="2"/>
  <c r="A328" i="2"/>
  <c r="S327" i="2"/>
  <c r="Q327" i="2"/>
  <c r="P327" i="2"/>
  <c r="R327" i="2"/>
  <c r="A327" i="2"/>
  <c r="S326" i="2"/>
  <c r="Q326" i="2"/>
  <c r="P326" i="2"/>
  <c r="A326" i="2"/>
  <c r="S325" i="2"/>
  <c r="Q325" i="2"/>
  <c r="P325" i="2"/>
  <c r="R325" i="2"/>
  <c r="A325" i="2"/>
  <c r="S324" i="2"/>
  <c r="Q324" i="2"/>
  <c r="P324" i="2"/>
  <c r="R324" i="2"/>
  <c r="A324" i="2"/>
  <c r="S323" i="2"/>
  <c r="Q323" i="2"/>
  <c r="P323" i="2"/>
  <c r="R323" i="2"/>
  <c r="A323" i="2"/>
  <c r="S322" i="2"/>
  <c r="Q322" i="2"/>
  <c r="P322" i="2"/>
  <c r="R322" i="2"/>
  <c r="A322" i="2"/>
  <c r="S321" i="2"/>
  <c r="Q321" i="2"/>
  <c r="P321" i="2"/>
  <c r="R321" i="2"/>
  <c r="A321" i="2"/>
  <c r="S320" i="2"/>
  <c r="Q320" i="2"/>
  <c r="P320" i="2"/>
  <c r="O320" i="2"/>
  <c r="A320" i="2"/>
  <c r="S319" i="2"/>
  <c r="Q319" i="2"/>
  <c r="P319" i="2"/>
  <c r="R319" i="2"/>
  <c r="A319" i="2"/>
  <c r="S318" i="2"/>
  <c r="Q318" i="2"/>
  <c r="P318" i="2"/>
  <c r="O318" i="2"/>
  <c r="A318" i="2"/>
  <c r="S317" i="2"/>
  <c r="Q317" i="2"/>
  <c r="P317" i="2"/>
  <c r="R317" i="2"/>
  <c r="A317" i="2"/>
  <c r="S316" i="2"/>
  <c r="Q316" i="2"/>
  <c r="P316" i="2"/>
  <c r="O316" i="2"/>
  <c r="A316" i="2"/>
  <c r="S315" i="2"/>
  <c r="Q315" i="2"/>
  <c r="P315" i="2"/>
  <c r="O315" i="2"/>
  <c r="A315" i="2"/>
  <c r="S314" i="2"/>
  <c r="Q314" i="2"/>
  <c r="P314" i="2"/>
  <c r="O314" i="2"/>
  <c r="A314" i="2"/>
  <c r="S313" i="2"/>
  <c r="Q313" i="2"/>
  <c r="P313" i="2"/>
  <c r="O313" i="2"/>
  <c r="A313" i="2"/>
  <c r="S312" i="2"/>
  <c r="Q312" i="2"/>
  <c r="P312" i="2"/>
  <c r="R312" i="2"/>
  <c r="A312" i="2"/>
  <c r="S311" i="2"/>
  <c r="Q311" i="2"/>
  <c r="P311" i="2"/>
  <c r="R311" i="2"/>
  <c r="A311" i="2"/>
  <c r="S310" i="2"/>
  <c r="Q310" i="2"/>
  <c r="P310" i="2"/>
  <c r="O310" i="2"/>
  <c r="A310" i="2"/>
  <c r="S309" i="2"/>
  <c r="Q309" i="2"/>
  <c r="P309" i="2"/>
  <c r="R309" i="2"/>
  <c r="A309" i="2"/>
  <c r="S308" i="2"/>
  <c r="Q308" i="2"/>
  <c r="P308" i="2"/>
  <c r="O308" i="2"/>
  <c r="A308" i="2"/>
  <c r="S307" i="2"/>
  <c r="Q307" i="2"/>
  <c r="P307" i="2"/>
  <c r="R307" i="2"/>
  <c r="A307" i="2"/>
  <c r="S306" i="2"/>
  <c r="Q306" i="2"/>
  <c r="P306" i="2"/>
  <c r="O306" i="2"/>
  <c r="A306" i="2"/>
  <c r="S305" i="2"/>
  <c r="Q305" i="2"/>
  <c r="P305" i="2"/>
  <c r="R305" i="2"/>
  <c r="A305" i="2"/>
  <c r="S304" i="2"/>
  <c r="Q304" i="2"/>
  <c r="P304" i="2"/>
  <c r="O304" i="2"/>
  <c r="A304" i="2"/>
  <c r="S303" i="2"/>
  <c r="Q303" i="2"/>
  <c r="P303" i="2"/>
  <c r="O303" i="2"/>
  <c r="A303" i="2"/>
  <c r="S302" i="2"/>
  <c r="Q302" i="2"/>
  <c r="P302" i="2"/>
  <c r="O302" i="2"/>
  <c r="A302" i="2"/>
  <c r="S301" i="2"/>
  <c r="Q301" i="2"/>
  <c r="P301" i="2"/>
  <c r="O301" i="2"/>
  <c r="A301" i="2"/>
  <c r="S300" i="2"/>
  <c r="Q300" i="2"/>
  <c r="P300" i="2"/>
  <c r="O300" i="2"/>
  <c r="A300" i="2"/>
  <c r="S299" i="2"/>
  <c r="Q299" i="2"/>
  <c r="P299" i="2"/>
  <c r="R299" i="2"/>
  <c r="A299" i="2"/>
  <c r="S298" i="2"/>
  <c r="Q298" i="2"/>
  <c r="P298" i="2"/>
  <c r="R298" i="2"/>
  <c r="A298" i="2"/>
  <c r="S297" i="2"/>
  <c r="Q297" i="2"/>
  <c r="P297" i="2"/>
  <c r="R297" i="2"/>
  <c r="A297" i="2"/>
  <c r="S296" i="2"/>
  <c r="Q296" i="2"/>
  <c r="P296" i="2"/>
  <c r="O296" i="2"/>
  <c r="A296" i="2"/>
  <c r="S295" i="2"/>
  <c r="Q295" i="2"/>
  <c r="P295" i="2"/>
  <c r="R295" i="2"/>
  <c r="A295" i="2"/>
  <c r="S294" i="2"/>
  <c r="Q294" i="2"/>
  <c r="P294" i="2"/>
  <c r="O294" i="2"/>
  <c r="A294" i="2"/>
  <c r="S293" i="2"/>
  <c r="Q293" i="2"/>
  <c r="P293" i="2"/>
  <c r="R293" i="2"/>
  <c r="A293" i="2"/>
  <c r="S292" i="2"/>
  <c r="Q292" i="2"/>
  <c r="P292" i="2"/>
  <c r="O292" i="2"/>
  <c r="A292" i="2"/>
  <c r="S291" i="2"/>
  <c r="Q291" i="2"/>
  <c r="P291" i="2"/>
  <c r="R291" i="2"/>
  <c r="A291" i="2"/>
  <c r="S290" i="2"/>
  <c r="Q290" i="2"/>
  <c r="P290" i="2"/>
  <c r="A290" i="2"/>
  <c r="S289" i="2"/>
  <c r="Q289" i="2"/>
  <c r="P289" i="2"/>
  <c r="R289" i="2"/>
  <c r="A289" i="2"/>
  <c r="S288" i="2"/>
  <c r="Q288" i="2"/>
  <c r="P288" i="2"/>
  <c r="R288" i="2"/>
  <c r="A288" i="2"/>
  <c r="S287" i="2"/>
  <c r="Q287" i="2"/>
  <c r="P287" i="2"/>
  <c r="R287" i="2"/>
  <c r="A287" i="2"/>
  <c r="S286" i="2"/>
  <c r="Q286" i="2"/>
  <c r="P286" i="2"/>
  <c r="A286" i="2"/>
  <c r="S285" i="2"/>
  <c r="Q285" i="2"/>
  <c r="P285" i="2"/>
  <c r="R285" i="2"/>
  <c r="A285" i="2"/>
  <c r="S284" i="2"/>
  <c r="Q284" i="2"/>
  <c r="P284" i="2"/>
  <c r="O284" i="2"/>
  <c r="A284" i="2"/>
  <c r="S283" i="2"/>
  <c r="Q283" i="2"/>
  <c r="P283" i="2"/>
  <c r="R283" i="2"/>
  <c r="A283" i="2"/>
  <c r="S282" i="2"/>
  <c r="Q282" i="2"/>
  <c r="P282" i="2"/>
  <c r="O282" i="2"/>
  <c r="A282" i="2"/>
  <c r="S281" i="2"/>
  <c r="Q281" i="2"/>
  <c r="P281" i="2"/>
  <c r="R281" i="2"/>
  <c r="A281" i="2"/>
  <c r="S280" i="2"/>
  <c r="Q280" i="2"/>
  <c r="P280" i="2"/>
  <c r="O280" i="2"/>
  <c r="A280" i="2"/>
  <c r="S279" i="2"/>
  <c r="Q279" i="2"/>
  <c r="P279" i="2"/>
  <c r="O279" i="2"/>
  <c r="A279" i="2"/>
  <c r="S278" i="2"/>
  <c r="Q278" i="2"/>
  <c r="P278" i="2"/>
  <c r="O278" i="2"/>
  <c r="A278" i="2"/>
  <c r="S277" i="2"/>
  <c r="Q277" i="2"/>
  <c r="P277" i="2"/>
  <c r="O277" i="2"/>
  <c r="A277" i="2"/>
  <c r="S276" i="2"/>
  <c r="Q276" i="2"/>
  <c r="P276" i="2"/>
  <c r="O276" i="2"/>
  <c r="A276" i="2"/>
  <c r="S275" i="2"/>
  <c r="Q275" i="2"/>
  <c r="P275" i="2"/>
  <c r="R275" i="2"/>
  <c r="A275" i="2"/>
  <c r="S274" i="2"/>
  <c r="Q274" i="2"/>
  <c r="P274" i="2"/>
  <c r="O274" i="2"/>
  <c r="A274" i="2"/>
  <c r="S273" i="2"/>
  <c r="Q273" i="2"/>
  <c r="P273" i="2"/>
  <c r="R273" i="2"/>
  <c r="A273" i="2"/>
  <c r="S272" i="2"/>
  <c r="Q272" i="2"/>
  <c r="P272" i="2"/>
  <c r="O272" i="2"/>
  <c r="A272" i="2"/>
  <c r="S271" i="2"/>
  <c r="Q271" i="2"/>
  <c r="P271" i="2"/>
  <c r="R271" i="2"/>
  <c r="A271" i="2"/>
  <c r="S270" i="2"/>
  <c r="Q270" i="2"/>
  <c r="P270" i="2"/>
  <c r="O270" i="2"/>
  <c r="A270" i="2"/>
  <c r="S269" i="2"/>
  <c r="Q269" i="2"/>
  <c r="P269" i="2"/>
  <c r="R269" i="2"/>
  <c r="A269" i="2"/>
  <c r="S268" i="2"/>
  <c r="Q268" i="2"/>
  <c r="P268" i="2"/>
  <c r="O268" i="2"/>
  <c r="A268" i="2"/>
  <c r="S267" i="2"/>
  <c r="Q267" i="2"/>
  <c r="P267" i="2"/>
  <c r="O267" i="2"/>
  <c r="A267" i="2"/>
  <c r="S266" i="2"/>
  <c r="Q266" i="2"/>
  <c r="P266" i="2"/>
  <c r="O266" i="2"/>
  <c r="A266" i="2"/>
  <c r="S265" i="2"/>
  <c r="Q265" i="2"/>
  <c r="P265" i="2"/>
  <c r="O265" i="2"/>
  <c r="A265" i="2"/>
  <c r="S264" i="2"/>
  <c r="Q264" i="2"/>
  <c r="P264" i="2"/>
  <c r="O264" i="2"/>
  <c r="A264" i="2"/>
  <c r="S263" i="2"/>
  <c r="Q263" i="2"/>
  <c r="P263" i="2"/>
  <c r="R263" i="2"/>
  <c r="A263" i="2"/>
  <c r="S262" i="2"/>
  <c r="Q262" i="2"/>
  <c r="P262" i="2"/>
  <c r="R262" i="2"/>
  <c r="A262" i="2"/>
  <c r="S261" i="2"/>
  <c r="Q261" i="2"/>
  <c r="P261" i="2"/>
  <c r="O261" i="2"/>
  <c r="A261" i="2"/>
  <c r="S260" i="2"/>
  <c r="Q260" i="2"/>
  <c r="P260" i="2"/>
  <c r="A260" i="2"/>
  <c r="S259" i="2"/>
  <c r="Q259" i="2"/>
  <c r="P259" i="2"/>
  <c r="R259" i="2"/>
  <c r="A259" i="2"/>
  <c r="S258" i="2"/>
  <c r="Q258" i="2"/>
  <c r="P258" i="2"/>
  <c r="A258" i="2"/>
  <c r="S257" i="2"/>
  <c r="Q257" i="2"/>
  <c r="P257" i="2"/>
  <c r="R257" i="2"/>
  <c r="A257" i="2"/>
  <c r="S256" i="2"/>
  <c r="Q256" i="2"/>
  <c r="P256" i="2"/>
  <c r="A256" i="2"/>
  <c r="S255" i="2"/>
  <c r="Q255" i="2"/>
  <c r="P255" i="2"/>
  <c r="O255" i="2"/>
  <c r="A255" i="2"/>
  <c r="S254" i="2"/>
  <c r="Q254" i="2"/>
  <c r="P254" i="2"/>
  <c r="A254" i="2"/>
  <c r="S253" i="2"/>
  <c r="Q253" i="2"/>
  <c r="P253" i="2"/>
  <c r="O253" i="2"/>
  <c r="A253" i="2"/>
  <c r="S252" i="2"/>
  <c r="Q252" i="2"/>
  <c r="P252" i="2"/>
  <c r="A252" i="2"/>
  <c r="S251" i="2"/>
  <c r="Q251" i="2"/>
  <c r="P251" i="2"/>
  <c r="R251" i="2"/>
  <c r="A251" i="2"/>
  <c r="S250" i="2"/>
  <c r="Q250" i="2"/>
  <c r="P250" i="2"/>
  <c r="O250" i="2"/>
  <c r="A250" i="2"/>
  <c r="S249" i="2"/>
  <c r="Q249" i="2"/>
  <c r="P249" i="2"/>
  <c r="R249" i="2"/>
  <c r="A249" i="2"/>
  <c r="S248" i="2"/>
  <c r="Q248" i="2"/>
  <c r="P248" i="2"/>
  <c r="A248" i="2"/>
  <c r="S247" i="2"/>
  <c r="Q247" i="2"/>
  <c r="P247" i="2"/>
  <c r="R247" i="2"/>
  <c r="A247" i="2"/>
  <c r="S246" i="2"/>
  <c r="Q246" i="2"/>
  <c r="P246" i="2"/>
  <c r="A246" i="2"/>
  <c r="S245" i="2"/>
  <c r="Q245" i="2"/>
  <c r="P245" i="2"/>
  <c r="R245" i="2"/>
  <c r="A245" i="2"/>
  <c r="S244" i="2"/>
  <c r="Q244" i="2"/>
  <c r="P244" i="2"/>
  <c r="A244" i="2"/>
  <c r="S243" i="2"/>
  <c r="Q243" i="2"/>
  <c r="P243" i="2"/>
  <c r="R243" i="2"/>
  <c r="A243" i="2"/>
  <c r="S242" i="2"/>
  <c r="Q242" i="2"/>
  <c r="P242" i="2"/>
  <c r="O242" i="2"/>
  <c r="A242" i="2"/>
  <c r="S241" i="2"/>
  <c r="Q241" i="2"/>
  <c r="P241" i="2"/>
  <c r="O241" i="2"/>
  <c r="A241" i="2"/>
  <c r="S240" i="2"/>
  <c r="Q240" i="2"/>
  <c r="P240" i="2"/>
  <c r="O240" i="2"/>
  <c r="A240" i="2"/>
  <c r="S239" i="2"/>
  <c r="Q239" i="2"/>
  <c r="P239" i="2"/>
  <c r="R239" i="2"/>
  <c r="A239" i="2"/>
  <c r="S238" i="2"/>
  <c r="Q238" i="2"/>
  <c r="P238" i="2"/>
  <c r="O238" i="2"/>
  <c r="A238" i="2"/>
  <c r="S237" i="2"/>
  <c r="Q237" i="2"/>
  <c r="P237" i="2"/>
  <c r="R237" i="2"/>
  <c r="A237" i="2"/>
  <c r="S236" i="2"/>
  <c r="Q236" i="2"/>
  <c r="P236" i="2"/>
  <c r="O236" i="2"/>
  <c r="A236" i="2"/>
  <c r="S235" i="2"/>
  <c r="Q235" i="2"/>
  <c r="P235" i="2"/>
  <c r="R235" i="2"/>
  <c r="A235" i="2"/>
  <c r="S234" i="2"/>
  <c r="Q234" i="2"/>
  <c r="P234" i="2"/>
  <c r="O234" i="2"/>
  <c r="A234" i="2"/>
  <c r="S233" i="2"/>
  <c r="Q233" i="2"/>
  <c r="P233" i="2"/>
  <c r="R233" i="2"/>
  <c r="A233" i="2"/>
  <c r="S232" i="2"/>
  <c r="Q232" i="2"/>
  <c r="P232" i="2"/>
  <c r="O232" i="2"/>
  <c r="A232" i="2"/>
  <c r="S231" i="2"/>
  <c r="Q231" i="2"/>
  <c r="P231" i="2"/>
  <c r="O231" i="2"/>
  <c r="A231" i="2"/>
  <c r="S230" i="2"/>
  <c r="Q230" i="2"/>
  <c r="P230" i="2"/>
  <c r="O230" i="2"/>
  <c r="A230" i="2"/>
  <c r="S229" i="2"/>
  <c r="Q229" i="2"/>
  <c r="P229" i="2"/>
  <c r="O229" i="2"/>
  <c r="A229" i="2"/>
  <c r="S228" i="2"/>
  <c r="Q228" i="2"/>
  <c r="P228" i="2"/>
  <c r="R228" i="2"/>
  <c r="A228" i="2"/>
  <c r="S227" i="2"/>
  <c r="Q227" i="2"/>
  <c r="P227" i="2"/>
  <c r="R227" i="2"/>
  <c r="A227" i="2"/>
  <c r="S226" i="2"/>
  <c r="Q226" i="2"/>
  <c r="P226" i="2"/>
  <c r="R226" i="2"/>
  <c r="A226" i="2"/>
  <c r="S225" i="2"/>
  <c r="Q225" i="2"/>
  <c r="P225" i="2"/>
  <c r="O225" i="2"/>
  <c r="A225" i="2"/>
  <c r="S224" i="2"/>
  <c r="Q224" i="2"/>
  <c r="P224" i="2"/>
  <c r="O224" i="2"/>
  <c r="A224" i="2"/>
  <c r="S223" i="2"/>
  <c r="Q223" i="2"/>
  <c r="P223" i="2"/>
  <c r="R223" i="2"/>
  <c r="A223" i="2"/>
  <c r="S222" i="2"/>
  <c r="Q222" i="2"/>
  <c r="P222" i="2"/>
  <c r="O222" i="2"/>
  <c r="A222" i="2"/>
  <c r="S221" i="2"/>
  <c r="Q221" i="2"/>
  <c r="P221" i="2"/>
  <c r="R221" i="2"/>
  <c r="A221" i="2"/>
  <c r="S220" i="2"/>
  <c r="Q220" i="2"/>
  <c r="P220" i="2"/>
  <c r="O220" i="2"/>
  <c r="A220" i="2"/>
  <c r="S219" i="2"/>
  <c r="Q219" i="2"/>
  <c r="P219" i="2"/>
  <c r="O219" i="2"/>
  <c r="A219" i="2"/>
  <c r="S218" i="2"/>
  <c r="Q218" i="2"/>
  <c r="P218" i="2"/>
  <c r="O218" i="2"/>
  <c r="A218" i="2"/>
  <c r="S217" i="2"/>
  <c r="Q217" i="2"/>
  <c r="P217" i="2"/>
  <c r="O217" i="2"/>
  <c r="A217" i="2"/>
  <c r="S216" i="2"/>
  <c r="Q216" i="2"/>
  <c r="P216" i="2"/>
  <c r="O216" i="2"/>
  <c r="A216" i="2"/>
  <c r="S215" i="2"/>
  <c r="Q215" i="2"/>
  <c r="P215" i="2"/>
  <c r="R215" i="2"/>
  <c r="A215" i="2"/>
  <c r="S214" i="2"/>
  <c r="Q214" i="2"/>
  <c r="P214" i="2"/>
  <c r="O214" i="2"/>
  <c r="A214" i="2"/>
  <c r="S213" i="2"/>
  <c r="Q213" i="2"/>
  <c r="P213" i="2"/>
  <c r="R213" i="2"/>
  <c r="A213" i="2"/>
  <c r="S212" i="2"/>
  <c r="Q212" i="2"/>
  <c r="P212" i="2"/>
  <c r="O212" i="2"/>
  <c r="A212" i="2"/>
  <c r="S211" i="2"/>
  <c r="Q211" i="2"/>
  <c r="P211" i="2"/>
  <c r="R211" i="2"/>
  <c r="A211" i="2"/>
  <c r="S210" i="2"/>
  <c r="Q210" i="2"/>
  <c r="P210" i="2"/>
  <c r="O210" i="2"/>
  <c r="A210" i="2"/>
  <c r="S209" i="2"/>
  <c r="Q209" i="2"/>
  <c r="P209" i="2"/>
  <c r="R209" i="2"/>
  <c r="A209" i="2"/>
  <c r="S208" i="2"/>
  <c r="Q208" i="2"/>
  <c r="P208" i="2"/>
  <c r="O208" i="2"/>
  <c r="A208" i="2"/>
  <c r="S207" i="2"/>
  <c r="Q207" i="2"/>
  <c r="P207" i="2"/>
  <c r="R207" i="2"/>
  <c r="A207" i="2"/>
  <c r="S206" i="2"/>
  <c r="Q206" i="2"/>
  <c r="P206" i="2"/>
  <c r="O206" i="2"/>
  <c r="A206" i="2"/>
  <c r="S205" i="2"/>
  <c r="Q205" i="2"/>
  <c r="P205" i="2"/>
  <c r="R205" i="2"/>
  <c r="A205" i="2"/>
  <c r="S204" i="2"/>
  <c r="Q204" i="2"/>
  <c r="P204" i="2"/>
  <c r="R204" i="2"/>
  <c r="A204" i="2"/>
  <c r="S203" i="2"/>
  <c r="Q203" i="2"/>
  <c r="P203" i="2"/>
  <c r="R203" i="2"/>
  <c r="A203" i="2"/>
  <c r="S202" i="2"/>
  <c r="Q202" i="2"/>
  <c r="P202" i="2"/>
  <c r="A202" i="2"/>
  <c r="S201" i="2"/>
  <c r="Q201" i="2"/>
  <c r="P201" i="2"/>
  <c r="R201" i="2"/>
  <c r="A201" i="2"/>
  <c r="S200" i="2"/>
  <c r="Q200" i="2"/>
  <c r="P200" i="2"/>
  <c r="A200" i="2"/>
  <c r="S199" i="2"/>
  <c r="Q199" i="2"/>
  <c r="P199" i="2"/>
  <c r="R199" i="2"/>
  <c r="A199" i="2"/>
  <c r="S198" i="2"/>
  <c r="Q198" i="2"/>
  <c r="P198" i="2"/>
  <c r="A198" i="2"/>
  <c r="S197" i="2"/>
  <c r="Q197" i="2"/>
  <c r="P197" i="2"/>
  <c r="R197" i="2"/>
  <c r="A197" i="2"/>
  <c r="S196" i="2"/>
  <c r="Q196" i="2"/>
  <c r="P196" i="2"/>
  <c r="A196" i="2"/>
  <c r="S195" i="2"/>
  <c r="Q195" i="2"/>
  <c r="P195" i="2"/>
  <c r="O195" i="2"/>
  <c r="A195" i="2"/>
  <c r="S194" i="2"/>
  <c r="Q194" i="2"/>
  <c r="P194" i="2"/>
  <c r="O194" i="2"/>
  <c r="A194" i="2"/>
  <c r="S193" i="2"/>
  <c r="Q193" i="2"/>
  <c r="P193" i="2"/>
  <c r="O193" i="2"/>
  <c r="A193" i="2"/>
  <c r="S192" i="2"/>
  <c r="Q192" i="2"/>
  <c r="P192" i="2"/>
  <c r="R192" i="2"/>
  <c r="A192" i="2"/>
  <c r="S191" i="2"/>
  <c r="Q191" i="2"/>
  <c r="P191" i="2"/>
  <c r="R191" i="2"/>
  <c r="A191" i="2"/>
  <c r="S190" i="2"/>
  <c r="Q190" i="2"/>
  <c r="P190" i="2"/>
  <c r="O190" i="2"/>
  <c r="A190" i="2"/>
  <c r="S189" i="2"/>
  <c r="Q189" i="2"/>
  <c r="P189" i="2"/>
  <c r="R189" i="2"/>
  <c r="A189" i="2"/>
  <c r="S188" i="2"/>
  <c r="Q188" i="2"/>
  <c r="P188" i="2"/>
  <c r="O188" i="2"/>
  <c r="A188" i="2"/>
  <c r="S187" i="2"/>
  <c r="Q187" i="2"/>
  <c r="P187" i="2"/>
  <c r="A187" i="2"/>
  <c r="S186" i="2"/>
  <c r="Q186" i="2"/>
  <c r="P186" i="2"/>
  <c r="O186" i="2"/>
  <c r="A186" i="2"/>
  <c r="S185" i="2"/>
  <c r="Q185" i="2"/>
  <c r="P185" i="2"/>
  <c r="A185" i="2"/>
  <c r="S184" i="2"/>
  <c r="Q184" i="2"/>
  <c r="P184" i="2"/>
  <c r="O184" i="2"/>
  <c r="A184" i="2"/>
  <c r="S183" i="2"/>
  <c r="Q183" i="2"/>
  <c r="P183" i="2"/>
  <c r="O183" i="2"/>
  <c r="A183" i="2"/>
  <c r="S182" i="2"/>
  <c r="Q182" i="2"/>
  <c r="P182" i="2"/>
  <c r="O182" i="2"/>
  <c r="A182" i="2"/>
  <c r="S181" i="2"/>
  <c r="Q181" i="2"/>
  <c r="P181" i="2"/>
  <c r="R181" i="2"/>
  <c r="A181" i="2"/>
  <c r="S180" i="2"/>
  <c r="Q180" i="2"/>
  <c r="P180" i="2"/>
  <c r="O180" i="2"/>
  <c r="A180" i="2"/>
  <c r="S179" i="2"/>
  <c r="Q179" i="2"/>
  <c r="P179" i="2"/>
  <c r="R179" i="2"/>
  <c r="A179" i="2"/>
  <c r="S178" i="2"/>
  <c r="Q178" i="2"/>
  <c r="P178" i="2"/>
  <c r="R178" i="2"/>
  <c r="A178" i="2"/>
  <c r="S177" i="2"/>
  <c r="Q177" i="2"/>
  <c r="P177" i="2"/>
  <c r="O177" i="2"/>
  <c r="A177" i="2"/>
  <c r="S176" i="2"/>
  <c r="Q176" i="2"/>
  <c r="P176" i="2"/>
  <c r="O176" i="2"/>
  <c r="A176" i="2"/>
  <c r="S175" i="2"/>
  <c r="Q175" i="2"/>
  <c r="P175" i="2"/>
  <c r="R175" i="2"/>
  <c r="A175" i="2"/>
  <c r="S174" i="2"/>
  <c r="Q174" i="2"/>
  <c r="P174" i="2"/>
  <c r="O174" i="2"/>
  <c r="A174" i="2"/>
  <c r="S173" i="2"/>
  <c r="Q173" i="2"/>
  <c r="P173" i="2"/>
  <c r="R173" i="2"/>
  <c r="A173" i="2"/>
  <c r="S172" i="2"/>
  <c r="Q172" i="2"/>
  <c r="P172" i="2"/>
  <c r="O172" i="2"/>
  <c r="A172" i="2"/>
  <c r="S171" i="2"/>
  <c r="Q171" i="2"/>
  <c r="P171" i="2"/>
  <c r="R171" i="2"/>
  <c r="A171" i="2"/>
  <c r="S170" i="2"/>
  <c r="Q170" i="2"/>
  <c r="P170" i="2"/>
  <c r="A170" i="2"/>
  <c r="S169" i="2"/>
  <c r="Q169" i="2"/>
  <c r="P169" i="2"/>
  <c r="R169" i="2"/>
  <c r="A169" i="2"/>
  <c r="S168" i="2"/>
  <c r="Q168" i="2"/>
  <c r="P168" i="2"/>
  <c r="R168" i="2"/>
  <c r="A168" i="2"/>
  <c r="S167" i="2"/>
  <c r="Q167" i="2"/>
  <c r="P167" i="2"/>
  <c r="R167" i="2"/>
  <c r="A167" i="2"/>
  <c r="S166" i="2"/>
  <c r="Q166" i="2"/>
  <c r="P166" i="2"/>
  <c r="A166" i="2"/>
  <c r="S165" i="2"/>
  <c r="Q165" i="2"/>
  <c r="P165" i="2"/>
  <c r="R165" i="2"/>
  <c r="A165" i="2"/>
  <c r="S164" i="2"/>
  <c r="Q164" i="2"/>
  <c r="P164" i="2"/>
  <c r="O164" i="2"/>
  <c r="A164" i="2"/>
  <c r="S163" i="2"/>
  <c r="Q163" i="2"/>
  <c r="P163" i="2"/>
  <c r="R163" i="2"/>
  <c r="A163" i="2"/>
  <c r="S162" i="2"/>
  <c r="Q162" i="2"/>
  <c r="P162" i="2"/>
  <c r="O162" i="2"/>
  <c r="A162" i="2"/>
  <c r="S161" i="2"/>
  <c r="Q161" i="2"/>
  <c r="P161" i="2"/>
  <c r="R161" i="2"/>
  <c r="A161" i="2"/>
  <c r="S160" i="2"/>
  <c r="Q160" i="2"/>
  <c r="P160" i="2"/>
  <c r="O160" i="2"/>
  <c r="A160" i="2"/>
  <c r="S159" i="2"/>
  <c r="Q159" i="2"/>
  <c r="P159" i="2"/>
  <c r="R159" i="2"/>
  <c r="A159" i="2"/>
  <c r="S158" i="2"/>
  <c r="Q158" i="2"/>
  <c r="P158" i="2"/>
  <c r="A158" i="2"/>
  <c r="S157" i="2"/>
  <c r="Q157" i="2"/>
  <c r="P157" i="2"/>
  <c r="R157" i="2"/>
  <c r="A157" i="2"/>
  <c r="S156" i="2"/>
  <c r="Q156" i="2"/>
  <c r="P156" i="2"/>
  <c r="O156" i="2"/>
  <c r="A156" i="2"/>
  <c r="S155" i="2"/>
  <c r="Q155" i="2"/>
  <c r="P155" i="2"/>
  <c r="R155" i="2"/>
  <c r="A155" i="2"/>
  <c r="S154" i="2"/>
  <c r="Q154" i="2"/>
  <c r="P154" i="2"/>
  <c r="O154" i="2"/>
  <c r="A154" i="2"/>
  <c r="S153" i="2"/>
  <c r="Q153" i="2"/>
  <c r="P153" i="2"/>
  <c r="O153" i="2"/>
  <c r="A153" i="2"/>
  <c r="S152" i="2"/>
  <c r="Q152" i="2"/>
  <c r="P152" i="2"/>
  <c r="O152" i="2"/>
  <c r="A152" i="2"/>
  <c r="S151" i="2"/>
  <c r="Q151" i="2"/>
  <c r="P151" i="2"/>
  <c r="A151" i="2"/>
  <c r="S150" i="2"/>
  <c r="Q150" i="2"/>
  <c r="P150" i="2"/>
  <c r="O150" i="2"/>
  <c r="A150" i="2"/>
  <c r="S149" i="2"/>
  <c r="Q149" i="2"/>
  <c r="P149" i="2"/>
  <c r="A149" i="2"/>
  <c r="S148" i="2"/>
  <c r="Q148" i="2"/>
  <c r="P148" i="2"/>
  <c r="O148" i="2"/>
  <c r="A148" i="2"/>
  <c r="S147" i="2"/>
  <c r="Q147" i="2"/>
  <c r="P147" i="2"/>
  <c r="R147" i="2"/>
  <c r="A147" i="2"/>
  <c r="S146" i="2"/>
  <c r="Q146" i="2"/>
  <c r="P146" i="2"/>
  <c r="O146" i="2"/>
  <c r="A146" i="2"/>
  <c r="S145" i="2"/>
  <c r="Q145" i="2"/>
  <c r="P145" i="2"/>
  <c r="R145" i="2"/>
  <c r="A145" i="2"/>
  <c r="S144" i="2"/>
  <c r="Q144" i="2"/>
  <c r="P144" i="2"/>
  <c r="A144" i="2"/>
  <c r="S143" i="2"/>
  <c r="Q143" i="2"/>
  <c r="P143" i="2"/>
  <c r="R143" i="2"/>
  <c r="A143" i="2"/>
  <c r="S142" i="2"/>
  <c r="Q142" i="2"/>
  <c r="P142" i="2"/>
  <c r="R142" i="2"/>
  <c r="A142" i="2"/>
  <c r="S141" i="2"/>
  <c r="Q141" i="2"/>
  <c r="P141" i="2"/>
  <c r="R141" i="2"/>
  <c r="A141" i="2"/>
  <c r="S140" i="2"/>
  <c r="Q140" i="2"/>
  <c r="P140" i="2"/>
  <c r="O140" i="2"/>
  <c r="A140" i="2"/>
  <c r="S139" i="2"/>
  <c r="Q139" i="2"/>
  <c r="P139" i="2"/>
  <c r="R139" i="2"/>
  <c r="A139" i="2"/>
  <c r="S138" i="2"/>
  <c r="Q138" i="2"/>
  <c r="P138" i="2"/>
  <c r="O138" i="2"/>
  <c r="A138" i="2"/>
  <c r="S137" i="2"/>
  <c r="Q137" i="2"/>
  <c r="P137" i="2"/>
  <c r="R137" i="2"/>
  <c r="A137" i="2"/>
  <c r="S136" i="2"/>
  <c r="Q136" i="2"/>
  <c r="P136" i="2"/>
  <c r="O136" i="2"/>
  <c r="A136" i="2"/>
  <c r="S135" i="2"/>
  <c r="Q135" i="2"/>
  <c r="P135" i="2"/>
  <c r="O135" i="2"/>
  <c r="A135" i="2"/>
  <c r="S134" i="2"/>
  <c r="Q134" i="2"/>
  <c r="P134" i="2"/>
  <c r="O134" i="2"/>
  <c r="A134" i="2"/>
  <c r="S133" i="2"/>
  <c r="Q133" i="2"/>
  <c r="P133" i="2"/>
  <c r="O133" i="2"/>
  <c r="A133" i="2"/>
  <c r="S132" i="2"/>
  <c r="Q132" i="2"/>
  <c r="P132" i="2"/>
  <c r="O132" i="2"/>
  <c r="A132" i="2"/>
  <c r="S131" i="2"/>
  <c r="Q131" i="2"/>
  <c r="P131" i="2"/>
  <c r="R131" i="2"/>
  <c r="A131" i="2"/>
  <c r="S130" i="2"/>
  <c r="Q130" i="2"/>
  <c r="P130" i="2"/>
  <c r="R130" i="2"/>
  <c r="A130" i="2"/>
  <c r="S129" i="2"/>
  <c r="Q129" i="2"/>
  <c r="P129" i="2"/>
  <c r="R129" i="2"/>
  <c r="A129" i="2"/>
  <c r="S128" i="2"/>
  <c r="Q128" i="2"/>
  <c r="P128" i="2"/>
  <c r="O128" i="2"/>
  <c r="A128" i="2"/>
  <c r="S127" i="2"/>
  <c r="Q127" i="2"/>
  <c r="P127" i="2"/>
  <c r="R127" i="2"/>
  <c r="A127" i="2"/>
  <c r="S126" i="2"/>
  <c r="Q126" i="2"/>
  <c r="P126" i="2"/>
  <c r="O126" i="2"/>
  <c r="A126" i="2"/>
  <c r="S125" i="2"/>
  <c r="Q125" i="2"/>
  <c r="P125" i="2"/>
  <c r="R125" i="2"/>
  <c r="A125" i="2"/>
  <c r="S124" i="2"/>
  <c r="Q124" i="2"/>
  <c r="P124" i="2"/>
  <c r="O124" i="2"/>
  <c r="A124" i="2"/>
  <c r="S123" i="2"/>
  <c r="Q123" i="2"/>
  <c r="P123" i="2"/>
  <c r="O123" i="2"/>
  <c r="A123" i="2"/>
  <c r="S122" i="2"/>
  <c r="Q122" i="2"/>
  <c r="P122" i="2"/>
  <c r="O122" i="2"/>
  <c r="A122" i="2"/>
  <c r="S121" i="2"/>
  <c r="Q121" i="2"/>
  <c r="P121" i="2"/>
  <c r="R121" i="2"/>
  <c r="A121" i="2"/>
  <c r="S120" i="2"/>
  <c r="Q120" i="2"/>
  <c r="P120" i="2"/>
  <c r="R120" i="2"/>
  <c r="A120" i="2"/>
  <c r="S119" i="2"/>
  <c r="Q119" i="2"/>
  <c r="P119" i="2"/>
  <c r="R119" i="2"/>
  <c r="A119" i="2"/>
  <c r="S118" i="2"/>
  <c r="Q118" i="2"/>
  <c r="P118" i="2"/>
  <c r="R118" i="2"/>
  <c r="A118" i="2"/>
  <c r="S117" i="2"/>
  <c r="Q117" i="2"/>
  <c r="P117" i="2"/>
  <c r="R117" i="2"/>
  <c r="A117" i="2"/>
  <c r="S116" i="2"/>
  <c r="Q116" i="2"/>
  <c r="P116" i="2"/>
  <c r="A116" i="2"/>
  <c r="S115" i="2"/>
  <c r="Q115" i="2"/>
  <c r="P115" i="2"/>
  <c r="R115" i="2"/>
  <c r="A115" i="2"/>
  <c r="S114" i="2"/>
  <c r="Q114" i="2"/>
  <c r="P114" i="2"/>
  <c r="O114" i="2"/>
  <c r="A114" i="2"/>
  <c r="S113" i="2"/>
  <c r="Q113" i="2"/>
  <c r="P113" i="2"/>
  <c r="R113" i="2"/>
  <c r="A113" i="2"/>
  <c r="S112" i="2"/>
  <c r="Q112" i="2"/>
  <c r="P112" i="2"/>
  <c r="O112" i="2"/>
  <c r="A112" i="2"/>
  <c r="S111" i="2"/>
  <c r="Q111" i="2"/>
  <c r="P111" i="2"/>
  <c r="R111" i="2"/>
  <c r="A111" i="2"/>
  <c r="S110" i="2"/>
  <c r="Q110" i="2"/>
  <c r="P110" i="2"/>
  <c r="A110" i="2"/>
  <c r="S109" i="2"/>
  <c r="Q109" i="2"/>
  <c r="P109" i="2"/>
  <c r="R109" i="2"/>
  <c r="A109" i="2"/>
  <c r="S108" i="2"/>
  <c r="Q108" i="2"/>
  <c r="P108" i="2"/>
  <c r="A108" i="2"/>
  <c r="S107" i="2"/>
  <c r="Q107" i="2"/>
  <c r="P107" i="2"/>
  <c r="R107" i="2"/>
  <c r="A107" i="2"/>
  <c r="S106" i="2"/>
  <c r="Q106" i="2"/>
  <c r="P106" i="2"/>
  <c r="O106" i="2"/>
  <c r="A106" i="2"/>
  <c r="S105" i="2"/>
  <c r="Q105" i="2"/>
  <c r="P105" i="2"/>
  <c r="R105" i="2"/>
  <c r="A105" i="2"/>
  <c r="S104" i="2"/>
  <c r="Q104" i="2"/>
  <c r="P104" i="2"/>
  <c r="A104" i="2"/>
  <c r="S103" i="2"/>
  <c r="Q103" i="2"/>
  <c r="P103" i="2"/>
  <c r="R103" i="2"/>
  <c r="A103" i="2"/>
  <c r="S102" i="2"/>
  <c r="Q102" i="2"/>
  <c r="P102" i="2"/>
  <c r="A102" i="2"/>
  <c r="S101" i="2"/>
  <c r="Q101" i="2"/>
  <c r="P101" i="2"/>
  <c r="R101" i="2"/>
  <c r="A101" i="2"/>
  <c r="S100" i="2"/>
  <c r="Q100" i="2"/>
  <c r="P100" i="2"/>
  <c r="A100" i="2"/>
  <c r="S99" i="2"/>
  <c r="Q99" i="2"/>
  <c r="P99" i="2"/>
  <c r="O99" i="2"/>
  <c r="A99" i="2"/>
  <c r="S98" i="2"/>
  <c r="Q98" i="2"/>
  <c r="P98" i="2"/>
  <c r="O98" i="2"/>
  <c r="A98" i="2"/>
  <c r="S97" i="2"/>
  <c r="Q97" i="2"/>
  <c r="P97" i="2"/>
  <c r="O97" i="2"/>
  <c r="A97" i="2"/>
  <c r="S96" i="2"/>
  <c r="Q96" i="2"/>
  <c r="P96" i="2"/>
  <c r="O96" i="2"/>
  <c r="A96" i="2"/>
  <c r="S95" i="2"/>
  <c r="Q95" i="2"/>
  <c r="P95" i="2"/>
  <c r="R95" i="2"/>
  <c r="A95" i="2"/>
  <c r="S94" i="2"/>
  <c r="Q94" i="2"/>
  <c r="P94" i="2"/>
  <c r="O94" i="2"/>
  <c r="A94" i="2"/>
  <c r="S93" i="2"/>
  <c r="Q93" i="2"/>
  <c r="P93" i="2"/>
  <c r="O93" i="2"/>
  <c r="A93" i="2"/>
  <c r="S92" i="2"/>
  <c r="Q92" i="2"/>
  <c r="P92" i="2"/>
  <c r="O92" i="2"/>
  <c r="A92" i="2"/>
  <c r="S91" i="2"/>
  <c r="Q91" i="2"/>
  <c r="P91" i="2"/>
  <c r="R91" i="2"/>
  <c r="A91" i="2"/>
  <c r="S90" i="2"/>
  <c r="Q90" i="2"/>
  <c r="P90" i="2"/>
  <c r="O90" i="2"/>
  <c r="A90" i="2"/>
  <c r="S89" i="2"/>
  <c r="Q89" i="2"/>
  <c r="P89" i="2"/>
  <c r="R89" i="2"/>
  <c r="A89" i="2"/>
  <c r="S88" i="2"/>
  <c r="Q88" i="2"/>
  <c r="P88" i="2"/>
  <c r="O88" i="2"/>
  <c r="A88" i="2"/>
  <c r="S87" i="2"/>
  <c r="Q87" i="2"/>
  <c r="P87" i="2"/>
  <c r="R87" i="2"/>
  <c r="A87" i="2"/>
  <c r="S86" i="2"/>
  <c r="Q86" i="2"/>
  <c r="P86" i="2"/>
  <c r="O86" i="2"/>
  <c r="A86" i="2"/>
  <c r="S85" i="2"/>
  <c r="Q85" i="2"/>
  <c r="P85" i="2"/>
  <c r="R85" i="2"/>
  <c r="A85" i="2"/>
  <c r="S84" i="2"/>
  <c r="Q84" i="2"/>
  <c r="P84" i="2"/>
  <c r="O84" i="2"/>
  <c r="A84" i="2"/>
  <c r="S83" i="2"/>
  <c r="Q83" i="2"/>
  <c r="P83" i="2"/>
  <c r="R83" i="2"/>
  <c r="A83" i="2"/>
  <c r="S82" i="2"/>
  <c r="Q82" i="2"/>
  <c r="P82" i="2"/>
  <c r="R82" i="2"/>
  <c r="A82" i="2"/>
  <c r="S81" i="2"/>
  <c r="Q81" i="2"/>
  <c r="P81" i="2"/>
  <c r="R81" i="2"/>
  <c r="A81" i="2"/>
  <c r="S80" i="2"/>
  <c r="Q80" i="2"/>
  <c r="P80" i="2"/>
  <c r="O80" i="2"/>
  <c r="A80" i="2"/>
  <c r="S79" i="2"/>
  <c r="Q79" i="2"/>
  <c r="P79" i="2"/>
  <c r="A79" i="2"/>
  <c r="S78" i="2"/>
  <c r="Q78" i="2"/>
  <c r="P78" i="2"/>
  <c r="O78" i="2"/>
  <c r="A78" i="2"/>
  <c r="S77" i="2"/>
  <c r="Q77" i="2"/>
  <c r="P77" i="2"/>
  <c r="A77" i="2"/>
  <c r="S76" i="2"/>
  <c r="Q76" i="2"/>
  <c r="P76" i="2"/>
  <c r="O76" i="2"/>
  <c r="A76" i="2"/>
  <c r="S75" i="2"/>
  <c r="Q75" i="2"/>
  <c r="P75" i="2"/>
  <c r="O75" i="2"/>
  <c r="A75" i="2"/>
  <c r="S74" i="2"/>
  <c r="Q74" i="2"/>
  <c r="P74" i="2"/>
  <c r="O74" i="2"/>
  <c r="A74" i="2"/>
  <c r="S73" i="2"/>
  <c r="Q73" i="2"/>
  <c r="P73" i="2"/>
  <c r="O73" i="2"/>
  <c r="A73" i="2"/>
  <c r="S72" i="2"/>
  <c r="Q72" i="2"/>
  <c r="P72" i="2"/>
  <c r="O72" i="2"/>
  <c r="A72" i="2"/>
  <c r="S71" i="2"/>
  <c r="Q71" i="2"/>
  <c r="P71" i="2"/>
  <c r="R71" i="2"/>
  <c r="A71" i="2"/>
  <c r="S70" i="2"/>
  <c r="Q70" i="2"/>
  <c r="P70" i="2"/>
  <c r="O70" i="2"/>
  <c r="A70" i="2"/>
  <c r="S69" i="2"/>
  <c r="Q69" i="2"/>
  <c r="P69" i="2"/>
  <c r="R69" i="2"/>
  <c r="A69" i="2"/>
  <c r="S68" i="2"/>
  <c r="Q68" i="2"/>
  <c r="P68" i="2"/>
  <c r="O68" i="2"/>
  <c r="A68" i="2"/>
  <c r="S67" i="2"/>
  <c r="Q67" i="2"/>
  <c r="P67" i="2"/>
  <c r="R67" i="2"/>
  <c r="A67" i="2"/>
  <c r="S66" i="2"/>
  <c r="Q66" i="2"/>
  <c r="P66" i="2"/>
  <c r="O66" i="2"/>
  <c r="A66" i="2"/>
  <c r="S65" i="2"/>
  <c r="Q65" i="2"/>
  <c r="P65" i="2"/>
  <c r="R65" i="2"/>
  <c r="A65" i="2"/>
  <c r="S64" i="2"/>
  <c r="Q64" i="2"/>
  <c r="P64" i="2"/>
  <c r="O64" i="2"/>
  <c r="A64" i="2"/>
  <c r="S63" i="2"/>
  <c r="Q63" i="2"/>
  <c r="P63" i="2"/>
  <c r="R63" i="2"/>
  <c r="A63" i="2"/>
  <c r="S62" i="2"/>
  <c r="Q62" i="2"/>
  <c r="P62" i="2"/>
  <c r="A62" i="2"/>
  <c r="S61" i="2"/>
  <c r="Q61" i="2"/>
  <c r="P61" i="2"/>
  <c r="R61" i="2"/>
  <c r="A61" i="2"/>
  <c r="S60" i="2"/>
  <c r="Q60" i="2"/>
  <c r="P60" i="2"/>
  <c r="R60" i="2"/>
  <c r="A60" i="2"/>
  <c r="S59" i="2"/>
  <c r="Q59" i="2"/>
  <c r="P59" i="2"/>
  <c r="R59" i="2"/>
  <c r="A59" i="2"/>
  <c r="S58" i="2"/>
  <c r="Q58" i="2"/>
  <c r="P58" i="2"/>
  <c r="A58" i="2"/>
  <c r="S57" i="2"/>
  <c r="Q57" i="2"/>
  <c r="P57" i="2"/>
  <c r="R57" i="2"/>
  <c r="A57" i="2"/>
  <c r="S56" i="2"/>
  <c r="Q56" i="2"/>
  <c r="P56" i="2"/>
  <c r="A56" i="2"/>
  <c r="S55" i="2"/>
  <c r="Q55" i="2"/>
  <c r="P55" i="2"/>
  <c r="R55" i="2"/>
  <c r="A55" i="2"/>
  <c r="S54" i="2"/>
  <c r="Q54" i="2"/>
  <c r="P54" i="2"/>
  <c r="A54" i="2"/>
  <c r="S53" i="2"/>
  <c r="Q53" i="2"/>
  <c r="P53" i="2"/>
  <c r="R53" i="2"/>
  <c r="A53" i="2"/>
  <c r="S52" i="2"/>
  <c r="Q52" i="2"/>
  <c r="P52" i="2"/>
  <c r="A52" i="2"/>
  <c r="S51" i="2"/>
  <c r="Q51" i="2"/>
  <c r="P51" i="2"/>
  <c r="O51" i="2"/>
  <c r="A51" i="2"/>
  <c r="S50" i="2"/>
  <c r="Q50" i="2"/>
  <c r="P50" i="2"/>
  <c r="O50" i="2"/>
  <c r="A50" i="2"/>
  <c r="S49" i="2"/>
  <c r="Q49" i="2"/>
  <c r="P49" i="2"/>
  <c r="O49" i="2"/>
  <c r="A49" i="2"/>
  <c r="S48" i="2"/>
  <c r="Q48" i="2"/>
  <c r="P48" i="2"/>
  <c r="O48" i="2"/>
  <c r="A48" i="2"/>
  <c r="S47" i="2"/>
  <c r="Q47" i="2"/>
  <c r="P47" i="2"/>
  <c r="R47" i="2"/>
  <c r="A47" i="2"/>
  <c r="S46" i="2"/>
  <c r="Q46" i="2"/>
  <c r="P46" i="2"/>
  <c r="R46" i="2"/>
  <c r="A46" i="2"/>
  <c r="S45" i="2"/>
  <c r="Q45" i="2"/>
  <c r="P45" i="2"/>
  <c r="O45" i="2"/>
  <c r="A45" i="2"/>
  <c r="S44" i="2"/>
  <c r="Q44" i="2"/>
  <c r="P44" i="2"/>
  <c r="O44" i="2"/>
  <c r="A44" i="2"/>
  <c r="S43" i="2"/>
  <c r="Q43" i="2"/>
  <c r="P43" i="2"/>
  <c r="A43" i="2"/>
  <c r="S42" i="2"/>
  <c r="Q42" i="2"/>
  <c r="P42" i="2"/>
  <c r="O42" i="2"/>
  <c r="A42" i="2"/>
  <c r="S41" i="2"/>
  <c r="Q41" i="2"/>
  <c r="P41" i="2"/>
  <c r="A41" i="2"/>
  <c r="S40" i="2"/>
  <c r="Q40" i="2"/>
  <c r="P40" i="2"/>
  <c r="O40" i="2"/>
  <c r="A40" i="2"/>
  <c r="S39" i="2"/>
  <c r="Q39" i="2"/>
  <c r="P39" i="2"/>
  <c r="O39" i="2"/>
  <c r="A39" i="2"/>
  <c r="S38" i="2"/>
  <c r="Q38" i="2"/>
  <c r="P38" i="2"/>
  <c r="O38" i="2"/>
  <c r="A38" i="2"/>
  <c r="S37" i="2"/>
  <c r="Q37" i="2"/>
  <c r="P37" i="2"/>
  <c r="R37" i="2"/>
  <c r="A37" i="2"/>
  <c r="S36" i="2"/>
  <c r="Q36" i="2"/>
  <c r="P36" i="2"/>
  <c r="O36" i="2"/>
  <c r="A36" i="2"/>
  <c r="S35" i="2"/>
  <c r="Q35" i="2"/>
  <c r="P35" i="2"/>
  <c r="R35" i="2"/>
  <c r="A35" i="2"/>
  <c r="S34" i="2"/>
  <c r="Q34" i="2"/>
  <c r="P34" i="2"/>
  <c r="R34" i="2"/>
  <c r="A34" i="2"/>
  <c r="S33" i="2"/>
  <c r="Q33" i="2"/>
  <c r="P33" i="2"/>
  <c r="R33" i="2"/>
  <c r="A33" i="2"/>
  <c r="S32" i="2"/>
  <c r="Q32" i="2"/>
  <c r="P32" i="2"/>
  <c r="O32" i="2"/>
  <c r="A32" i="2"/>
  <c r="S31" i="2"/>
  <c r="Q31" i="2"/>
  <c r="P31" i="2"/>
  <c r="R31" i="2"/>
  <c r="A31" i="2"/>
  <c r="S30" i="2"/>
  <c r="Q30" i="2"/>
  <c r="P30" i="2"/>
  <c r="O30" i="2"/>
  <c r="A30" i="2"/>
  <c r="S29" i="2"/>
  <c r="Q29" i="2"/>
  <c r="P29" i="2"/>
  <c r="R29" i="2"/>
  <c r="A29" i="2"/>
  <c r="S28" i="2"/>
  <c r="Q28" i="2"/>
  <c r="P28" i="2"/>
  <c r="O28" i="2"/>
  <c r="A28" i="2"/>
  <c r="S27" i="2"/>
  <c r="Q27" i="2"/>
  <c r="P27" i="2"/>
  <c r="O27" i="2"/>
  <c r="A27" i="2"/>
  <c r="S26" i="2"/>
  <c r="Q26" i="2"/>
  <c r="P26" i="2"/>
  <c r="O26" i="2"/>
  <c r="A26" i="2"/>
  <c r="S25" i="2"/>
  <c r="Q25" i="2"/>
  <c r="P25" i="2"/>
  <c r="R25" i="2"/>
  <c r="A25" i="2"/>
  <c r="S24" i="2"/>
  <c r="Q24" i="2"/>
  <c r="P24" i="2"/>
  <c r="R24" i="2"/>
  <c r="A24" i="2"/>
  <c r="S23" i="2"/>
  <c r="Q23" i="2"/>
  <c r="P23" i="2"/>
  <c r="R23" i="2"/>
  <c r="A23" i="2"/>
  <c r="S22" i="2"/>
  <c r="Q22" i="2"/>
  <c r="P22" i="2"/>
  <c r="A22" i="2"/>
  <c r="S21" i="2"/>
  <c r="Q21" i="2"/>
  <c r="P21" i="2"/>
  <c r="R21" i="2"/>
  <c r="A21" i="2"/>
  <c r="S20" i="2"/>
  <c r="Q20" i="2"/>
  <c r="P20" i="2"/>
  <c r="O20" i="2"/>
  <c r="A20" i="2"/>
  <c r="S19" i="2"/>
  <c r="Q19" i="2"/>
  <c r="P19" i="2"/>
  <c r="R19" i="2"/>
  <c r="A19" i="2"/>
  <c r="S18" i="2"/>
  <c r="Q18" i="2"/>
  <c r="P18" i="2"/>
  <c r="O18" i="2"/>
  <c r="A18" i="2"/>
  <c r="S17" i="2"/>
  <c r="Q17" i="2"/>
  <c r="P17" i="2"/>
  <c r="R17" i="2"/>
  <c r="A17" i="2"/>
  <c r="Q16" i="2"/>
  <c r="P16" i="2"/>
  <c r="O16" i="2"/>
  <c r="A16" i="2"/>
  <c r="Q15" i="2"/>
  <c r="P15" i="2"/>
  <c r="O15" i="2"/>
  <c r="A15" i="2"/>
  <c r="Q14" i="2"/>
  <c r="P14" i="2"/>
  <c r="A14" i="2"/>
  <c r="Q13" i="2"/>
  <c r="P13" i="2"/>
  <c r="O13" i="2"/>
  <c r="A13" i="2"/>
  <c r="Q12" i="2"/>
  <c r="P12" i="2"/>
  <c r="O12" i="2"/>
  <c r="A12" i="2"/>
  <c r="Q11" i="2"/>
  <c r="P11" i="2"/>
  <c r="A11" i="2"/>
  <c r="Q10" i="2"/>
  <c r="P10" i="2"/>
  <c r="O10" i="2"/>
  <c r="A10" i="2"/>
  <c r="Q9" i="2"/>
  <c r="P9" i="2"/>
  <c r="O9" i="2"/>
  <c r="A9" i="2"/>
  <c r="Q8" i="2"/>
  <c r="P8" i="2"/>
  <c r="A8" i="2"/>
  <c r="Q7" i="2"/>
  <c r="P7" i="2"/>
  <c r="A7" i="2"/>
  <c r="Q6" i="2"/>
  <c r="P6" i="2"/>
  <c r="A6" i="2"/>
  <c r="Q5" i="2"/>
  <c r="P5" i="2"/>
  <c r="A5" i="2"/>
  <c r="Q4" i="2"/>
  <c r="P4" i="2"/>
  <c r="A4" i="2"/>
  <c r="Q3" i="2"/>
  <c r="P3" i="2"/>
  <c r="O3" i="2"/>
  <c r="A3" i="2"/>
  <c r="A2" i="2"/>
  <c r="V301" i="1"/>
  <c r="T301" i="1"/>
  <c r="S301" i="1"/>
  <c r="R301" i="1"/>
  <c r="N301" i="1"/>
  <c r="M301" i="1"/>
  <c r="A301" i="1"/>
  <c r="V300" i="1"/>
  <c r="T300" i="1"/>
  <c r="S300" i="1"/>
  <c r="R300" i="1"/>
  <c r="N300" i="1"/>
  <c r="M300" i="1"/>
  <c r="A300" i="1"/>
  <c r="V299" i="1"/>
  <c r="T299" i="1"/>
  <c r="S299" i="1"/>
  <c r="R299" i="1"/>
  <c r="N299" i="1"/>
  <c r="M299" i="1"/>
  <c r="A299" i="1"/>
  <c r="V298" i="1"/>
  <c r="T298" i="1"/>
  <c r="S298" i="1"/>
  <c r="R298" i="1"/>
  <c r="N298" i="1"/>
  <c r="M298" i="1"/>
  <c r="A298" i="1"/>
  <c r="V297" i="1"/>
  <c r="T297" i="1"/>
  <c r="S297" i="1"/>
  <c r="R297" i="1"/>
  <c r="N297" i="1"/>
  <c r="M297" i="1"/>
  <c r="A297" i="1"/>
  <c r="V296" i="1"/>
  <c r="T296" i="1"/>
  <c r="S296" i="1"/>
  <c r="R296" i="1"/>
  <c r="N296" i="1"/>
  <c r="M296" i="1"/>
  <c r="A296" i="1"/>
  <c r="V295" i="1"/>
  <c r="T295" i="1"/>
  <c r="S295" i="1"/>
  <c r="R295" i="1"/>
  <c r="N295" i="1"/>
  <c r="M295" i="1"/>
  <c r="A295" i="1"/>
  <c r="V294" i="1"/>
  <c r="T294" i="1"/>
  <c r="S294" i="1"/>
  <c r="R294" i="1"/>
  <c r="N294" i="1"/>
  <c r="M294" i="1"/>
  <c r="A294" i="1"/>
  <c r="V293" i="1"/>
  <c r="T293" i="1"/>
  <c r="S293" i="1"/>
  <c r="R293" i="1"/>
  <c r="N293" i="1"/>
  <c r="M293" i="1"/>
  <c r="A293" i="1"/>
  <c r="V292" i="1"/>
  <c r="T292" i="1"/>
  <c r="S292" i="1"/>
  <c r="R292" i="1"/>
  <c r="N292" i="1"/>
  <c r="M292" i="1"/>
  <c r="A292" i="1"/>
  <c r="V291" i="1"/>
  <c r="T291" i="1"/>
  <c r="S291" i="1"/>
  <c r="R291" i="1"/>
  <c r="N291" i="1"/>
  <c r="M291" i="1"/>
  <c r="A291" i="1"/>
  <c r="V290" i="1"/>
  <c r="T290" i="1"/>
  <c r="S290" i="1"/>
  <c r="R290" i="1"/>
  <c r="N290" i="1"/>
  <c r="M290" i="1"/>
  <c r="A290" i="1"/>
  <c r="V289" i="1"/>
  <c r="T289" i="1"/>
  <c r="S289" i="1"/>
  <c r="R289" i="1"/>
  <c r="N289" i="1"/>
  <c r="M289" i="1"/>
  <c r="A289" i="1"/>
  <c r="V288" i="1"/>
  <c r="T288" i="1"/>
  <c r="S288" i="1"/>
  <c r="R288" i="1"/>
  <c r="N288" i="1"/>
  <c r="M288" i="1"/>
  <c r="A288" i="1"/>
  <c r="V287" i="1"/>
  <c r="T287" i="1"/>
  <c r="S287" i="1"/>
  <c r="R287" i="1"/>
  <c r="N287" i="1"/>
  <c r="M287" i="1"/>
  <c r="A287" i="1"/>
  <c r="V286" i="1"/>
  <c r="T286" i="1"/>
  <c r="S286" i="1"/>
  <c r="R286" i="1"/>
  <c r="N286" i="1"/>
  <c r="M286" i="1"/>
  <c r="A286" i="1"/>
  <c r="V285" i="1"/>
  <c r="T285" i="1"/>
  <c r="S285" i="1"/>
  <c r="R285" i="1"/>
  <c r="N285" i="1"/>
  <c r="M285" i="1"/>
  <c r="A285" i="1"/>
  <c r="V284" i="1"/>
  <c r="T284" i="1"/>
  <c r="S284" i="1"/>
  <c r="R284" i="1"/>
  <c r="N284" i="1"/>
  <c r="M284" i="1"/>
  <c r="A284" i="1"/>
  <c r="V283" i="1"/>
  <c r="T283" i="1"/>
  <c r="S283" i="1"/>
  <c r="R283" i="1"/>
  <c r="N283" i="1"/>
  <c r="M283" i="1"/>
  <c r="A283" i="1"/>
  <c r="V282" i="1"/>
  <c r="T282" i="1"/>
  <c r="S282" i="1"/>
  <c r="R282" i="1"/>
  <c r="N282" i="1"/>
  <c r="M282" i="1"/>
  <c r="A282" i="1"/>
  <c r="V281" i="1"/>
  <c r="T281" i="1"/>
  <c r="S281" i="1"/>
  <c r="R281" i="1"/>
  <c r="N281" i="1"/>
  <c r="M281" i="1"/>
  <c r="A281" i="1"/>
  <c r="V280" i="1"/>
  <c r="T280" i="1"/>
  <c r="S280" i="1"/>
  <c r="R280" i="1"/>
  <c r="N280" i="1"/>
  <c r="M280" i="1"/>
  <c r="A280" i="1"/>
  <c r="V279" i="1"/>
  <c r="T279" i="1"/>
  <c r="S279" i="1"/>
  <c r="R279" i="1"/>
  <c r="N279" i="1"/>
  <c r="M279" i="1"/>
  <c r="A279" i="1"/>
  <c r="V278" i="1"/>
  <c r="T278" i="1"/>
  <c r="S278" i="1"/>
  <c r="R278" i="1"/>
  <c r="N278" i="1"/>
  <c r="M278" i="1"/>
  <c r="A278" i="1"/>
  <c r="V277" i="1"/>
  <c r="T277" i="1"/>
  <c r="S277" i="1"/>
  <c r="R277" i="1"/>
  <c r="N277" i="1"/>
  <c r="M277" i="1"/>
  <c r="A277" i="1"/>
  <c r="V276" i="1"/>
  <c r="T276" i="1"/>
  <c r="S276" i="1"/>
  <c r="R276" i="1"/>
  <c r="N276" i="1"/>
  <c r="M276" i="1"/>
  <c r="A276" i="1"/>
  <c r="V275" i="1"/>
  <c r="T275" i="1"/>
  <c r="S275" i="1"/>
  <c r="R275" i="1"/>
  <c r="N275" i="1"/>
  <c r="M275" i="1"/>
  <c r="A275" i="1"/>
  <c r="V274" i="1"/>
  <c r="T274" i="1"/>
  <c r="S274" i="1"/>
  <c r="R274" i="1"/>
  <c r="N274" i="1"/>
  <c r="M274" i="1"/>
  <c r="A274" i="1"/>
  <c r="V273" i="1"/>
  <c r="T273" i="1"/>
  <c r="S273" i="1"/>
  <c r="R273" i="1"/>
  <c r="N273" i="1"/>
  <c r="M273" i="1"/>
  <c r="A273" i="1"/>
  <c r="V272" i="1"/>
  <c r="T272" i="1"/>
  <c r="S272" i="1"/>
  <c r="R272" i="1"/>
  <c r="N272" i="1"/>
  <c r="M272" i="1"/>
  <c r="A272" i="1"/>
  <c r="V271" i="1"/>
  <c r="T271" i="1"/>
  <c r="S271" i="1"/>
  <c r="R271" i="1"/>
  <c r="N271" i="1"/>
  <c r="M271" i="1"/>
  <c r="A271" i="1"/>
  <c r="V270" i="1"/>
  <c r="T270" i="1"/>
  <c r="S270" i="1"/>
  <c r="R270" i="1"/>
  <c r="N270" i="1"/>
  <c r="M270" i="1"/>
  <c r="A270" i="1"/>
  <c r="V269" i="1"/>
  <c r="T269" i="1"/>
  <c r="S269" i="1"/>
  <c r="R269" i="1"/>
  <c r="N269" i="1"/>
  <c r="M269" i="1"/>
  <c r="A269" i="1"/>
  <c r="V268" i="1"/>
  <c r="T268" i="1"/>
  <c r="S268" i="1"/>
  <c r="R268" i="1"/>
  <c r="N268" i="1"/>
  <c r="M268" i="1"/>
  <c r="A268" i="1"/>
  <c r="V267" i="1"/>
  <c r="T267" i="1"/>
  <c r="S267" i="1"/>
  <c r="R267" i="1"/>
  <c r="N267" i="1"/>
  <c r="M267" i="1"/>
  <c r="A267" i="1"/>
  <c r="V266" i="1"/>
  <c r="T266" i="1"/>
  <c r="S266" i="1"/>
  <c r="R266" i="1"/>
  <c r="N266" i="1"/>
  <c r="M266" i="1"/>
  <c r="A266" i="1"/>
  <c r="V265" i="1"/>
  <c r="T265" i="1"/>
  <c r="S265" i="1"/>
  <c r="R265" i="1"/>
  <c r="N265" i="1"/>
  <c r="M265" i="1"/>
  <c r="A265" i="1"/>
  <c r="V264" i="1"/>
  <c r="T264" i="1"/>
  <c r="S264" i="1"/>
  <c r="R264" i="1"/>
  <c r="N264" i="1"/>
  <c r="M264" i="1"/>
  <c r="A264" i="1"/>
  <c r="V263" i="1"/>
  <c r="T263" i="1"/>
  <c r="S263" i="1"/>
  <c r="R263" i="1"/>
  <c r="N263" i="1"/>
  <c r="M263" i="1"/>
  <c r="A263" i="1"/>
  <c r="V262" i="1"/>
  <c r="T262" i="1"/>
  <c r="S262" i="1"/>
  <c r="R262" i="1"/>
  <c r="N262" i="1"/>
  <c r="M262" i="1"/>
  <c r="A262" i="1"/>
  <c r="V261" i="1"/>
  <c r="T261" i="1"/>
  <c r="S261" i="1"/>
  <c r="R261" i="1"/>
  <c r="N261" i="1"/>
  <c r="M261" i="1"/>
  <c r="A261" i="1"/>
  <c r="V260" i="1"/>
  <c r="T260" i="1"/>
  <c r="S260" i="1"/>
  <c r="R260" i="1"/>
  <c r="N260" i="1"/>
  <c r="M260" i="1"/>
  <c r="A260" i="1"/>
  <c r="V259" i="1"/>
  <c r="T259" i="1"/>
  <c r="S259" i="1"/>
  <c r="R259" i="1"/>
  <c r="N259" i="1"/>
  <c r="M259" i="1"/>
  <c r="A259" i="1"/>
  <c r="V258" i="1"/>
  <c r="T258" i="1"/>
  <c r="S258" i="1"/>
  <c r="R258" i="1"/>
  <c r="N258" i="1"/>
  <c r="M258" i="1"/>
  <c r="A258" i="1"/>
  <c r="V257" i="1"/>
  <c r="T257" i="1"/>
  <c r="S257" i="1"/>
  <c r="R257" i="1"/>
  <c r="N257" i="1"/>
  <c r="M257" i="1"/>
  <c r="A257" i="1"/>
  <c r="V256" i="1"/>
  <c r="T256" i="1"/>
  <c r="S256" i="1"/>
  <c r="R256" i="1"/>
  <c r="N256" i="1"/>
  <c r="M256" i="1"/>
  <c r="A256" i="1"/>
  <c r="V255" i="1"/>
  <c r="T255" i="1"/>
  <c r="S255" i="1"/>
  <c r="R255" i="1"/>
  <c r="N255" i="1"/>
  <c r="M255" i="1"/>
  <c r="A255" i="1"/>
  <c r="V254" i="1"/>
  <c r="T254" i="1"/>
  <c r="S254" i="1"/>
  <c r="R254" i="1"/>
  <c r="N254" i="1"/>
  <c r="M254" i="1"/>
  <c r="A254" i="1"/>
  <c r="V253" i="1"/>
  <c r="T253" i="1"/>
  <c r="S253" i="1"/>
  <c r="R253" i="1"/>
  <c r="N253" i="1"/>
  <c r="M253" i="1"/>
  <c r="A253" i="1"/>
  <c r="V252" i="1"/>
  <c r="T252" i="1"/>
  <c r="S252" i="1"/>
  <c r="R252" i="1"/>
  <c r="N252" i="1"/>
  <c r="M252" i="1"/>
  <c r="A252" i="1"/>
  <c r="V251" i="1"/>
  <c r="T251" i="1"/>
  <c r="S251" i="1"/>
  <c r="R251" i="1"/>
  <c r="N251" i="1"/>
  <c r="M251" i="1"/>
  <c r="A251" i="1"/>
  <c r="V250" i="1"/>
  <c r="T250" i="1"/>
  <c r="S250" i="1"/>
  <c r="R250" i="1"/>
  <c r="N250" i="1"/>
  <c r="M250" i="1"/>
  <c r="A250" i="1"/>
  <c r="V249" i="1"/>
  <c r="T249" i="1"/>
  <c r="S249" i="1"/>
  <c r="R249" i="1"/>
  <c r="N249" i="1"/>
  <c r="M249" i="1"/>
  <c r="A249" i="1"/>
  <c r="V248" i="1"/>
  <c r="T248" i="1"/>
  <c r="S248" i="1"/>
  <c r="R248" i="1"/>
  <c r="N248" i="1"/>
  <c r="M248" i="1"/>
  <c r="A248" i="1"/>
  <c r="V247" i="1"/>
  <c r="T247" i="1"/>
  <c r="S247" i="1"/>
  <c r="R247" i="1"/>
  <c r="N247" i="1"/>
  <c r="M247" i="1"/>
  <c r="A247" i="1"/>
  <c r="V246" i="1"/>
  <c r="T246" i="1"/>
  <c r="S246" i="1"/>
  <c r="R246" i="1"/>
  <c r="N246" i="1"/>
  <c r="M246" i="1"/>
  <c r="A246" i="1"/>
  <c r="V245" i="1"/>
  <c r="T245" i="1"/>
  <c r="S245" i="1"/>
  <c r="R245" i="1"/>
  <c r="N245" i="1"/>
  <c r="M245" i="1"/>
  <c r="A245" i="1"/>
  <c r="V244" i="1"/>
  <c r="T244" i="1"/>
  <c r="S244" i="1"/>
  <c r="R244" i="1"/>
  <c r="N244" i="1"/>
  <c r="M244" i="1"/>
  <c r="A244" i="1"/>
  <c r="V243" i="1"/>
  <c r="T243" i="1"/>
  <c r="S243" i="1"/>
  <c r="R243" i="1"/>
  <c r="N243" i="1"/>
  <c r="M243" i="1"/>
  <c r="A243" i="1"/>
  <c r="V242" i="1"/>
  <c r="T242" i="1"/>
  <c r="S242" i="1"/>
  <c r="R242" i="1"/>
  <c r="N242" i="1"/>
  <c r="M242" i="1"/>
  <c r="A242" i="1"/>
  <c r="V241" i="1"/>
  <c r="T241" i="1"/>
  <c r="S241" i="1"/>
  <c r="R241" i="1"/>
  <c r="N241" i="1"/>
  <c r="M241" i="1"/>
  <c r="A241" i="1"/>
  <c r="V240" i="1"/>
  <c r="T240" i="1"/>
  <c r="S240" i="1"/>
  <c r="R240" i="1"/>
  <c r="N240" i="1"/>
  <c r="M240" i="1"/>
  <c r="A240" i="1"/>
  <c r="V239" i="1"/>
  <c r="T239" i="1"/>
  <c r="S239" i="1"/>
  <c r="R239" i="1"/>
  <c r="N239" i="1"/>
  <c r="M239" i="1"/>
  <c r="A239" i="1"/>
  <c r="V238" i="1"/>
  <c r="T238" i="1"/>
  <c r="S238" i="1"/>
  <c r="R238" i="1"/>
  <c r="N238" i="1"/>
  <c r="M238" i="1"/>
  <c r="A238" i="1"/>
  <c r="V237" i="1"/>
  <c r="T237" i="1"/>
  <c r="S237" i="1"/>
  <c r="R237" i="1"/>
  <c r="N237" i="1"/>
  <c r="M237" i="1"/>
  <c r="A237" i="1"/>
  <c r="V236" i="1"/>
  <c r="T236" i="1"/>
  <c r="S236" i="1"/>
  <c r="R236" i="1"/>
  <c r="N236" i="1"/>
  <c r="M236" i="1"/>
  <c r="A236" i="1"/>
  <c r="V235" i="1"/>
  <c r="T235" i="1"/>
  <c r="S235" i="1"/>
  <c r="R235" i="1"/>
  <c r="N235" i="1"/>
  <c r="M235" i="1"/>
  <c r="A235" i="1"/>
  <c r="V234" i="1"/>
  <c r="T234" i="1"/>
  <c r="S234" i="1"/>
  <c r="R234" i="1"/>
  <c r="N234" i="1"/>
  <c r="M234" i="1"/>
  <c r="A234" i="1"/>
  <c r="V233" i="1"/>
  <c r="T233" i="1"/>
  <c r="S233" i="1"/>
  <c r="R233" i="1"/>
  <c r="N233" i="1"/>
  <c r="M233" i="1"/>
  <c r="A233" i="1"/>
  <c r="V232" i="1"/>
  <c r="T232" i="1"/>
  <c r="S232" i="1"/>
  <c r="R232" i="1"/>
  <c r="N232" i="1"/>
  <c r="M232" i="1"/>
  <c r="A232" i="1"/>
  <c r="V231" i="1"/>
  <c r="T231" i="1"/>
  <c r="S231" i="1"/>
  <c r="R231" i="1"/>
  <c r="N231" i="1"/>
  <c r="M231" i="1"/>
  <c r="A231" i="1"/>
  <c r="V230" i="1"/>
  <c r="T230" i="1"/>
  <c r="S230" i="1"/>
  <c r="R230" i="1"/>
  <c r="N230" i="1"/>
  <c r="M230" i="1"/>
  <c r="A230" i="1"/>
  <c r="V229" i="1"/>
  <c r="T229" i="1"/>
  <c r="S229" i="1"/>
  <c r="R229" i="1"/>
  <c r="N229" i="1"/>
  <c r="M229" i="1"/>
  <c r="A229" i="1"/>
  <c r="V228" i="1"/>
  <c r="T228" i="1"/>
  <c r="S228" i="1"/>
  <c r="R228" i="1"/>
  <c r="N228" i="1"/>
  <c r="M228" i="1"/>
  <c r="A228" i="1"/>
  <c r="V227" i="1"/>
  <c r="T227" i="1"/>
  <c r="S227" i="1"/>
  <c r="R227" i="1"/>
  <c r="N227" i="1"/>
  <c r="M227" i="1"/>
  <c r="A227" i="1"/>
  <c r="V226" i="1"/>
  <c r="T226" i="1"/>
  <c r="S226" i="1"/>
  <c r="R226" i="1"/>
  <c r="N226" i="1"/>
  <c r="M226" i="1"/>
  <c r="A226" i="1"/>
  <c r="V225" i="1"/>
  <c r="T225" i="1"/>
  <c r="S225" i="1"/>
  <c r="R225" i="1"/>
  <c r="N225" i="1"/>
  <c r="M225" i="1"/>
  <c r="A225" i="1"/>
  <c r="V224" i="1"/>
  <c r="T224" i="1"/>
  <c r="S224" i="1"/>
  <c r="R224" i="1"/>
  <c r="N224" i="1"/>
  <c r="M224" i="1"/>
  <c r="A224" i="1"/>
  <c r="V223" i="1"/>
  <c r="T223" i="1"/>
  <c r="S223" i="1"/>
  <c r="R223" i="1"/>
  <c r="N223" i="1"/>
  <c r="M223" i="1"/>
  <c r="A223" i="1"/>
  <c r="V222" i="1"/>
  <c r="T222" i="1"/>
  <c r="S222" i="1"/>
  <c r="R222" i="1"/>
  <c r="N222" i="1"/>
  <c r="M222" i="1"/>
  <c r="A222" i="1"/>
  <c r="V221" i="1"/>
  <c r="T221" i="1"/>
  <c r="S221" i="1"/>
  <c r="R221" i="1"/>
  <c r="N221" i="1"/>
  <c r="M221" i="1"/>
  <c r="A221" i="1"/>
  <c r="V220" i="1"/>
  <c r="T220" i="1"/>
  <c r="S220" i="1"/>
  <c r="R220" i="1"/>
  <c r="N220" i="1"/>
  <c r="M220" i="1"/>
  <c r="A220" i="1"/>
  <c r="V219" i="1"/>
  <c r="T219" i="1"/>
  <c r="S219" i="1"/>
  <c r="R219" i="1"/>
  <c r="N219" i="1"/>
  <c r="M219" i="1"/>
  <c r="A219" i="1"/>
  <c r="V218" i="1"/>
  <c r="T218" i="1"/>
  <c r="S218" i="1"/>
  <c r="R218" i="1"/>
  <c r="N218" i="1"/>
  <c r="M218" i="1"/>
  <c r="A218" i="1"/>
  <c r="V217" i="1"/>
  <c r="T217" i="1"/>
  <c r="S217" i="1"/>
  <c r="R217" i="1"/>
  <c r="N217" i="1"/>
  <c r="M217" i="1"/>
  <c r="A217" i="1"/>
  <c r="V216" i="1"/>
  <c r="T216" i="1"/>
  <c r="S216" i="1"/>
  <c r="R216" i="1"/>
  <c r="N216" i="1"/>
  <c r="M216" i="1"/>
  <c r="A216" i="1"/>
  <c r="V215" i="1"/>
  <c r="T215" i="1"/>
  <c r="S215" i="1"/>
  <c r="R215" i="1"/>
  <c r="N215" i="1"/>
  <c r="M215" i="1"/>
  <c r="A215" i="1"/>
  <c r="V214" i="1"/>
  <c r="T214" i="1"/>
  <c r="S214" i="1"/>
  <c r="R214" i="1"/>
  <c r="N214" i="1"/>
  <c r="M214" i="1"/>
  <c r="A214" i="1"/>
  <c r="V213" i="1"/>
  <c r="T213" i="1"/>
  <c r="S213" i="1"/>
  <c r="R213" i="1"/>
  <c r="N213" i="1"/>
  <c r="M213" i="1"/>
  <c r="A213" i="1"/>
  <c r="V212" i="1"/>
  <c r="T212" i="1"/>
  <c r="S212" i="1"/>
  <c r="R212" i="1"/>
  <c r="N212" i="1"/>
  <c r="M212" i="1"/>
  <c r="A212" i="1"/>
  <c r="V211" i="1"/>
  <c r="T211" i="1"/>
  <c r="S211" i="1"/>
  <c r="R211" i="1"/>
  <c r="N211" i="1"/>
  <c r="M211" i="1"/>
  <c r="A211" i="1"/>
  <c r="V210" i="1"/>
  <c r="T210" i="1"/>
  <c r="S210" i="1"/>
  <c r="R210" i="1"/>
  <c r="N210" i="1"/>
  <c r="M210" i="1"/>
  <c r="A210" i="1"/>
  <c r="V209" i="1"/>
  <c r="T209" i="1"/>
  <c r="S209" i="1"/>
  <c r="R209" i="1"/>
  <c r="N209" i="1"/>
  <c r="M209" i="1"/>
  <c r="A209" i="1"/>
  <c r="V208" i="1"/>
  <c r="T208" i="1"/>
  <c r="S208" i="1"/>
  <c r="R208" i="1"/>
  <c r="N208" i="1"/>
  <c r="M208" i="1"/>
  <c r="A208" i="1"/>
  <c r="V207" i="1"/>
  <c r="T207" i="1"/>
  <c r="S207" i="1"/>
  <c r="R207" i="1"/>
  <c r="N207" i="1"/>
  <c r="M207" i="1"/>
  <c r="A207" i="1"/>
  <c r="V206" i="1"/>
  <c r="T206" i="1"/>
  <c r="S206" i="1"/>
  <c r="R206" i="1"/>
  <c r="N206" i="1"/>
  <c r="M206" i="1"/>
  <c r="A206" i="1"/>
  <c r="V205" i="1"/>
  <c r="T205" i="1"/>
  <c r="S205" i="1"/>
  <c r="R205" i="1"/>
  <c r="N205" i="1"/>
  <c r="M205" i="1"/>
  <c r="A205" i="1"/>
  <c r="V204" i="1"/>
  <c r="T204" i="1"/>
  <c r="S204" i="1"/>
  <c r="R204" i="1"/>
  <c r="N204" i="1"/>
  <c r="M204" i="1"/>
  <c r="A204" i="1"/>
  <c r="V203" i="1"/>
  <c r="T203" i="1"/>
  <c r="S203" i="1"/>
  <c r="R203" i="1"/>
  <c r="N203" i="1"/>
  <c r="M203" i="1"/>
  <c r="A203" i="1"/>
  <c r="V202" i="1"/>
  <c r="T202" i="1"/>
  <c r="S202" i="1"/>
  <c r="R202" i="1"/>
  <c r="N202" i="1"/>
  <c r="M202" i="1"/>
  <c r="A202" i="1"/>
  <c r="V201" i="1"/>
  <c r="T201" i="1"/>
  <c r="S201" i="1"/>
  <c r="R201" i="1"/>
  <c r="N201" i="1"/>
  <c r="M201" i="1"/>
  <c r="A201" i="1"/>
  <c r="V200" i="1"/>
  <c r="T200" i="1"/>
  <c r="S200" i="1"/>
  <c r="R200" i="1"/>
  <c r="N200" i="1"/>
  <c r="M200" i="1"/>
  <c r="A200" i="1"/>
  <c r="V199" i="1"/>
  <c r="T199" i="1"/>
  <c r="S199" i="1"/>
  <c r="R199" i="1"/>
  <c r="N199" i="1"/>
  <c r="M199" i="1"/>
  <c r="A199" i="1"/>
  <c r="V198" i="1"/>
  <c r="T198" i="1"/>
  <c r="S198" i="1"/>
  <c r="R198" i="1"/>
  <c r="N198" i="1"/>
  <c r="M198" i="1"/>
  <c r="A198" i="1"/>
  <c r="V197" i="1"/>
  <c r="T197" i="1"/>
  <c r="S197" i="1"/>
  <c r="R197" i="1"/>
  <c r="N197" i="1"/>
  <c r="M197" i="1"/>
  <c r="A197" i="1"/>
  <c r="V196" i="1"/>
  <c r="T196" i="1"/>
  <c r="S196" i="1"/>
  <c r="R196" i="1"/>
  <c r="N196" i="1"/>
  <c r="M196" i="1"/>
  <c r="A196" i="1"/>
  <c r="V195" i="1"/>
  <c r="T195" i="1"/>
  <c r="S195" i="1"/>
  <c r="R195" i="1"/>
  <c r="N195" i="1"/>
  <c r="M195" i="1"/>
  <c r="A195" i="1"/>
  <c r="V194" i="1"/>
  <c r="T194" i="1"/>
  <c r="S194" i="1"/>
  <c r="R194" i="1"/>
  <c r="N194" i="1"/>
  <c r="M194" i="1"/>
  <c r="A194" i="1"/>
  <c r="V193" i="1"/>
  <c r="T193" i="1"/>
  <c r="S193" i="1"/>
  <c r="R193" i="1"/>
  <c r="N193" i="1"/>
  <c r="M193" i="1"/>
  <c r="A193" i="1"/>
  <c r="V192" i="1"/>
  <c r="T192" i="1"/>
  <c r="S192" i="1"/>
  <c r="R192" i="1"/>
  <c r="N192" i="1"/>
  <c r="M192" i="1"/>
  <c r="A192" i="1"/>
  <c r="V191" i="1"/>
  <c r="T191" i="1"/>
  <c r="S191" i="1"/>
  <c r="R191" i="1"/>
  <c r="N191" i="1"/>
  <c r="M191" i="1"/>
  <c r="A191" i="1"/>
  <c r="V190" i="1"/>
  <c r="T190" i="1"/>
  <c r="S190" i="1"/>
  <c r="R190" i="1"/>
  <c r="N190" i="1"/>
  <c r="M190" i="1"/>
  <c r="A190" i="1"/>
  <c r="V189" i="1"/>
  <c r="T189" i="1"/>
  <c r="S189" i="1"/>
  <c r="R189" i="1"/>
  <c r="N189" i="1"/>
  <c r="M189" i="1"/>
  <c r="A189" i="1"/>
  <c r="V188" i="1"/>
  <c r="T188" i="1"/>
  <c r="S188" i="1"/>
  <c r="R188" i="1"/>
  <c r="N188" i="1"/>
  <c r="M188" i="1"/>
  <c r="A188" i="1"/>
  <c r="V187" i="1"/>
  <c r="T187" i="1"/>
  <c r="S187" i="1"/>
  <c r="R187" i="1"/>
  <c r="N187" i="1"/>
  <c r="M187" i="1"/>
  <c r="A187" i="1"/>
  <c r="V186" i="1"/>
  <c r="T186" i="1"/>
  <c r="S186" i="1"/>
  <c r="R186" i="1"/>
  <c r="N186" i="1"/>
  <c r="M186" i="1"/>
  <c r="A186" i="1"/>
  <c r="V185" i="1"/>
  <c r="T185" i="1"/>
  <c r="S185" i="1"/>
  <c r="R185" i="1"/>
  <c r="N185" i="1"/>
  <c r="M185" i="1"/>
  <c r="A185" i="1"/>
  <c r="V184" i="1"/>
  <c r="T184" i="1"/>
  <c r="S184" i="1"/>
  <c r="R184" i="1"/>
  <c r="N184" i="1"/>
  <c r="M184" i="1"/>
  <c r="A184" i="1"/>
  <c r="V183" i="1"/>
  <c r="T183" i="1"/>
  <c r="S183" i="1"/>
  <c r="R183" i="1"/>
  <c r="N183" i="1"/>
  <c r="M183" i="1"/>
  <c r="A183" i="1"/>
  <c r="V182" i="1"/>
  <c r="T182" i="1"/>
  <c r="S182" i="1"/>
  <c r="R182" i="1"/>
  <c r="N182" i="1"/>
  <c r="M182" i="1"/>
  <c r="A182" i="1"/>
  <c r="V181" i="1"/>
  <c r="T181" i="1"/>
  <c r="S181" i="1"/>
  <c r="R181" i="1"/>
  <c r="N181" i="1"/>
  <c r="M181" i="1"/>
  <c r="A181" i="1"/>
  <c r="V180" i="1"/>
  <c r="T180" i="1"/>
  <c r="S180" i="1"/>
  <c r="R180" i="1"/>
  <c r="N180" i="1"/>
  <c r="M180" i="1"/>
  <c r="A180" i="1"/>
  <c r="V179" i="1"/>
  <c r="T179" i="1"/>
  <c r="S179" i="1"/>
  <c r="R179" i="1"/>
  <c r="N179" i="1"/>
  <c r="M179" i="1"/>
  <c r="A179" i="1"/>
  <c r="V178" i="1"/>
  <c r="T178" i="1"/>
  <c r="S178" i="1"/>
  <c r="R178" i="1"/>
  <c r="N178" i="1"/>
  <c r="M178" i="1"/>
  <c r="A178" i="1"/>
  <c r="V177" i="1"/>
  <c r="T177" i="1"/>
  <c r="S177" i="1"/>
  <c r="R177" i="1"/>
  <c r="N177" i="1"/>
  <c r="M177" i="1"/>
  <c r="A177" i="1"/>
  <c r="V176" i="1"/>
  <c r="T176" i="1"/>
  <c r="S176" i="1"/>
  <c r="R176" i="1"/>
  <c r="N176" i="1"/>
  <c r="M176" i="1"/>
  <c r="A176" i="1"/>
  <c r="V175" i="1"/>
  <c r="T175" i="1"/>
  <c r="S175" i="1"/>
  <c r="R175" i="1"/>
  <c r="N175" i="1"/>
  <c r="M175" i="1"/>
  <c r="A175" i="1"/>
  <c r="V174" i="1"/>
  <c r="T174" i="1"/>
  <c r="S174" i="1"/>
  <c r="R174" i="1"/>
  <c r="N174" i="1"/>
  <c r="M174" i="1"/>
  <c r="A174" i="1"/>
  <c r="V173" i="1"/>
  <c r="T173" i="1"/>
  <c r="S173" i="1"/>
  <c r="R173" i="1"/>
  <c r="N173" i="1"/>
  <c r="M173" i="1"/>
  <c r="A173" i="1"/>
  <c r="V172" i="1"/>
  <c r="T172" i="1"/>
  <c r="S172" i="1"/>
  <c r="R172" i="1"/>
  <c r="N172" i="1"/>
  <c r="M172" i="1"/>
  <c r="A172" i="1"/>
  <c r="V171" i="1"/>
  <c r="T171" i="1"/>
  <c r="S171" i="1"/>
  <c r="R171" i="1"/>
  <c r="N171" i="1"/>
  <c r="M171" i="1"/>
  <c r="A171" i="1"/>
  <c r="V170" i="1"/>
  <c r="T170" i="1"/>
  <c r="S170" i="1"/>
  <c r="R170" i="1"/>
  <c r="N170" i="1"/>
  <c r="M170" i="1"/>
  <c r="A170" i="1"/>
  <c r="V169" i="1"/>
  <c r="T169" i="1"/>
  <c r="S169" i="1"/>
  <c r="R169" i="1"/>
  <c r="N169" i="1"/>
  <c r="M169" i="1"/>
  <c r="A169" i="1"/>
  <c r="V168" i="1"/>
  <c r="T168" i="1"/>
  <c r="S168" i="1"/>
  <c r="R168" i="1"/>
  <c r="N168" i="1"/>
  <c r="M168" i="1"/>
  <c r="A168" i="1"/>
  <c r="V167" i="1"/>
  <c r="T167" i="1"/>
  <c r="S167" i="1"/>
  <c r="R167" i="1"/>
  <c r="N167" i="1"/>
  <c r="M167" i="1"/>
  <c r="A167" i="1"/>
  <c r="V166" i="1"/>
  <c r="T166" i="1"/>
  <c r="S166" i="1"/>
  <c r="R166" i="1"/>
  <c r="N166" i="1"/>
  <c r="M166" i="1"/>
  <c r="A166" i="1"/>
  <c r="V165" i="1"/>
  <c r="T165" i="1"/>
  <c r="S165" i="1"/>
  <c r="R165" i="1"/>
  <c r="N165" i="1"/>
  <c r="M165" i="1"/>
  <c r="A165" i="1"/>
  <c r="V164" i="1"/>
  <c r="T164" i="1"/>
  <c r="S164" i="1"/>
  <c r="R164" i="1"/>
  <c r="N164" i="1"/>
  <c r="M164" i="1"/>
  <c r="A164" i="1"/>
  <c r="V163" i="1"/>
  <c r="T163" i="1"/>
  <c r="S163" i="1"/>
  <c r="R163" i="1"/>
  <c r="N163" i="1"/>
  <c r="M163" i="1"/>
  <c r="A163" i="1"/>
  <c r="V162" i="1"/>
  <c r="T162" i="1"/>
  <c r="S162" i="1"/>
  <c r="R162" i="1"/>
  <c r="N162" i="1"/>
  <c r="M162" i="1"/>
  <c r="A162" i="1"/>
  <c r="V161" i="1"/>
  <c r="T161" i="1"/>
  <c r="S161" i="1"/>
  <c r="R161" i="1"/>
  <c r="N161" i="1"/>
  <c r="M161" i="1"/>
  <c r="A161" i="1"/>
  <c r="V160" i="1"/>
  <c r="T160" i="1"/>
  <c r="S160" i="1"/>
  <c r="R160" i="1"/>
  <c r="N160" i="1"/>
  <c r="M160" i="1"/>
  <c r="A160" i="1"/>
  <c r="V159" i="1"/>
  <c r="T159" i="1"/>
  <c r="S159" i="1"/>
  <c r="R159" i="1"/>
  <c r="N159" i="1"/>
  <c r="M159" i="1"/>
  <c r="A159" i="1"/>
  <c r="V158" i="1"/>
  <c r="T158" i="1"/>
  <c r="S158" i="1"/>
  <c r="R158" i="1"/>
  <c r="N158" i="1"/>
  <c r="M158" i="1"/>
  <c r="A158" i="1"/>
  <c r="V157" i="1"/>
  <c r="T157" i="1"/>
  <c r="S157" i="1"/>
  <c r="R157" i="1"/>
  <c r="N157" i="1"/>
  <c r="M157" i="1"/>
  <c r="A157" i="1"/>
  <c r="V156" i="1"/>
  <c r="T156" i="1"/>
  <c r="S156" i="1"/>
  <c r="R156" i="1"/>
  <c r="N156" i="1"/>
  <c r="M156" i="1"/>
  <c r="A156" i="1"/>
  <c r="V155" i="1"/>
  <c r="T155" i="1"/>
  <c r="S155" i="1"/>
  <c r="R155" i="1"/>
  <c r="N155" i="1"/>
  <c r="M155" i="1"/>
  <c r="A155" i="1"/>
  <c r="V154" i="1"/>
  <c r="T154" i="1"/>
  <c r="S154" i="1"/>
  <c r="R154" i="1"/>
  <c r="N154" i="1"/>
  <c r="M154" i="1"/>
  <c r="A154" i="1"/>
  <c r="V153" i="1"/>
  <c r="T153" i="1"/>
  <c r="S153" i="1"/>
  <c r="R153" i="1"/>
  <c r="N153" i="1"/>
  <c r="M153" i="1"/>
  <c r="A153" i="1"/>
  <c r="V152" i="1"/>
  <c r="T152" i="1"/>
  <c r="S152" i="1"/>
  <c r="R152" i="1"/>
  <c r="N152" i="1"/>
  <c r="M152" i="1"/>
  <c r="A152" i="1"/>
  <c r="V151" i="1"/>
  <c r="T151" i="1"/>
  <c r="S151" i="1"/>
  <c r="R151" i="1"/>
  <c r="N151" i="1"/>
  <c r="M151" i="1"/>
  <c r="A151" i="1"/>
  <c r="V150" i="1"/>
  <c r="T150" i="1"/>
  <c r="S150" i="1"/>
  <c r="R150" i="1"/>
  <c r="N150" i="1"/>
  <c r="M150" i="1"/>
  <c r="A150" i="1"/>
  <c r="V149" i="1"/>
  <c r="T149" i="1"/>
  <c r="S149" i="1"/>
  <c r="R149" i="1"/>
  <c r="N149" i="1"/>
  <c r="M149" i="1"/>
  <c r="A149" i="1"/>
  <c r="V148" i="1"/>
  <c r="T148" i="1"/>
  <c r="S148" i="1"/>
  <c r="R148" i="1"/>
  <c r="N148" i="1"/>
  <c r="M148" i="1"/>
  <c r="A148" i="1"/>
  <c r="V147" i="1"/>
  <c r="T147" i="1"/>
  <c r="S147" i="1"/>
  <c r="R147" i="1"/>
  <c r="N147" i="1"/>
  <c r="M147" i="1"/>
  <c r="A147" i="1"/>
  <c r="V146" i="1"/>
  <c r="T146" i="1"/>
  <c r="S146" i="1"/>
  <c r="R146" i="1"/>
  <c r="N146" i="1"/>
  <c r="M146" i="1"/>
  <c r="A146" i="1"/>
  <c r="V145" i="1"/>
  <c r="T145" i="1"/>
  <c r="S145" i="1"/>
  <c r="R145" i="1"/>
  <c r="N145" i="1"/>
  <c r="M145" i="1"/>
  <c r="A145" i="1"/>
  <c r="V144" i="1"/>
  <c r="T144" i="1"/>
  <c r="S144" i="1"/>
  <c r="R144" i="1"/>
  <c r="N144" i="1"/>
  <c r="M144" i="1"/>
  <c r="A144" i="1"/>
  <c r="V143" i="1"/>
  <c r="T143" i="1"/>
  <c r="S143" i="1"/>
  <c r="R143" i="1"/>
  <c r="N143" i="1"/>
  <c r="M143" i="1"/>
  <c r="A143" i="1"/>
  <c r="V142" i="1"/>
  <c r="T142" i="1"/>
  <c r="S142" i="1"/>
  <c r="R142" i="1"/>
  <c r="N142" i="1"/>
  <c r="M142" i="1"/>
  <c r="A142" i="1"/>
  <c r="V141" i="1"/>
  <c r="T141" i="1"/>
  <c r="S141" i="1"/>
  <c r="R141" i="1"/>
  <c r="N141" i="1"/>
  <c r="M141" i="1"/>
  <c r="A141" i="1"/>
  <c r="V140" i="1"/>
  <c r="T140" i="1"/>
  <c r="S140" i="1"/>
  <c r="R140" i="1"/>
  <c r="N140" i="1"/>
  <c r="M140" i="1"/>
  <c r="A140" i="1"/>
  <c r="V139" i="1"/>
  <c r="T139" i="1"/>
  <c r="S139" i="1"/>
  <c r="R139" i="1"/>
  <c r="N139" i="1"/>
  <c r="M139" i="1"/>
  <c r="A139" i="1"/>
  <c r="V138" i="1"/>
  <c r="T138" i="1"/>
  <c r="S138" i="1"/>
  <c r="R138" i="1"/>
  <c r="N138" i="1"/>
  <c r="M138" i="1"/>
  <c r="A138" i="1"/>
  <c r="V137" i="1"/>
  <c r="T137" i="1"/>
  <c r="S137" i="1"/>
  <c r="R137" i="1"/>
  <c r="N137" i="1"/>
  <c r="M137" i="1"/>
  <c r="A137" i="1"/>
  <c r="V136" i="1"/>
  <c r="T136" i="1"/>
  <c r="S136" i="1"/>
  <c r="R136" i="1"/>
  <c r="N136" i="1"/>
  <c r="M136" i="1"/>
  <c r="A136" i="1"/>
  <c r="V135" i="1"/>
  <c r="T135" i="1"/>
  <c r="S135" i="1"/>
  <c r="R135" i="1"/>
  <c r="N135" i="1"/>
  <c r="M135" i="1"/>
  <c r="A135" i="1"/>
  <c r="V134" i="1"/>
  <c r="T134" i="1"/>
  <c r="S134" i="1"/>
  <c r="R134" i="1"/>
  <c r="N134" i="1"/>
  <c r="M134" i="1"/>
  <c r="A134" i="1"/>
  <c r="V133" i="1"/>
  <c r="T133" i="1"/>
  <c r="S133" i="1"/>
  <c r="R133" i="1"/>
  <c r="N133" i="1"/>
  <c r="M133" i="1"/>
  <c r="A133" i="1"/>
  <c r="V132" i="1"/>
  <c r="T132" i="1"/>
  <c r="S132" i="1"/>
  <c r="R132" i="1"/>
  <c r="N132" i="1"/>
  <c r="M132" i="1"/>
  <c r="A132" i="1"/>
  <c r="V131" i="1"/>
  <c r="T131" i="1"/>
  <c r="S131" i="1"/>
  <c r="R131" i="1"/>
  <c r="N131" i="1"/>
  <c r="M131" i="1"/>
  <c r="A131" i="1"/>
  <c r="V130" i="1"/>
  <c r="T130" i="1"/>
  <c r="S130" i="1"/>
  <c r="R130" i="1"/>
  <c r="N130" i="1"/>
  <c r="M130" i="1"/>
  <c r="A130" i="1"/>
  <c r="V129" i="1"/>
  <c r="T129" i="1"/>
  <c r="S129" i="1"/>
  <c r="R129" i="1"/>
  <c r="N129" i="1"/>
  <c r="M129" i="1"/>
  <c r="A129" i="1"/>
  <c r="V128" i="1"/>
  <c r="T128" i="1"/>
  <c r="S128" i="1"/>
  <c r="R128" i="1"/>
  <c r="N128" i="1"/>
  <c r="M128" i="1"/>
  <c r="A128" i="1"/>
  <c r="V127" i="1"/>
  <c r="T127" i="1"/>
  <c r="S127" i="1"/>
  <c r="R127" i="1"/>
  <c r="N127" i="1"/>
  <c r="M127" i="1"/>
  <c r="A127" i="1"/>
  <c r="V126" i="1"/>
  <c r="T126" i="1"/>
  <c r="S126" i="1"/>
  <c r="R126" i="1"/>
  <c r="N126" i="1"/>
  <c r="M126" i="1"/>
  <c r="A126" i="1"/>
  <c r="V125" i="1"/>
  <c r="T125" i="1"/>
  <c r="S125" i="1"/>
  <c r="R125" i="1"/>
  <c r="N125" i="1"/>
  <c r="M125" i="1"/>
  <c r="A125" i="1"/>
  <c r="V124" i="1"/>
  <c r="T124" i="1"/>
  <c r="S124" i="1"/>
  <c r="R124" i="1"/>
  <c r="N124" i="1"/>
  <c r="M124" i="1"/>
  <c r="A124" i="1"/>
  <c r="V123" i="1"/>
  <c r="T123" i="1"/>
  <c r="S123" i="1"/>
  <c r="R123" i="1"/>
  <c r="N123" i="1"/>
  <c r="M123" i="1"/>
  <c r="A123" i="1"/>
  <c r="V122" i="1"/>
  <c r="T122" i="1"/>
  <c r="S122" i="1"/>
  <c r="R122" i="1"/>
  <c r="N122" i="1"/>
  <c r="M122" i="1"/>
  <c r="A122" i="1"/>
  <c r="V121" i="1"/>
  <c r="T121" i="1"/>
  <c r="S121" i="1"/>
  <c r="R121" i="1"/>
  <c r="N121" i="1"/>
  <c r="M121" i="1"/>
  <c r="A121" i="1"/>
  <c r="V120" i="1"/>
  <c r="T120" i="1"/>
  <c r="S120" i="1"/>
  <c r="R120" i="1"/>
  <c r="N120" i="1"/>
  <c r="M120" i="1"/>
  <c r="A120" i="1"/>
  <c r="V119" i="1"/>
  <c r="T119" i="1"/>
  <c r="S119" i="1"/>
  <c r="R119" i="1"/>
  <c r="N119" i="1"/>
  <c r="M119" i="1"/>
  <c r="A119" i="1"/>
  <c r="V118" i="1"/>
  <c r="T118" i="1"/>
  <c r="S118" i="1"/>
  <c r="R118" i="1"/>
  <c r="N118" i="1"/>
  <c r="M118" i="1"/>
  <c r="A118" i="1"/>
  <c r="V117" i="1"/>
  <c r="T117" i="1"/>
  <c r="S117" i="1"/>
  <c r="R117" i="1"/>
  <c r="N117" i="1"/>
  <c r="M117" i="1"/>
  <c r="A117" i="1"/>
  <c r="V116" i="1"/>
  <c r="T116" i="1"/>
  <c r="S116" i="1"/>
  <c r="R116" i="1"/>
  <c r="N116" i="1"/>
  <c r="M116" i="1"/>
  <c r="A116" i="1"/>
  <c r="V115" i="1"/>
  <c r="T115" i="1"/>
  <c r="S115" i="1"/>
  <c r="R115" i="1"/>
  <c r="N115" i="1"/>
  <c r="M115" i="1"/>
  <c r="A115" i="1"/>
  <c r="V114" i="1"/>
  <c r="T114" i="1"/>
  <c r="S114" i="1"/>
  <c r="R114" i="1"/>
  <c r="N114" i="1"/>
  <c r="M114" i="1"/>
  <c r="A114" i="1"/>
  <c r="V113" i="1"/>
  <c r="T113" i="1"/>
  <c r="S113" i="1"/>
  <c r="R113" i="1"/>
  <c r="N113" i="1"/>
  <c r="M113" i="1"/>
  <c r="A113" i="1"/>
  <c r="V112" i="1"/>
  <c r="T112" i="1"/>
  <c r="S112" i="1"/>
  <c r="R112" i="1"/>
  <c r="N112" i="1"/>
  <c r="M112" i="1"/>
  <c r="A112" i="1"/>
  <c r="V111" i="1"/>
  <c r="T111" i="1"/>
  <c r="S111" i="1"/>
  <c r="R111" i="1"/>
  <c r="N111" i="1"/>
  <c r="M111" i="1"/>
  <c r="A111" i="1"/>
  <c r="V110" i="1"/>
  <c r="T110" i="1"/>
  <c r="S110" i="1"/>
  <c r="R110" i="1"/>
  <c r="N110" i="1"/>
  <c r="M110" i="1"/>
  <c r="A110" i="1"/>
  <c r="V109" i="1"/>
  <c r="T109" i="1"/>
  <c r="S109" i="1"/>
  <c r="R109" i="1"/>
  <c r="N109" i="1"/>
  <c r="M109" i="1"/>
  <c r="A109" i="1"/>
  <c r="V108" i="1"/>
  <c r="T108" i="1"/>
  <c r="S108" i="1"/>
  <c r="R108" i="1"/>
  <c r="N108" i="1"/>
  <c r="M108" i="1"/>
  <c r="A108" i="1"/>
  <c r="V107" i="1"/>
  <c r="T107" i="1"/>
  <c r="S107" i="1"/>
  <c r="R107" i="1"/>
  <c r="N107" i="1"/>
  <c r="M107" i="1"/>
  <c r="A107" i="1"/>
  <c r="V106" i="1"/>
  <c r="T106" i="1"/>
  <c r="S106" i="1"/>
  <c r="R106" i="1"/>
  <c r="N106" i="1"/>
  <c r="M106" i="1"/>
  <c r="A106" i="1"/>
  <c r="V105" i="1"/>
  <c r="T105" i="1"/>
  <c r="S105" i="1"/>
  <c r="R105" i="1"/>
  <c r="N105" i="1"/>
  <c r="M105" i="1"/>
  <c r="A105" i="1"/>
  <c r="V104" i="1"/>
  <c r="T104" i="1"/>
  <c r="S104" i="1"/>
  <c r="R104" i="1"/>
  <c r="N104" i="1"/>
  <c r="M104" i="1"/>
  <c r="A104" i="1"/>
  <c r="V103" i="1"/>
  <c r="T103" i="1"/>
  <c r="S103" i="1"/>
  <c r="R103" i="1"/>
  <c r="N103" i="1"/>
  <c r="M103" i="1"/>
  <c r="A103" i="1"/>
  <c r="V102" i="1"/>
  <c r="T102" i="1"/>
  <c r="S102" i="1"/>
  <c r="R102" i="1"/>
  <c r="N102" i="1"/>
  <c r="M102" i="1"/>
  <c r="A102" i="1"/>
  <c r="V101" i="1"/>
  <c r="T101" i="1"/>
  <c r="S101" i="1"/>
  <c r="R101" i="1"/>
  <c r="N101" i="1"/>
  <c r="M101" i="1"/>
  <c r="A101" i="1"/>
  <c r="V100" i="1"/>
  <c r="T100" i="1"/>
  <c r="S100" i="1"/>
  <c r="R100" i="1"/>
  <c r="N100" i="1"/>
  <c r="M100" i="1"/>
  <c r="A100" i="1"/>
  <c r="V99" i="1"/>
  <c r="T99" i="1"/>
  <c r="S99" i="1"/>
  <c r="R99" i="1"/>
  <c r="N99" i="1"/>
  <c r="M99" i="1"/>
  <c r="A99" i="1"/>
  <c r="V98" i="1"/>
  <c r="T98" i="1"/>
  <c r="S98" i="1"/>
  <c r="R98" i="1"/>
  <c r="N98" i="1"/>
  <c r="M98" i="1"/>
  <c r="A98" i="1"/>
  <c r="V97" i="1"/>
  <c r="T97" i="1"/>
  <c r="S97" i="1"/>
  <c r="R97" i="1"/>
  <c r="N97" i="1"/>
  <c r="M97" i="1"/>
  <c r="A97" i="1"/>
  <c r="V96" i="1"/>
  <c r="T96" i="1"/>
  <c r="S96" i="1"/>
  <c r="R96" i="1"/>
  <c r="N96" i="1"/>
  <c r="M96" i="1"/>
  <c r="A96" i="1"/>
  <c r="V95" i="1"/>
  <c r="T95" i="1"/>
  <c r="S95" i="1"/>
  <c r="R95" i="1"/>
  <c r="N95" i="1"/>
  <c r="M95" i="1"/>
  <c r="A95" i="1"/>
  <c r="V94" i="1"/>
  <c r="T94" i="1"/>
  <c r="S94" i="1"/>
  <c r="R94" i="1"/>
  <c r="N94" i="1"/>
  <c r="M94" i="1"/>
  <c r="A94" i="1"/>
  <c r="V93" i="1"/>
  <c r="T93" i="1"/>
  <c r="S93" i="1"/>
  <c r="R93" i="1"/>
  <c r="N93" i="1"/>
  <c r="M93" i="1"/>
  <c r="A93" i="1"/>
  <c r="V92" i="1"/>
  <c r="T92" i="1"/>
  <c r="S92" i="1"/>
  <c r="R92" i="1"/>
  <c r="N92" i="1"/>
  <c r="M92" i="1"/>
  <c r="A92" i="1"/>
  <c r="V91" i="1"/>
  <c r="T91" i="1"/>
  <c r="S91" i="1"/>
  <c r="R91" i="1"/>
  <c r="N91" i="1"/>
  <c r="M91" i="1"/>
  <c r="A91" i="1"/>
  <c r="V90" i="1"/>
  <c r="T90" i="1"/>
  <c r="S90" i="1"/>
  <c r="R90" i="1"/>
  <c r="N90" i="1"/>
  <c r="M90" i="1"/>
  <c r="A90" i="1"/>
  <c r="V89" i="1"/>
  <c r="T89" i="1"/>
  <c r="S89" i="1"/>
  <c r="R89" i="1"/>
  <c r="N89" i="1"/>
  <c r="M89" i="1"/>
  <c r="A89" i="1"/>
  <c r="V88" i="1"/>
  <c r="T88" i="1"/>
  <c r="S88" i="1"/>
  <c r="R88" i="1"/>
  <c r="N88" i="1"/>
  <c r="M88" i="1"/>
  <c r="A88" i="1"/>
  <c r="V87" i="1"/>
  <c r="T87" i="1"/>
  <c r="S87" i="1"/>
  <c r="R87" i="1"/>
  <c r="N87" i="1"/>
  <c r="M87" i="1"/>
  <c r="A87" i="1"/>
  <c r="V86" i="1"/>
  <c r="T86" i="1"/>
  <c r="S86" i="1"/>
  <c r="R86" i="1"/>
  <c r="N86" i="1"/>
  <c r="M86" i="1"/>
  <c r="A86" i="1"/>
  <c r="V85" i="1"/>
  <c r="T85" i="1"/>
  <c r="S85" i="1"/>
  <c r="R85" i="1"/>
  <c r="N85" i="1"/>
  <c r="M85" i="1"/>
  <c r="A85" i="1"/>
  <c r="V84" i="1"/>
  <c r="T84" i="1"/>
  <c r="S84" i="1"/>
  <c r="R84" i="1"/>
  <c r="N84" i="1"/>
  <c r="M84" i="1"/>
  <c r="A84" i="1"/>
  <c r="V83" i="1"/>
  <c r="T83" i="1"/>
  <c r="S83" i="1"/>
  <c r="R83" i="1"/>
  <c r="N83" i="1"/>
  <c r="M83" i="1"/>
  <c r="A83" i="1"/>
  <c r="V82" i="1"/>
  <c r="T82" i="1"/>
  <c r="S82" i="1"/>
  <c r="R82" i="1"/>
  <c r="N82" i="1"/>
  <c r="M82" i="1"/>
  <c r="A82" i="1"/>
  <c r="V81" i="1"/>
  <c r="T81" i="1"/>
  <c r="S81" i="1"/>
  <c r="R81" i="1"/>
  <c r="N81" i="1"/>
  <c r="M81" i="1"/>
  <c r="A81" i="1"/>
  <c r="V80" i="1"/>
  <c r="T80" i="1"/>
  <c r="S80" i="1"/>
  <c r="R80" i="1"/>
  <c r="N80" i="1"/>
  <c r="M80" i="1"/>
  <c r="A80" i="1"/>
  <c r="V79" i="1"/>
  <c r="T79" i="1"/>
  <c r="S79" i="1"/>
  <c r="R79" i="1"/>
  <c r="N79" i="1"/>
  <c r="M79" i="1"/>
  <c r="A79" i="1"/>
  <c r="V78" i="1"/>
  <c r="T78" i="1"/>
  <c r="S78" i="1"/>
  <c r="R78" i="1"/>
  <c r="N78" i="1"/>
  <c r="M78" i="1"/>
  <c r="A78" i="1"/>
  <c r="V77" i="1"/>
  <c r="T77" i="1"/>
  <c r="S77" i="1"/>
  <c r="R77" i="1"/>
  <c r="N77" i="1"/>
  <c r="M77" i="1"/>
  <c r="A77" i="1"/>
  <c r="V76" i="1"/>
  <c r="T76" i="1"/>
  <c r="S76" i="1"/>
  <c r="R76" i="1"/>
  <c r="N76" i="1"/>
  <c r="M76" i="1"/>
  <c r="A76" i="1"/>
  <c r="V75" i="1"/>
  <c r="T75" i="1"/>
  <c r="S75" i="1"/>
  <c r="R75" i="1"/>
  <c r="N75" i="1"/>
  <c r="M75" i="1"/>
  <c r="A75" i="1"/>
  <c r="V74" i="1"/>
  <c r="T74" i="1"/>
  <c r="S74" i="1"/>
  <c r="R74" i="1"/>
  <c r="N74" i="1"/>
  <c r="M74" i="1"/>
  <c r="A74" i="1"/>
  <c r="V73" i="1"/>
  <c r="T73" i="1"/>
  <c r="S73" i="1"/>
  <c r="R73" i="1"/>
  <c r="N73" i="1"/>
  <c r="M73" i="1"/>
  <c r="A73" i="1"/>
  <c r="V72" i="1"/>
  <c r="T72" i="1"/>
  <c r="S72" i="1"/>
  <c r="R72" i="1"/>
  <c r="N72" i="1"/>
  <c r="M72" i="1"/>
  <c r="A72" i="1"/>
  <c r="V71" i="1"/>
  <c r="T71" i="1"/>
  <c r="S71" i="1"/>
  <c r="R71" i="1"/>
  <c r="N71" i="1"/>
  <c r="M71" i="1"/>
  <c r="A71" i="1"/>
  <c r="V70" i="1"/>
  <c r="T70" i="1"/>
  <c r="S70" i="1"/>
  <c r="R70" i="1"/>
  <c r="N70" i="1"/>
  <c r="M70" i="1"/>
  <c r="A70" i="1"/>
  <c r="V69" i="1"/>
  <c r="T69" i="1"/>
  <c r="S69" i="1"/>
  <c r="R69" i="1"/>
  <c r="N69" i="1"/>
  <c r="M69" i="1"/>
  <c r="A69" i="1"/>
  <c r="V68" i="1"/>
  <c r="T68" i="1"/>
  <c r="S68" i="1"/>
  <c r="R68" i="1"/>
  <c r="N68" i="1"/>
  <c r="M68" i="1"/>
  <c r="A68" i="1"/>
  <c r="V67" i="1"/>
  <c r="T67" i="1"/>
  <c r="S67" i="1"/>
  <c r="R67" i="1"/>
  <c r="N67" i="1"/>
  <c r="M67" i="1"/>
  <c r="A67" i="1"/>
  <c r="V66" i="1"/>
  <c r="T66" i="1"/>
  <c r="S66" i="1"/>
  <c r="R66" i="1"/>
  <c r="N66" i="1"/>
  <c r="M66" i="1"/>
  <c r="A66" i="1"/>
  <c r="V65" i="1"/>
  <c r="T65" i="1"/>
  <c r="S65" i="1"/>
  <c r="R65" i="1"/>
  <c r="N65" i="1"/>
  <c r="M65" i="1"/>
  <c r="A65" i="1"/>
  <c r="V64" i="1"/>
  <c r="T64" i="1"/>
  <c r="S64" i="1"/>
  <c r="R64" i="1"/>
  <c r="N64" i="1"/>
  <c r="M64" i="1"/>
  <c r="A64" i="1"/>
  <c r="V63" i="1"/>
  <c r="T63" i="1"/>
  <c r="S63" i="1"/>
  <c r="R63" i="1"/>
  <c r="N63" i="1"/>
  <c r="M63" i="1"/>
  <c r="A63" i="1"/>
  <c r="V62" i="1"/>
  <c r="T62" i="1"/>
  <c r="S62" i="1"/>
  <c r="R62" i="1"/>
  <c r="N62" i="1"/>
  <c r="M62" i="1"/>
  <c r="A62" i="1"/>
  <c r="V61" i="1"/>
  <c r="T61" i="1"/>
  <c r="S61" i="1"/>
  <c r="R61" i="1"/>
  <c r="N61" i="1"/>
  <c r="M61" i="1"/>
  <c r="A61" i="1"/>
  <c r="V60" i="1"/>
  <c r="T60" i="1"/>
  <c r="S60" i="1"/>
  <c r="R60" i="1"/>
  <c r="N60" i="1"/>
  <c r="M60" i="1"/>
  <c r="A60" i="1"/>
  <c r="V59" i="1"/>
  <c r="T59" i="1"/>
  <c r="S59" i="1"/>
  <c r="R59" i="1"/>
  <c r="N59" i="1"/>
  <c r="M59" i="1"/>
  <c r="A59" i="1"/>
  <c r="V58" i="1"/>
  <c r="T58" i="1"/>
  <c r="S58" i="1"/>
  <c r="R58" i="1"/>
  <c r="N58" i="1"/>
  <c r="M58" i="1"/>
  <c r="A58" i="1"/>
  <c r="V57" i="1"/>
  <c r="T57" i="1"/>
  <c r="S57" i="1"/>
  <c r="R57" i="1"/>
  <c r="N57" i="1"/>
  <c r="M57" i="1"/>
  <c r="A57" i="1"/>
  <c r="V56" i="1"/>
  <c r="T56" i="1"/>
  <c r="S56" i="1"/>
  <c r="R56" i="1"/>
  <c r="N56" i="1"/>
  <c r="M56" i="1"/>
  <c r="A56" i="1"/>
  <c r="V55" i="1"/>
  <c r="T55" i="1"/>
  <c r="S55" i="1"/>
  <c r="R55" i="1"/>
  <c r="N55" i="1"/>
  <c r="M55" i="1"/>
  <c r="A55" i="1"/>
  <c r="V54" i="1"/>
  <c r="T54" i="1"/>
  <c r="S54" i="1"/>
  <c r="R54" i="1"/>
  <c r="N54" i="1"/>
  <c r="M54" i="1"/>
  <c r="A54" i="1"/>
  <c r="V53" i="1"/>
  <c r="T53" i="1"/>
  <c r="S53" i="1"/>
  <c r="R53" i="1"/>
  <c r="N53" i="1"/>
  <c r="M53" i="1"/>
  <c r="A53" i="1"/>
  <c r="V52" i="1"/>
  <c r="T52" i="1"/>
  <c r="S52" i="1"/>
  <c r="R52" i="1"/>
  <c r="N52" i="1"/>
  <c r="M52" i="1"/>
  <c r="A52" i="1"/>
  <c r="V51" i="1"/>
  <c r="T51" i="1"/>
  <c r="S51" i="1"/>
  <c r="R51" i="1"/>
  <c r="N51" i="1"/>
  <c r="M51" i="1"/>
  <c r="A51" i="1"/>
  <c r="V50" i="1"/>
  <c r="T50" i="1"/>
  <c r="S50" i="1"/>
  <c r="R50" i="1"/>
  <c r="N50" i="1"/>
  <c r="M50" i="1"/>
  <c r="A50" i="1"/>
  <c r="V49" i="1"/>
  <c r="T49" i="1"/>
  <c r="S49" i="1"/>
  <c r="R49" i="1"/>
  <c r="N49" i="1"/>
  <c r="M49" i="1"/>
  <c r="A49" i="1"/>
  <c r="V48" i="1"/>
  <c r="T48" i="1"/>
  <c r="S48" i="1"/>
  <c r="R48" i="1"/>
  <c r="N48" i="1"/>
  <c r="M48" i="1"/>
  <c r="A48" i="1"/>
  <c r="V47" i="1"/>
  <c r="T47" i="1"/>
  <c r="S47" i="1"/>
  <c r="R47" i="1"/>
  <c r="N47" i="1"/>
  <c r="M47" i="1"/>
  <c r="A47" i="1"/>
  <c r="V46" i="1"/>
  <c r="T46" i="1"/>
  <c r="S46" i="1"/>
  <c r="R46" i="1"/>
  <c r="N46" i="1"/>
  <c r="M46" i="1"/>
  <c r="A46" i="1"/>
  <c r="V45" i="1"/>
  <c r="T45" i="1"/>
  <c r="S45" i="1"/>
  <c r="R45" i="1"/>
  <c r="N45" i="1"/>
  <c r="M45" i="1"/>
  <c r="A45" i="1"/>
  <c r="V44" i="1"/>
  <c r="T44" i="1"/>
  <c r="S44" i="1"/>
  <c r="R44" i="1"/>
  <c r="N44" i="1"/>
  <c r="M44" i="1"/>
  <c r="A44" i="1"/>
  <c r="V43" i="1"/>
  <c r="T43" i="1"/>
  <c r="S43" i="1"/>
  <c r="R43" i="1"/>
  <c r="N43" i="1"/>
  <c r="M43" i="1"/>
  <c r="A43" i="1"/>
  <c r="V42" i="1"/>
  <c r="T42" i="1"/>
  <c r="S42" i="1"/>
  <c r="R42" i="1"/>
  <c r="N42" i="1"/>
  <c r="M42" i="1"/>
  <c r="A42" i="1"/>
  <c r="V41" i="1"/>
  <c r="T41" i="1"/>
  <c r="S41" i="1"/>
  <c r="R41" i="1"/>
  <c r="N41" i="1"/>
  <c r="M41" i="1"/>
  <c r="A41" i="1"/>
  <c r="V40" i="1"/>
  <c r="T40" i="1"/>
  <c r="S40" i="1"/>
  <c r="R40" i="1"/>
  <c r="N40" i="1"/>
  <c r="M40" i="1"/>
  <c r="A40" i="1"/>
  <c r="V39" i="1"/>
  <c r="T39" i="1"/>
  <c r="S39" i="1"/>
  <c r="R39" i="1"/>
  <c r="N39" i="1"/>
  <c r="M39" i="1"/>
  <c r="A39" i="1"/>
  <c r="V38" i="1"/>
  <c r="T38" i="1"/>
  <c r="S38" i="1"/>
  <c r="R38" i="1"/>
  <c r="N38" i="1"/>
  <c r="M38" i="1"/>
  <c r="A38" i="1"/>
  <c r="V37" i="1"/>
  <c r="T37" i="1"/>
  <c r="S37" i="1"/>
  <c r="R37" i="1"/>
  <c r="N37" i="1"/>
  <c r="M37" i="1"/>
  <c r="A37" i="1"/>
  <c r="V36" i="1"/>
  <c r="T36" i="1"/>
  <c r="S36" i="1"/>
  <c r="R36" i="1"/>
  <c r="N36" i="1"/>
  <c r="M36" i="1"/>
  <c r="A36" i="1"/>
  <c r="V35" i="1"/>
  <c r="T35" i="1"/>
  <c r="S35" i="1"/>
  <c r="R35" i="1"/>
  <c r="N35" i="1"/>
  <c r="M35" i="1"/>
  <c r="A35" i="1"/>
  <c r="V34" i="1"/>
  <c r="T34" i="1"/>
  <c r="S34" i="1"/>
  <c r="R34" i="1"/>
  <c r="N34" i="1"/>
  <c r="M34" i="1"/>
  <c r="A34" i="1"/>
  <c r="V33" i="1"/>
  <c r="T33" i="1"/>
  <c r="S33" i="1"/>
  <c r="R33" i="1"/>
  <c r="N33" i="1"/>
  <c r="M33" i="1"/>
  <c r="A33" i="1"/>
  <c r="V32" i="1"/>
  <c r="T32" i="1"/>
  <c r="S32" i="1"/>
  <c r="R32" i="1"/>
  <c r="N32" i="1"/>
  <c r="M32" i="1"/>
  <c r="A32" i="1"/>
  <c r="V31" i="1"/>
  <c r="T31" i="1"/>
  <c r="S31" i="1"/>
  <c r="R31" i="1"/>
  <c r="N31" i="1"/>
  <c r="M31" i="1"/>
  <c r="A31" i="1"/>
  <c r="V30" i="1"/>
  <c r="T30" i="1"/>
  <c r="S30" i="1"/>
  <c r="R30" i="1"/>
  <c r="N30" i="1"/>
  <c r="M30" i="1"/>
  <c r="A30" i="1"/>
  <c r="V29" i="1"/>
  <c r="T29" i="1"/>
  <c r="S29" i="1"/>
  <c r="R29" i="1"/>
  <c r="N29" i="1"/>
  <c r="M29" i="1"/>
  <c r="A29" i="1"/>
  <c r="V28" i="1"/>
  <c r="T28" i="1"/>
  <c r="S28" i="1"/>
  <c r="R28" i="1"/>
  <c r="N28" i="1"/>
  <c r="M28" i="1"/>
  <c r="A28" i="1"/>
  <c r="V27" i="1"/>
  <c r="T27" i="1"/>
  <c r="S27" i="1"/>
  <c r="R27" i="1"/>
  <c r="N27" i="1"/>
  <c r="M27" i="1"/>
  <c r="A27" i="1"/>
  <c r="V26" i="1"/>
  <c r="T26" i="1"/>
  <c r="S26" i="1"/>
  <c r="R26" i="1"/>
  <c r="N26" i="1"/>
  <c r="M26" i="1"/>
  <c r="A26" i="1"/>
  <c r="V25" i="1"/>
  <c r="T25" i="1"/>
  <c r="S25" i="1"/>
  <c r="R25" i="1"/>
  <c r="N25" i="1"/>
  <c r="M25" i="1"/>
  <c r="A25" i="1"/>
  <c r="V24" i="1"/>
  <c r="T24" i="1"/>
  <c r="S24" i="1"/>
  <c r="R24" i="1"/>
  <c r="N24" i="1"/>
  <c r="M24" i="1"/>
  <c r="A24" i="1"/>
  <c r="V23" i="1"/>
  <c r="T23" i="1"/>
  <c r="S23" i="1"/>
  <c r="R23" i="1"/>
  <c r="N23" i="1"/>
  <c r="M23" i="1"/>
  <c r="A23" i="1"/>
  <c r="V22" i="1"/>
  <c r="T22" i="1"/>
  <c r="S22" i="1"/>
  <c r="R22" i="1"/>
  <c r="N22" i="1"/>
  <c r="M22" i="1"/>
  <c r="A22" i="1"/>
  <c r="V21" i="1"/>
  <c r="T21" i="1"/>
  <c r="S21" i="1"/>
  <c r="R21" i="1"/>
  <c r="N21" i="1"/>
  <c r="M21" i="1"/>
  <c r="A21" i="1"/>
  <c r="V20" i="1"/>
  <c r="T20" i="1"/>
  <c r="S20" i="1"/>
  <c r="R20" i="1"/>
  <c r="N20" i="1"/>
  <c r="M20" i="1"/>
  <c r="A20" i="1"/>
  <c r="V19" i="1"/>
  <c r="T19" i="1"/>
  <c r="S19" i="1"/>
  <c r="R19" i="1"/>
  <c r="N19" i="1"/>
  <c r="M19" i="1"/>
  <c r="A19" i="1"/>
  <c r="V18" i="1"/>
  <c r="T18" i="1"/>
  <c r="S18" i="1"/>
  <c r="R18" i="1"/>
  <c r="N18" i="1"/>
  <c r="M18" i="1"/>
  <c r="A18" i="1"/>
  <c r="V17" i="1"/>
  <c r="T17" i="1"/>
  <c r="S17" i="1"/>
  <c r="R17" i="1"/>
  <c r="N17" i="1"/>
  <c r="M17" i="1"/>
  <c r="A17" i="1"/>
  <c r="V16" i="1"/>
  <c r="T16" i="1"/>
  <c r="S16" i="1"/>
  <c r="R16" i="1"/>
  <c r="N16" i="1"/>
  <c r="M16" i="1"/>
  <c r="A16" i="1"/>
  <c r="V15" i="1"/>
  <c r="T15" i="1"/>
  <c r="S15" i="1"/>
  <c r="R15" i="1"/>
  <c r="N15" i="1"/>
  <c r="M15" i="1"/>
  <c r="A15" i="1"/>
  <c r="V14" i="1"/>
  <c r="T14" i="1"/>
  <c r="S14" i="1"/>
  <c r="R14" i="1"/>
  <c r="N14" i="1"/>
  <c r="M14" i="1"/>
  <c r="A14" i="1"/>
  <c r="V13" i="1"/>
  <c r="T13" i="1"/>
  <c r="S13" i="1"/>
  <c r="R13" i="1"/>
  <c r="N13" i="1"/>
  <c r="M13" i="1"/>
  <c r="A13" i="1"/>
  <c r="V12" i="1"/>
  <c r="T12" i="1"/>
  <c r="S12" i="1"/>
  <c r="R12" i="1"/>
  <c r="N12" i="1"/>
  <c r="M12" i="1"/>
  <c r="A12" i="1"/>
  <c r="V11" i="1"/>
  <c r="T11" i="1"/>
  <c r="S11" i="1"/>
  <c r="R11" i="1"/>
  <c r="N11" i="1"/>
  <c r="M11" i="1"/>
  <c r="A11" i="1"/>
  <c r="V10" i="1"/>
  <c r="T10" i="1"/>
  <c r="S10" i="1"/>
  <c r="R10" i="1"/>
  <c r="N10" i="1"/>
  <c r="M10" i="1"/>
  <c r="A10" i="1"/>
  <c r="V9" i="1"/>
  <c r="T9" i="1"/>
  <c r="R9" i="1"/>
  <c r="N9" i="1"/>
  <c r="M9" i="1"/>
  <c r="A9" i="1"/>
  <c r="V8" i="1"/>
  <c r="T8" i="1"/>
  <c r="R8" i="1"/>
  <c r="N8" i="1"/>
  <c r="M8" i="1"/>
  <c r="A8" i="1"/>
  <c r="V7" i="1"/>
  <c r="T7" i="1"/>
  <c r="R7" i="1"/>
  <c r="N7" i="1"/>
  <c r="M7" i="1"/>
  <c r="A7" i="1"/>
  <c r="V6" i="1"/>
  <c r="T6" i="1"/>
  <c r="R6" i="1"/>
  <c r="N6" i="1"/>
  <c r="M6" i="1"/>
  <c r="A6" i="1"/>
  <c r="V5" i="1"/>
  <c r="T5" i="1"/>
  <c r="R5" i="1"/>
  <c r="N5" i="1"/>
  <c r="M5" i="1"/>
  <c r="A5" i="1"/>
  <c r="V4" i="1"/>
  <c r="T4" i="1"/>
  <c r="R4" i="1"/>
  <c r="N4" i="1"/>
  <c r="M4" i="1"/>
  <c r="A4" i="1"/>
  <c r="M3" i="1"/>
  <c r="A3" i="1"/>
  <c r="A2" i="1"/>
  <c r="I27" i="9" l="1"/>
  <c r="R477" i="2"/>
  <c r="R339" i="2"/>
  <c r="R465" i="2"/>
  <c r="R489" i="2"/>
  <c r="O87" i="2"/>
  <c r="R378" i="2"/>
  <c r="R435" i="2"/>
  <c r="R154" i="2"/>
  <c r="R133" i="2"/>
  <c r="O291" i="2"/>
  <c r="O237" i="2"/>
  <c r="O323" i="2"/>
  <c r="R42" i="2"/>
  <c r="R51" i="2"/>
  <c r="R411" i="2"/>
  <c r="R49" i="2"/>
  <c r="R409" i="2"/>
  <c r="R9" i="2"/>
  <c r="S9" i="2" s="1"/>
  <c r="R45" i="2"/>
  <c r="O169" i="2"/>
  <c r="R300" i="2"/>
  <c r="O305" i="2"/>
  <c r="O165" i="2"/>
  <c r="O288" i="2"/>
  <c r="R27" i="2"/>
  <c r="O297" i="2"/>
  <c r="R303" i="2"/>
  <c r="R356" i="2"/>
  <c r="R424" i="2"/>
  <c r="O497" i="2"/>
  <c r="R99" i="2"/>
  <c r="R301" i="2"/>
  <c r="R338" i="2"/>
  <c r="R342" i="2"/>
  <c r="R422" i="2"/>
  <c r="R267" i="2"/>
  <c r="O327" i="2"/>
  <c r="R336" i="2"/>
  <c r="R340" i="2"/>
  <c r="O441" i="2"/>
  <c r="R483" i="2"/>
  <c r="R44" i="2"/>
  <c r="R48" i="2"/>
  <c r="O213" i="2"/>
  <c r="R265" i="2"/>
  <c r="O293" i="2"/>
  <c r="O325" i="2"/>
  <c r="R380" i="2"/>
  <c r="O432" i="2"/>
  <c r="R481" i="2"/>
  <c r="O287" i="2"/>
  <c r="O143" i="2"/>
  <c r="O167" i="2"/>
  <c r="O375" i="2"/>
  <c r="O289" i="2"/>
  <c r="O47" i="2"/>
  <c r="O89" i="2"/>
  <c r="R98" i="2"/>
  <c r="O141" i="2"/>
  <c r="O171" i="2"/>
  <c r="R180" i="2"/>
  <c r="R421" i="2"/>
  <c r="O21" i="2"/>
  <c r="O34" i="2"/>
  <c r="R73" i="2"/>
  <c r="R75" i="2"/>
  <c r="R93" i="2"/>
  <c r="O109" i="2"/>
  <c r="O145" i="2"/>
  <c r="O147" i="2"/>
  <c r="R182" i="2"/>
  <c r="O189" i="2"/>
  <c r="O191" i="2"/>
  <c r="O249" i="2"/>
  <c r="O251" i="2"/>
  <c r="R255" i="2"/>
  <c r="O347" i="2"/>
  <c r="O382" i="2"/>
  <c r="R390" i="2"/>
  <c r="O395" i="2"/>
  <c r="O397" i="2"/>
  <c r="O420" i="2"/>
  <c r="R38" i="2"/>
  <c r="R193" i="2"/>
  <c r="R219" i="2"/>
  <c r="R253" i="2"/>
  <c r="O269" i="2"/>
  <c r="O271" i="2"/>
  <c r="O273" i="2"/>
  <c r="O275" i="2"/>
  <c r="O384" i="2"/>
  <c r="R388" i="2"/>
  <c r="R428" i="2"/>
  <c r="O479" i="2"/>
  <c r="R195" i="2"/>
  <c r="R217" i="2"/>
  <c r="R242" i="2"/>
  <c r="R349" i="2"/>
  <c r="R351" i="2"/>
  <c r="R386" i="2"/>
  <c r="R426" i="2"/>
  <c r="R457" i="2"/>
  <c r="R459" i="2"/>
  <c r="O23" i="2"/>
  <c r="O105" i="2"/>
  <c r="O168" i="2"/>
  <c r="O179" i="2"/>
  <c r="O181" i="2"/>
  <c r="O63" i="2"/>
  <c r="O456" i="2"/>
  <c r="O24" i="2"/>
  <c r="O33" i="2"/>
  <c r="O61" i="2"/>
  <c r="R72" i="2"/>
  <c r="O119" i="2"/>
  <c r="O121" i="2"/>
  <c r="O205" i="2"/>
  <c r="O207" i="2"/>
  <c r="O209" i="2"/>
  <c r="O227" i="2"/>
  <c r="R231" i="2"/>
  <c r="R302" i="2"/>
  <c r="O311" i="2"/>
  <c r="O361" i="2"/>
  <c r="O363" i="2"/>
  <c r="O429" i="2"/>
  <c r="R433" i="2"/>
  <c r="O25" i="2"/>
  <c r="O111" i="2"/>
  <c r="O120" i="2"/>
  <c r="O312" i="2"/>
  <c r="O371" i="2"/>
  <c r="O399" i="2"/>
  <c r="R80" i="2"/>
  <c r="R156" i="2"/>
  <c r="O37" i="2"/>
  <c r="R70" i="2"/>
  <c r="O81" i="2"/>
  <c r="O117" i="2"/>
  <c r="R123" i="2"/>
  <c r="R177" i="2"/>
  <c r="O203" i="2"/>
  <c r="R229" i="2"/>
  <c r="O309" i="2"/>
  <c r="R315" i="2"/>
  <c r="O359" i="2"/>
  <c r="R374" i="2"/>
  <c r="O396" i="2"/>
  <c r="R15" i="2"/>
  <c r="S15" i="2" s="1"/>
  <c r="R39" i="2"/>
  <c r="O173" i="2"/>
  <c r="R194" i="2"/>
  <c r="O201" i="2"/>
  <c r="R261" i="2"/>
  <c r="O307" i="2"/>
  <c r="R313" i="2"/>
  <c r="O331" i="2"/>
  <c r="R372" i="2"/>
  <c r="O383" i="2"/>
  <c r="O445" i="2"/>
  <c r="R462" i="2"/>
  <c r="R13" i="2"/>
  <c r="S13" i="2" s="1"/>
  <c r="R188" i="2"/>
  <c r="R225" i="2"/>
  <c r="R346" i="2"/>
  <c r="R348" i="2"/>
  <c r="O443" i="2"/>
  <c r="R447" i="2"/>
  <c r="R460" i="2"/>
  <c r="O467" i="2"/>
  <c r="R471" i="2"/>
  <c r="O491" i="2"/>
  <c r="O129" i="2"/>
  <c r="O321" i="2"/>
  <c r="O85" i="2"/>
  <c r="O211" i="2"/>
  <c r="R97" i="2"/>
  <c r="R135" i="2"/>
  <c r="R186" i="2"/>
  <c r="R268" i="2"/>
  <c r="R270" i="2"/>
  <c r="R272" i="2"/>
  <c r="R274" i="2"/>
  <c r="R276" i="2"/>
  <c r="R344" i="2"/>
  <c r="R412" i="2"/>
  <c r="R469" i="2"/>
  <c r="R480" i="2"/>
  <c r="R3" i="2"/>
  <c r="S3" i="2" s="1"/>
  <c r="O71" i="2"/>
  <c r="R128" i="2"/>
  <c r="R140" i="2"/>
  <c r="O155" i="2"/>
  <c r="O157" i="2"/>
  <c r="O159" i="2"/>
  <c r="O161" i="2"/>
  <c r="R183" i="2"/>
  <c r="R208" i="2"/>
  <c r="R210" i="2"/>
  <c r="R212" i="2"/>
  <c r="O243" i="2"/>
  <c r="R277" i="2"/>
  <c r="R279" i="2"/>
  <c r="O299" i="2"/>
  <c r="R310" i="2"/>
  <c r="R320" i="2"/>
  <c r="O333" i="2"/>
  <c r="O337" i="2"/>
  <c r="O345" i="2"/>
  <c r="R352" i="2"/>
  <c r="R373" i="2"/>
  <c r="O387" i="2"/>
  <c r="O418" i="2"/>
  <c r="R423" i="2"/>
  <c r="R444" i="2"/>
  <c r="O454" i="2"/>
  <c r="R478" i="2"/>
  <c r="O493" i="2"/>
  <c r="O495" i="2"/>
  <c r="R40" i="2"/>
  <c r="O57" i="2"/>
  <c r="O65" i="2"/>
  <c r="O67" i="2"/>
  <c r="O69" i="2"/>
  <c r="O130" i="2"/>
  <c r="R26" i="2"/>
  <c r="R112" i="2"/>
  <c r="R114" i="2"/>
  <c r="R126" i="2"/>
  <c r="R138" i="2"/>
  <c r="R214" i="2"/>
  <c r="R446" i="2"/>
  <c r="R482" i="2"/>
  <c r="R10" i="2"/>
  <c r="S10" i="2" s="1"/>
  <c r="R12" i="2"/>
  <c r="S12" i="2" s="1"/>
  <c r="O35" i="2"/>
  <c r="R124" i="2"/>
  <c r="R136" i="2"/>
  <c r="R153" i="2"/>
  <c r="O178" i="2"/>
  <c r="R216" i="2"/>
  <c r="R241" i="2"/>
  <c r="R264" i="2"/>
  <c r="R316" i="2"/>
  <c r="O357" i="2"/>
  <c r="R385" i="2"/>
  <c r="R408" i="2"/>
  <c r="R416" i="2"/>
  <c r="R448" i="2"/>
  <c r="R450" i="2"/>
  <c r="R452" i="2"/>
  <c r="O466" i="2"/>
  <c r="R501" i="2"/>
  <c r="R106" i="2"/>
  <c r="R122" i="2"/>
  <c r="R318" i="2"/>
  <c r="R96" i="2"/>
  <c r="R266" i="2"/>
  <c r="R410" i="2"/>
  <c r="R414" i="2"/>
  <c r="R464" i="2"/>
  <c r="O82" i="2"/>
  <c r="O107" i="2"/>
  <c r="O215" i="2"/>
  <c r="O285" i="2"/>
  <c r="O11" i="2"/>
  <c r="R11" i="2" s="1"/>
  <c r="S11" i="2" s="1"/>
  <c r="O17" i="2"/>
  <c r="O131" i="2"/>
  <c r="R184" i="2"/>
  <c r="O259" i="2"/>
  <c r="O405" i="2"/>
  <c r="O417" i="2"/>
  <c r="O449" i="2"/>
  <c r="O451" i="2"/>
  <c r="O453" i="2"/>
  <c r="O19" i="2"/>
  <c r="O113" i="2"/>
  <c r="O115" i="2"/>
  <c r="O263" i="2"/>
  <c r="O407" i="2"/>
  <c r="R64" i="2"/>
  <c r="R66" i="2"/>
  <c r="R68" i="2"/>
  <c r="O95" i="2"/>
  <c r="R238" i="2"/>
  <c r="R240" i="2"/>
  <c r="O257" i="2"/>
  <c r="O360" i="2"/>
  <c r="R376" i="2"/>
  <c r="R392" i="2"/>
  <c r="O419" i="2"/>
  <c r="O431" i="2"/>
  <c r="O437" i="2"/>
  <c r="O455" i="2"/>
  <c r="R500" i="2"/>
  <c r="O226" i="2"/>
  <c r="O324" i="2"/>
  <c r="O369" i="2"/>
  <c r="O381" i="2"/>
  <c r="R50" i="2"/>
  <c r="O59" i="2"/>
  <c r="O83" i="2"/>
  <c r="O163" i="2"/>
  <c r="O239" i="2"/>
  <c r="R304" i="2"/>
  <c r="R306" i="2"/>
  <c r="R308" i="2"/>
  <c r="O335" i="2"/>
  <c r="R350" i="2"/>
  <c r="R354" i="2"/>
  <c r="O393" i="2"/>
  <c r="O499" i="2"/>
  <c r="R185" i="2"/>
  <c r="O185" i="2"/>
  <c r="O6" i="2"/>
  <c r="R6" i="2" s="1"/>
  <c r="S6" i="2" s="1"/>
  <c r="R22" i="2"/>
  <c r="O22" i="2"/>
  <c r="O56" i="2"/>
  <c r="R56" i="2"/>
  <c r="R58" i="2"/>
  <c r="O58" i="2"/>
  <c r="O104" i="2"/>
  <c r="R104" i="2"/>
  <c r="O233" i="2"/>
  <c r="O365" i="2"/>
  <c r="O377" i="2"/>
  <c r="O379" i="2"/>
  <c r="O403" i="2"/>
  <c r="O46" i="2"/>
  <c r="R108" i="2"/>
  <c r="O108" i="2"/>
  <c r="O110" i="2"/>
  <c r="R110" i="2"/>
  <c r="O116" i="2"/>
  <c r="R116" i="2"/>
  <c r="O260" i="2"/>
  <c r="R260" i="2"/>
  <c r="O401" i="2"/>
  <c r="O413" i="2"/>
  <c r="O415" i="2"/>
  <c r="O439" i="2"/>
  <c r="R458" i="2"/>
  <c r="O8" i="2"/>
  <c r="R8" i="2" s="1"/>
  <c r="S8" i="2" s="1"/>
  <c r="O341" i="2"/>
  <c r="O367" i="2"/>
  <c r="R18" i="2"/>
  <c r="R20" i="2"/>
  <c r="O54" i="2"/>
  <c r="R54" i="2"/>
  <c r="O102" i="2"/>
  <c r="R102" i="2"/>
  <c r="O248" i="2"/>
  <c r="R248" i="2"/>
  <c r="O258" i="2"/>
  <c r="R258" i="2"/>
  <c r="R475" i="2"/>
  <c r="O475" i="2"/>
  <c r="R252" i="2"/>
  <c r="O252" i="2"/>
  <c r="O52" i="2"/>
  <c r="R52" i="2"/>
  <c r="O100" i="2"/>
  <c r="R100" i="2"/>
  <c r="R166" i="2"/>
  <c r="O166" i="2"/>
  <c r="O170" i="2"/>
  <c r="R170" i="2"/>
  <c r="R286" i="2"/>
  <c r="O286" i="2"/>
  <c r="O498" i="2"/>
  <c r="R498" i="2"/>
  <c r="R74" i="2"/>
  <c r="R78" i="2"/>
  <c r="R94" i="2"/>
  <c r="O326" i="2"/>
  <c r="R326" i="2"/>
  <c r="O488" i="2"/>
  <c r="R488" i="2"/>
  <c r="O494" i="2"/>
  <c r="R494" i="2"/>
  <c r="R496" i="2"/>
  <c r="O496" i="2"/>
  <c r="O31" i="2"/>
  <c r="R43" i="2"/>
  <c r="O43" i="2"/>
  <c r="R76" i="2"/>
  <c r="R84" i="2"/>
  <c r="R144" i="2"/>
  <c r="O144" i="2"/>
  <c r="R160" i="2"/>
  <c r="R162" i="2"/>
  <c r="R164" i="2"/>
  <c r="O228" i="2"/>
  <c r="O244" i="2"/>
  <c r="R244" i="2"/>
  <c r="R250" i="2"/>
  <c r="O362" i="2"/>
  <c r="R362" i="2"/>
  <c r="O5" i="2"/>
  <c r="R5" i="2" s="1"/>
  <c r="S5" i="2" s="1"/>
  <c r="O29" i="2"/>
  <c r="R41" i="2"/>
  <c r="O41" i="2"/>
  <c r="O142" i="2"/>
  <c r="R190" i="2"/>
  <c r="O196" i="2"/>
  <c r="R196" i="2"/>
  <c r="R224" i="2"/>
  <c r="R284" i="2"/>
  <c r="O398" i="2"/>
  <c r="R398" i="2"/>
  <c r="O486" i="2"/>
  <c r="R486" i="2"/>
  <c r="O158" i="2"/>
  <c r="R158" i="2"/>
  <c r="O200" i="2"/>
  <c r="R200" i="2"/>
  <c r="O254" i="2"/>
  <c r="R254" i="2"/>
  <c r="O246" i="2"/>
  <c r="R246" i="2"/>
  <c r="O290" i="2"/>
  <c r="R290" i="2"/>
  <c r="O192" i="2"/>
  <c r="O198" i="2"/>
  <c r="R198" i="2"/>
  <c r="R79" i="2"/>
  <c r="O79" i="2"/>
  <c r="R132" i="2"/>
  <c r="R218" i="2"/>
  <c r="R222" i="2"/>
  <c r="R278" i="2"/>
  <c r="R282" i="2"/>
  <c r="O434" i="2"/>
  <c r="R434" i="2"/>
  <c r="R490" i="2"/>
  <c r="O14" i="2"/>
  <c r="R14" i="2" s="1"/>
  <c r="S14" i="2" s="1"/>
  <c r="O62" i="2"/>
  <c r="R62" i="2"/>
  <c r="R149" i="2"/>
  <c r="O149" i="2"/>
  <c r="O235" i="2"/>
  <c r="O329" i="2"/>
  <c r="O343" i="2"/>
  <c r="O468" i="2"/>
  <c r="O4" i="2"/>
  <c r="R4" i="2" s="1"/>
  <c r="S4" i="2" s="1"/>
  <c r="R16" i="2"/>
  <c r="S16" i="2" s="1"/>
  <c r="R36" i="2"/>
  <c r="B8" i="5"/>
  <c r="R202" i="2"/>
  <c r="O202" i="2"/>
  <c r="O256" i="2"/>
  <c r="R256" i="2"/>
  <c r="R473" i="2"/>
  <c r="O473" i="2"/>
  <c r="O7" i="2"/>
  <c r="R7" i="2" s="1"/>
  <c r="S7" i="2" s="1"/>
  <c r="R77" i="2"/>
  <c r="O77" i="2"/>
  <c r="O91" i="2"/>
  <c r="O125" i="2"/>
  <c r="O127" i="2"/>
  <c r="R134" i="2"/>
  <c r="R151" i="2"/>
  <c r="O151" i="2"/>
  <c r="O175" i="2"/>
  <c r="R187" i="2"/>
  <c r="O187" i="2"/>
  <c r="R220" i="2"/>
  <c r="R280" i="2"/>
  <c r="O295" i="2"/>
  <c r="R314" i="2"/>
  <c r="O484" i="2"/>
  <c r="R484" i="2"/>
  <c r="O322" i="2"/>
  <c r="O358" i="2"/>
  <c r="O394" i="2"/>
  <c r="O430" i="2"/>
  <c r="O492" i="2"/>
  <c r="B7" i="5"/>
  <c r="O60" i="2"/>
  <c r="O101" i="2"/>
  <c r="O103" i="2"/>
  <c r="O118" i="2"/>
  <c r="O204" i="2"/>
  <c r="O245" i="2"/>
  <c r="O247" i="2"/>
  <c r="O262" i="2"/>
  <c r="O298" i="2"/>
  <c r="O334" i="2"/>
  <c r="O370" i="2"/>
  <c r="O406" i="2"/>
  <c r="O442" i="2"/>
  <c r="O485" i="2"/>
  <c r="O487" i="2"/>
  <c r="R28" i="2"/>
  <c r="R30" i="2"/>
  <c r="R86" i="2"/>
  <c r="R172" i="2"/>
  <c r="R174" i="2"/>
  <c r="R176" i="2"/>
  <c r="O221" i="2"/>
  <c r="O223" i="2"/>
  <c r="R230" i="2"/>
  <c r="O281" i="2"/>
  <c r="O283" i="2"/>
  <c r="R292" i="2"/>
  <c r="R294" i="2"/>
  <c r="R296" i="2"/>
  <c r="O317" i="2"/>
  <c r="O319" i="2"/>
  <c r="R328" i="2"/>
  <c r="R330" i="2"/>
  <c r="R332" i="2"/>
  <c r="O353" i="2"/>
  <c r="O355" i="2"/>
  <c r="R364" i="2"/>
  <c r="R366" i="2"/>
  <c r="R368" i="2"/>
  <c r="O389" i="2"/>
  <c r="O391" i="2"/>
  <c r="R400" i="2"/>
  <c r="R402" i="2"/>
  <c r="R404" i="2"/>
  <c r="O425" i="2"/>
  <c r="O427" i="2"/>
  <c r="R436" i="2"/>
  <c r="R438" i="2"/>
  <c r="R440" i="2"/>
  <c r="O461" i="2"/>
  <c r="O463" i="2"/>
  <c r="R470" i="2"/>
  <c r="R2" i="2"/>
  <c r="S2" i="2" s="1"/>
  <c r="R88" i="2"/>
  <c r="R90" i="2"/>
  <c r="R92" i="2"/>
  <c r="O137" i="2"/>
  <c r="O139" i="2"/>
  <c r="R146" i="2"/>
  <c r="R232" i="2"/>
  <c r="R234" i="2"/>
  <c r="R236" i="2"/>
  <c r="R472" i="2"/>
  <c r="R474" i="2"/>
  <c r="R476" i="2"/>
  <c r="R32" i="2"/>
  <c r="O53" i="2"/>
  <c r="O55" i="2"/>
  <c r="R148" i="2"/>
  <c r="R150" i="2"/>
  <c r="R152" i="2"/>
  <c r="O197" i="2"/>
  <c r="O199" i="2"/>
  <c r="R206" i="2"/>
  <c r="R3" i="1" l="1"/>
  <c r="T3" i="1" s="1"/>
  <c r="V3" i="1" s="1"/>
  <c r="T2" i="1"/>
  <c r="V2" i="1" l="1"/>
  <c r="E4" i="5" s="1"/>
  <c r="B13" i="5"/>
  <c r="B10" i="5" l="1"/>
  <c r="B11" i="5"/>
  <c r="E7" i="5"/>
  <c r="B12" i="5"/>
  <c r="E6" i="5"/>
  <c r="B9" i="5"/>
  <c r="E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20" authorId="0" shapeId="0" xr:uid="{FC29753D-872D-4D20-AEA8-946B44534CC5}">
      <text>
        <r>
          <rPr>
            <b/>
            <sz val="9"/>
            <color indexed="81"/>
            <rFont val="Tahoma"/>
            <family val="2"/>
          </rPr>
          <t>User:</t>
        </r>
        <r>
          <rPr>
            <sz val="9"/>
            <color indexed="81"/>
            <rFont val="Tahoma"/>
            <family val="2"/>
          </rPr>
          <t xml:space="preserve">
voir delai de route aller/retour dans DISTANCES_DISTRICT</t>
        </r>
      </text>
    </comment>
    <comment ref="F20" authorId="0" shapeId="0" xr:uid="{30980E23-75A1-4F9C-8B5A-43A4DE0492C0}">
      <text>
        <r>
          <rPr>
            <b/>
            <sz val="9"/>
            <color indexed="81"/>
            <rFont val="Tahoma"/>
          </rPr>
          <t>User:</t>
        </r>
        <r>
          <rPr>
            <sz val="9"/>
            <color indexed="81"/>
            <rFont val="Tahoma"/>
          </rPr>
          <t xml:space="preserve">
taux reference tarifs: 
</t>
        </r>
        <r>
          <rPr>
            <b/>
            <sz val="9"/>
            <color indexed="81"/>
            <rFont val="Tahoma"/>
            <family val="2"/>
          </rPr>
          <t>si oui chef lieu de region</t>
        </r>
        <r>
          <rPr>
            <sz val="9"/>
            <color indexed="81"/>
            <rFont val="Tahoma"/>
          </rPr>
          <t xml:space="preserve"> dans distances_districts: 200 000ar 
</t>
        </r>
        <r>
          <rPr>
            <b/>
            <sz val="9"/>
            <color indexed="81"/>
            <rFont val="Tahoma"/>
            <family val="2"/>
          </rPr>
          <t>si non : dans d'autres districts</t>
        </r>
        <r>
          <rPr>
            <sz val="9"/>
            <color indexed="81"/>
            <rFont val="Tahoma"/>
          </rPr>
          <t>: 150 000 ar</t>
        </r>
      </text>
    </comment>
    <comment ref="F21" authorId="0" shapeId="0" xr:uid="{4CCB8B12-AAAA-412F-AD4F-4A842967770D}">
      <text>
        <r>
          <rPr>
            <b/>
            <sz val="9"/>
            <color indexed="81"/>
            <rFont val="Tahoma"/>
          </rPr>
          <t>User:</t>
        </r>
        <r>
          <rPr>
            <sz val="9"/>
            <color indexed="81"/>
            <rFont val="Tahoma"/>
          </rPr>
          <t xml:space="preserve">
TAUX INDEMNITé: 20</t>
        </r>
      </text>
    </comment>
    <comment ref="F22" authorId="0" shapeId="0" xr:uid="{A43EA1BC-8EDC-41D1-BBF6-97948ED9CD7C}">
      <text>
        <r>
          <rPr>
            <b/>
            <sz val="9"/>
            <color indexed="81"/>
            <rFont val="Tahoma"/>
          </rPr>
          <t>User:</t>
        </r>
        <r>
          <rPr>
            <sz val="9"/>
            <color indexed="81"/>
            <rFont val="Tahoma"/>
          </rPr>
          <t xml:space="preserve">
TAUX INDEMNITé: 20</t>
        </r>
      </text>
    </comment>
    <comment ref="E23" authorId="0" shapeId="0" xr:uid="{256597CF-EB23-4359-A214-C6E927A1880B}">
      <text>
        <r>
          <rPr>
            <b/>
            <sz val="9"/>
            <color indexed="81"/>
            <rFont val="Tahoma"/>
          </rPr>
          <t>User:</t>
        </r>
        <r>
          <rPr>
            <sz val="9"/>
            <color indexed="81"/>
            <rFont val="Tahoma"/>
          </rPr>
          <t xml:space="preserve">
Nombre de jour=delai de route+</t>
        </r>
        <r>
          <rPr>
            <b/>
            <sz val="9"/>
            <color indexed="81"/>
            <rFont val="Tahoma"/>
            <family val="2"/>
          </rPr>
          <t>pendant atelier(Nombre de jour d'activité)</t>
        </r>
        <r>
          <rPr>
            <sz val="9"/>
            <color indexed="81"/>
            <rFont val="Tahoma"/>
          </rPr>
          <t xml:space="preserve">
Voir Delai de route aller/retour dans DISTANCES_DISTRICTS</t>
        </r>
      </text>
    </comment>
    <comment ref="F32" authorId="0" shapeId="0" xr:uid="{3DF7F8B8-CB5F-45BB-A70D-B65BD1BA8B9C}">
      <text>
        <r>
          <rPr>
            <b/>
            <sz val="9"/>
            <color indexed="81"/>
            <rFont val="Tahoma"/>
            <family val="2"/>
          </rPr>
          <t>User:</t>
        </r>
        <r>
          <rPr>
            <sz val="9"/>
            <color indexed="81"/>
            <rFont val="Tahoma"/>
            <family val="2"/>
          </rPr>
          <t xml:space="preserve">
SI lieu d'activité eto TANA </t>
        </r>
      </text>
    </comment>
    <comment ref="F33" authorId="0" shapeId="0" xr:uid="{44294124-D550-4B62-B1B1-D024F101152F}">
      <text>
        <r>
          <rPr>
            <b/>
            <sz val="9"/>
            <color indexed="81"/>
            <rFont val="Tahoma"/>
            <family val="2"/>
          </rPr>
          <t>User:</t>
        </r>
        <r>
          <rPr>
            <sz val="9"/>
            <color indexed="81"/>
            <rFont val="Tahoma"/>
            <family val="2"/>
          </rPr>
          <t xml:space="preserve">
SI lieu d'activité eto CHEF LIEU DE REGION dans Distances_Districts: 30 000 ar</t>
        </r>
      </text>
    </comment>
    <comment ref="F34" authorId="0" shapeId="0" xr:uid="{E243595D-113B-467C-A51E-74A934E19150}">
      <text>
        <r>
          <rPr>
            <b/>
            <sz val="9"/>
            <color indexed="81"/>
            <rFont val="Tahoma"/>
            <family val="2"/>
          </rPr>
          <t>User:</t>
        </r>
        <r>
          <rPr>
            <sz val="9"/>
            <color indexed="81"/>
            <rFont val="Tahoma"/>
            <family val="2"/>
          </rPr>
          <t xml:space="preserve">
SI lieu d'activité autres districts no atao dans Distances_Districts: 30 000 ar</t>
        </r>
      </text>
    </comment>
    <comment ref="C37" authorId="0" shapeId="0" xr:uid="{727AC4AE-DB3C-49F8-90D1-0FC0F7EBE840}">
      <text>
        <r>
          <rPr>
            <b/>
            <sz val="9"/>
            <color indexed="81"/>
            <rFont val="Tahoma"/>
            <family val="2"/>
          </rPr>
          <t>User:</t>
        </r>
        <r>
          <rPr>
            <sz val="9"/>
            <color indexed="81"/>
            <rFont val="Tahoma"/>
            <family val="2"/>
          </rPr>
          <t xml:space="preserve">
voir distances  aller/retourdans distances_districts</t>
        </r>
      </text>
    </comment>
    <comment ref="D37" authorId="0" shapeId="0" xr:uid="{6FD1590A-A5BE-4593-BB88-58551040E506}">
      <text>
        <r>
          <rPr>
            <b/>
            <sz val="9"/>
            <color indexed="81"/>
            <rFont val="Tahoma"/>
            <family val="2"/>
          </rPr>
          <t>User:</t>
        </r>
        <r>
          <rPr>
            <sz val="9"/>
            <color indexed="81"/>
            <rFont val="Tahoma"/>
            <family val="2"/>
          </rPr>
          <t xml:space="preserve">
voir type de vehicule dans PARAMETRES: 
si 4*4: conso=0,15;
si plus de 16 places: conso=0,17;
si camion: conso= 0,25</t>
        </r>
      </text>
    </comment>
    <comment ref="E40" authorId="0" shapeId="0" xr:uid="{6591ED95-03A0-4DE2-A500-DC6EF7D61A18}">
      <text>
        <r>
          <rPr>
            <b/>
            <sz val="9"/>
            <color indexed="81"/>
            <rFont val="Tahoma"/>
            <family val="2"/>
          </rPr>
          <t>User:</t>
        </r>
        <r>
          <rPr>
            <sz val="9"/>
            <color indexed="81"/>
            <rFont val="Tahoma"/>
            <family val="2"/>
          </rPr>
          <t xml:space="preserve">
NOMBRE DE JOUR D'ACTIVITE</t>
        </r>
      </text>
    </comment>
    <comment ref="E44" authorId="0" shapeId="0" xr:uid="{16F1FA70-E4D1-4C46-BE69-7A80318BAA8C}">
      <text>
        <r>
          <rPr>
            <b/>
            <sz val="9"/>
            <color indexed="81"/>
            <rFont val="Tahoma"/>
            <family val="2"/>
          </rPr>
          <t>User:</t>
        </r>
        <r>
          <rPr>
            <sz val="9"/>
            <color indexed="81"/>
            <rFont val="Tahoma"/>
            <family val="2"/>
          </rPr>
          <t xml:space="preserve">
NOMBRE DE JOUR D'ACTIVITE</t>
        </r>
      </text>
    </comment>
    <comment ref="C45" authorId="0" shapeId="0" xr:uid="{A6E9E72E-F465-43B6-8BBA-534F11D60F4B}">
      <text>
        <r>
          <rPr>
            <b/>
            <sz val="9"/>
            <color indexed="81"/>
            <rFont val="Tahoma"/>
            <family val="2"/>
          </rPr>
          <t>User:</t>
        </r>
        <r>
          <rPr>
            <sz val="9"/>
            <color indexed="81"/>
            <rFont val="Tahoma"/>
            <family val="2"/>
          </rPr>
          <t xml:space="preserve">
si matin et soir: 2</t>
        </r>
      </text>
    </comment>
    <comment ref="E45" authorId="0" shapeId="0" xr:uid="{DE009837-ECBB-41A6-9C37-9E99B7C48C06}">
      <text>
        <r>
          <rPr>
            <b/>
            <sz val="9"/>
            <color indexed="81"/>
            <rFont val="Tahoma"/>
            <family val="2"/>
          </rPr>
          <t>User:</t>
        </r>
        <r>
          <rPr>
            <sz val="9"/>
            <color indexed="81"/>
            <rFont val="Tahoma"/>
            <family val="2"/>
          </rPr>
          <t xml:space="preserve">
NOMBRE DE JOUR D'ACTIVITE</t>
        </r>
      </text>
    </comment>
    <comment ref="E46" authorId="0" shapeId="0" xr:uid="{F4D47ECE-03C9-426E-839C-45BF107F787B}">
      <text>
        <r>
          <rPr>
            <b/>
            <sz val="9"/>
            <color indexed="81"/>
            <rFont val="Tahoma"/>
            <family val="2"/>
          </rPr>
          <t>User:</t>
        </r>
        <r>
          <rPr>
            <sz val="9"/>
            <color indexed="81"/>
            <rFont val="Tahoma"/>
            <family val="2"/>
          </rPr>
          <t xml:space="preserve">
NOMBRE DE JOUR D'ACTIVITE</t>
        </r>
      </text>
    </comment>
    <comment ref="E47" authorId="0" shapeId="0" xr:uid="{E2CEAE8C-7574-403B-8EAD-160CA5C17EF1}">
      <text>
        <r>
          <rPr>
            <b/>
            <sz val="9"/>
            <color indexed="81"/>
            <rFont val="Tahoma"/>
            <family val="2"/>
          </rPr>
          <t>User:</t>
        </r>
        <r>
          <rPr>
            <sz val="9"/>
            <color indexed="81"/>
            <rFont val="Tahoma"/>
            <family val="2"/>
          </rPr>
          <t xml:space="preserve">
NOMBRE DE JOUR D'ACTIVITE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Maminirina Rakotoarisoa</author>
    <author>Administrator</author>
  </authors>
  <commentList>
    <comment ref="E5" authorId="0" shapeId="0" xr:uid="{B517D7A1-AB07-4302-A096-BB84C3CE633E}">
      <text>
        <r>
          <rPr>
            <b/>
            <sz val="9"/>
            <color indexed="81"/>
            <rFont val="Tahoma"/>
            <family val="2"/>
          </rPr>
          <t>Maminirina Rakotoarisoa:</t>
        </r>
        <r>
          <rPr>
            <sz val="9"/>
            <color indexed="81"/>
            <rFont val="Tahoma"/>
            <family val="2"/>
          </rPr>
          <t xml:space="preserve">
Rendre la description aussi claire que possible: Identification fournisseur/prestataire, Num facture, description bien/service, avance/solde…
</t>
        </r>
      </text>
    </comment>
    <comment ref="I5" authorId="0" shapeId="0" xr:uid="{61CEF2BC-9FBC-4581-8689-F47BCA1527DC}">
      <text>
        <r>
          <rPr>
            <b/>
            <sz val="9"/>
            <color indexed="81"/>
            <rFont val="Tahoma"/>
            <family val="2"/>
          </rPr>
          <t>Maminirina Rakotoarisoa:</t>
        </r>
        <r>
          <rPr>
            <sz val="9"/>
            <color indexed="81"/>
            <rFont val="Tahoma"/>
            <family val="2"/>
          </rPr>
          <t xml:space="preserve">
Source du fonds</t>
        </r>
      </text>
    </comment>
    <comment ref="J5" authorId="0" shapeId="0" xr:uid="{EE96BCDF-DF3C-494E-A768-778C972D5A9D}">
      <text>
        <r>
          <rPr>
            <b/>
            <sz val="9"/>
            <color indexed="81"/>
            <rFont val="Tahoma"/>
            <family val="2"/>
          </rPr>
          <t>Maminirina Rakotoarisoa:</t>
        </r>
        <r>
          <rPr>
            <sz val="9"/>
            <color indexed="81"/>
            <rFont val="Tahoma"/>
            <family val="2"/>
          </rPr>
          <t xml:space="preserve">
Beneficiaire du paiement
</t>
        </r>
      </text>
    </comment>
    <comment ref="H98" authorId="1" shapeId="0" xr:uid="{08E43583-BD60-4D5F-8214-F5734D94AC14}">
      <text>
        <r>
          <rPr>
            <b/>
            <sz val="9"/>
            <color indexed="81"/>
            <rFont val="Tahoma"/>
            <family val="2"/>
          </rPr>
          <t>Bodo:</t>
        </r>
        <r>
          <rPr>
            <sz val="9"/>
            <color indexed="81"/>
            <rFont val="Tahoma"/>
            <family val="2"/>
          </rPr>
          <t xml:space="preserve">
A VERIFIER</t>
        </r>
      </text>
    </comment>
  </commentList>
</comments>
</file>

<file path=xl/sharedStrings.xml><?xml version="1.0" encoding="utf-8"?>
<sst xmlns="http://schemas.openxmlformats.org/spreadsheetml/2006/main" count="1739" uniqueCount="610">
  <si>
    <t>N°</t>
  </si>
  <si>
    <t>Code activité</t>
  </si>
  <si>
    <t>Activité</t>
  </si>
  <si>
    <t>Date début activité</t>
  </si>
  <si>
    <t>Date fin activité</t>
  </si>
  <si>
    <t>Date PJ</t>
  </si>
  <si>
    <t>Ligne budgétaire</t>
  </si>
  <si>
    <t>Bénéficiaire / Fournisseur</t>
  </si>
  <si>
    <t>Type de PJ</t>
  </si>
  <si>
    <t>Montant alloué (Ar)</t>
  </si>
  <si>
    <t>Montant payé (Ar)</t>
  </si>
  <si>
    <t>Montant PJ (Ar)</t>
  </si>
  <si>
    <t>Écart Budget (Ar)</t>
  </si>
  <si>
    <t>Écart PJ (Ar)</t>
  </si>
  <si>
    <t>PJ reçue</t>
  </si>
  <si>
    <t>PJ conforme</t>
  </si>
  <si>
    <t>Date PJ cohérente ?</t>
  </si>
  <si>
    <t>Budget indemnités disponible (Ar)</t>
  </si>
  <si>
    <t>Contrôle présence/indemnité</t>
  </si>
  <si>
    <t>Observation</t>
  </si>
  <si>
    <t>Statut final</t>
  </si>
  <si>
    <t>Participant</t>
  </si>
  <si>
    <t>Fonction / Structure</t>
  </si>
  <si>
    <t>Date activité</t>
  </si>
  <si>
    <t>Présence</t>
  </si>
  <si>
    <t>Signature / preuve</t>
  </si>
  <si>
    <t>Taux journalier prévu (Ar)</t>
  </si>
  <si>
    <t>Indemnité théorique (Ar)</t>
  </si>
  <si>
    <t>Indemnité reçue (Ar)</t>
  </si>
  <si>
    <t>Écart indemnité (Ar)</t>
  </si>
  <si>
    <t>Date dans période ?</t>
  </si>
  <si>
    <t>Présence justifie paiement ?</t>
  </si>
  <si>
    <t>Montant conforme ?</t>
  </si>
  <si>
    <t>Résultat contrôle</t>
  </si>
  <si>
    <t>Date début prévue</t>
  </si>
  <si>
    <t>Date fin prévue</t>
  </si>
  <si>
    <t>Unité</t>
  </si>
  <si>
    <t>Quantité prévue</t>
  </si>
  <si>
    <t>Taux / Montant unitaire (Ar)</t>
  </si>
  <si>
    <t>Observations</t>
  </si>
  <si>
    <t>jour-personne</t>
  </si>
  <si>
    <t>personne</t>
  </si>
  <si>
    <t>Statut présence</t>
  </si>
  <si>
    <t>Oui</t>
  </si>
  <si>
    <t>Facture</t>
  </si>
  <si>
    <t>Présent</t>
  </si>
  <si>
    <t>Non</t>
  </si>
  <si>
    <t>Absent</t>
  </si>
  <si>
    <t>État de paiement</t>
  </si>
  <si>
    <t>Fiche de présence</t>
  </si>
  <si>
    <t>TDR</t>
  </si>
  <si>
    <t>Ordre de mission</t>
  </si>
  <si>
    <t>Autre</t>
  </si>
  <si>
    <t>TABLEAU DE BORD – CONTRÔLE PJ / PRÉSENCES / INDEMNITÉS</t>
  </si>
  <si>
    <t>Indicateur</t>
  </si>
  <si>
    <t>Résultat</t>
  </si>
  <si>
    <t>Statut</t>
  </si>
  <si>
    <t>Nombre</t>
  </si>
  <si>
    <t>Montant total alloué (Ar)</t>
  </si>
  <si>
    <t>Conforme</t>
  </si>
  <si>
    <t>Montant total payé (Ar)</t>
  </si>
  <si>
    <t>Non conforme</t>
  </si>
  <si>
    <t>Montant total PJ (Ar)</t>
  </si>
  <si>
    <t>PJ non reçue</t>
  </si>
  <si>
    <t>Écart budget total (Ar)</t>
  </si>
  <si>
    <t>Date PJ non conforme</t>
  </si>
  <si>
    <t>Écart PJ total (Ar)</t>
  </si>
  <si>
    <t>Dossiers conformes</t>
  </si>
  <si>
    <t>Dossiers non conformes</t>
  </si>
  <si>
    <t>PJ non reçues</t>
  </si>
  <si>
    <t>Dates PJ non conformes</t>
  </si>
  <si>
    <t>Anomalies présence/indemnité</t>
  </si>
  <si>
    <t>MODE D'EMPLOI</t>
  </si>
  <si>
    <t>1. Renseigner les activités et montants autorisés dans REFERENTIEL_BUDGET.</t>
  </si>
  <si>
    <t>2. Dans PRESENCES_INDEMNITES, saisir une ligne par participant et par date de présence.</t>
  </si>
  <si>
    <t>3. La date est automatiquement comparée à la période prévue de l'activité.</t>
  </si>
  <si>
    <t>4. Une indemnité n'est conforme que si le participant est présent, dispose d'une preuve/signature et reçoit le montant prévu.</t>
  </si>
  <si>
    <t>5. Dans CONTROLE_PJ, saisir les dates et montants des pièces. Le fichier vérifie les écarts et croise les indemnités avec les présences.</t>
  </si>
  <si>
    <t>6. Le statut final signale automatiquement les dates hors période, paiements sans présence, écarts de montant et dépassements budgétaires.</t>
  </si>
  <si>
    <t>VALID_PSN_25</t>
  </si>
  <si>
    <t>Atelier de validation PSN Activités T4/2025</t>
  </si>
  <si>
    <t>MATINFO_SSEAJ_25</t>
  </si>
  <si>
    <t>Achat matériels informatiques _SSEAJ Activités T4/2025</t>
  </si>
  <si>
    <t>MATINFO_CHEF_25</t>
  </si>
  <si>
    <t>Achat matériels informatiques_Chefferie Activités T4/2025</t>
  </si>
  <si>
    <t>ACHAT_ORD_26</t>
  </si>
  <si>
    <t>Achat ordinateurs – Chefferie Activités T2/2026</t>
  </si>
  <si>
    <t>ACHAT_CRD_26</t>
  </si>
  <si>
    <t>Achat crédits téléphoniques Activités T2/2026</t>
  </si>
  <si>
    <t>BACHE_GGTA_I</t>
  </si>
  <si>
    <t>Multiplication Bâche GGTA Activités T2/2026</t>
  </si>
  <si>
    <t>PSN N°1</t>
  </si>
  <si>
    <t>Atelier PSN N°01</t>
  </si>
  <si>
    <t>PLANIF_SE_26</t>
  </si>
  <si>
    <t>Atelier de planification / quantification SSEAJ</t>
  </si>
  <si>
    <t>NORMES_PROCD_26</t>
  </si>
  <si>
    <t>Multiplication document Normes et procédures en SR</t>
  </si>
  <si>
    <t>QUANT_SE_26</t>
  </si>
  <si>
    <t>Atelier de quantification SSEAJ</t>
  </si>
  <si>
    <t>PSN N°2</t>
  </si>
  <si>
    <t>Atelier PSN N°02</t>
  </si>
  <si>
    <t>MENTO_SPF_26</t>
  </si>
  <si>
    <t>Atelier d’élaboration du guide d’approche et d’accompagnement – supervision formative, coaching et mentorat</t>
  </si>
  <si>
    <t>CURRI_SMN_26</t>
  </si>
  <si>
    <t>Atelier de finalisation CURRI SMN</t>
  </si>
  <si>
    <t>Présence2</t>
  </si>
  <si>
    <t>Présence3</t>
  </si>
  <si>
    <t>Présence4</t>
  </si>
  <si>
    <t>Présence5</t>
  </si>
  <si>
    <t>oui</t>
  </si>
  <si>
    <t>camillo traiteur</t>
  </si>
  <si>
    <t>RESTAURATION / ORGANISATION</t>
  </si>
  <si>
    <t>FOURNITURES</t>
  </si>
  <si>
    <t>AUTRES</t>
  </si>
  <si>
    <t>COUVERTURE MÉDIATIQUE</t>
  </si>
  <si>
    <t>MULTIPLICATION DE DOCUMENT/VISUEL</t>
  </si>
  <si>
    <t xml:space="preserve">INDEMNITÉS DES MISSIONNAIRES </t>
  </si>
  <si>
    <t xml:space="preserve">DÉPLACEMENTS DES MISSIONNAIRES </t>
  </si>
  <si>
    <t>KJDSJID</t>
  </si>
  <si>
    <t>N CWX SDK</t>
  </si>
  <si>
    <t xml:space="preserve">CBWCB </t>
  </si>
  <si>
    <t xml:space="preserve"> CBC XBWSDD</t>
  </si>
  <si>
    <t>N?  NCBWXNBCD</t>
  </si>
  <si>
    <t xml:space="preserve">?N XCNW DNC </t>
  </si>
  <si>
    <t>DC BCHBSDV</t>
  </si>
  <si>
    <t>Missionnaires</t>
  </si>
  <si>
    <t>Nombre de jour</t>
  </si>
  <si>
    <t>Référence activité</t>
  </si>
  <si>
    <t>Description</t>
  </si>
  <si>
    <t>Code budget</t>
  </si>
  <si>
    <t>Année</t>
  </si>
  <si>
    <t>Période</t>
  </si>
  <si>
    <t>RESTAURATION / FRAIS D'ORGANISATION</t>
  </si>
  <si>
    <t>Demande de cotation</t>
  </si>
  <si>
    <t>PV de selection</t>
  </si>
  <si>
    <t>Facture Proforma</t>
  </si>
  <si>
    <t>Reçu de paiement</t>
  </si>
  <si>
    <t>Facture/Bon de livraison</t>
  </si>
  <si>
    <t>Rapport technique</t>
  </si>
  <si>
    <t>Bon de commande</t>
  </si>
  <si>
    <t>À compléter</t>
  </si>
  <si>
    <t>Montant contrôlées (Ar)</t>
  </si>
  <si>
    <t>RUBRIQUE</t>
  </si>
  <si>
    <t>LIGNE BUDGETAIRE</t>
  </si>
  <si>
    <t>Indemnité Chauffeur</t>
  </si>
  <si>
    <t>Indeminté des équipes centraux</t>
  </si>
  <si>
    <t>Indemnité equipes régionaux</t>
  </si>
  <si>
    <t>Delai de route</t>
  </si>
  <si>
    <t>Pendant activité</t>
  </si>
  <si>
    <t>INDEMNITES</t>
  </si>
  <si>
    <t>Indemnité des AC</t>
  </si>
  <si>
    <t>Déplacement forfaitaire Equipes centraux</t>
  </si>
  <si>
    <t>Déplacement forfaitaire Equipes régionaux</t>
  </si>
  <si>
    <t>Déplacement par avion</t>
  </si>
  <si>
    <t>Carburant</t>
  </si>
  <si>
    <t>Location de voiture</t>
  </si>
  <si>
    <t>Contrat</t>
  </si>
  <si>
    <t>Frais Taxi-brousse</t>
  </si>
  <si>
    <t>Frais de transfert aéroport Interieur/Exterieur</t>
  </si>
  <si>
    <t>Autre Frais(Assurance,…)</t>
  </si>
  <si>
    <t>Eau minérale GM</t>
  </si>
  <si>
    <t>Eau minérale PM</t>
  </si>
  <si>
    <t>Fontaine d'eau minérale</t>
  </si>
  <si>
    <t>Pause café</t>
  </si>
  <si>
    <t>Déjeuner</t>
  </si>
  <si>
    <t>Location de salle équipée</t>
  </si>
  <si>
    <t>Rame Papier A4</t>
  </si>
  <si>
    <t>Stylo bleu</t>
  </si>
  <si>
    <t>Flip chart</t>
  </si>
  <si>
    <t>Bloc note</t>
  </si>
  <si>
    <t>Chemise cartonnée</t>
  </si>
  <si>
    <t>Masking tape</t>
  </si>
  <si>
    <t>Post it</t>
  </si>
  <si>
    <t>Type de saisie</t>
  </si>
  <si>
    <t>Supervision</t>
  </si>
  <si>
    <t>Formation</t>
  </si>
  <si>
    <t>Acquisition</t>
  </si>
  <si>
    <t>Atelier/Réunion</t>
  </si>
  <si>
    <t>Document</t>
  </si>
  <si>
    <t>Support de communication</t>
  </si>
  <si>
    <t>Visuel</t>
  </si>
  <si>
    <t xml:space="preserve">Conception de spot </t>
  </si>
  <si>
    <t>Diffusion de spot audio</t>
  </si>
  <si>
    <t>Diffusion de spot TV</t>
  </si>
  <si>
    <t>ACHAT</t>
  </si>
  <si>
    <t>Achat de crédit de communication</t>
  </si>
  <si>
    <t>Achat de matériels informatiques</t>
  </si>
  <si>
    <t>Avec Déjeuner ou sans Déjeuner</t>
  </si>
  <si>
    <t>Type activité</t>
  </si>
  <si>
    <t>Zone</t>
  </si>
  <si>
    <t>Tarif (Ar)</t>
  </si>
  <si>
    <t>Actif</t>
  </si>
  <si>
    <t>INDEMNITÉS DES MISSIONNAIRES</t>
  </si>
  <si>
    <t>Tous</t>
  </si>
  <si>
    <t>personne/jour</t>
  </si>
  <si>
    <t>Région</t>
  </si>
  <si>
    <t>À confirmer/adapter selon référentiel DSFa</t>
  </si>
  <si>
    <t>District</t>
  </si>
  <si>
    <t>DÉPLACEMENTS DES MISSIONNAIRES</t>
  </si>
  <si>
    <t>Base reprise du fichier actuel</t>
  </si>
  <si>
    <t>FORMATION</t>
  </si>
  <si>
    <t>À confirmer</t>
  </si>
  <si>
    <t>personne/nuit</t>
  </si>
  <si>
    <t>À renseigner</t>
  </si>
  <si>
    <t>CARBURANT</t>
  </si>
  <si>
    <t>À renseigner selon barème/référentiel</t>
  </si>
  <si>
    <t>LOCATION VÉHICULE</t>
  </si>
  <si>
    <t>Mission extérieur</t>
  </si>
  <si>
    <t>Antananarivo</t>
  </si>
  <si>
    <t>Frais de transfert aéroport Interieur</t>
  </si>
  <si>
    <t>Frais de transfert aéroport Exterieur</t>
  </si>
  <si>
    <t>Frais de transfert aéroport Région/district</t>
  </si>
  <si>
    <t>ATELIER/FORMATION</t>
  </si>
  <si>
    <t>GÉNÉRATEUR AUTOMATIQUE DE BUDGET / PTA</t>
  </si>
  <si>
    <t>Date début</t>
  </si>
  <si>
    <t>Date fin</t>
  </si>
  <si>
    <t>Nombre de jours</t>
  </si>
  <si>
    <t>Nombre participants</t>
  </si>
  <si>
    <t>Nombre missionnaires</t>
  </si>
  <si>
    <t>Lieu</t>
  </si>
  <si>
    <t>Zone indemnité</t>
  </si>
  <si>
    <t>Distance aller (km)</t>
  </si>
  <si>
    <t>Restauration</t>
  </si>
  <si>
    <t>Quantité</t>
  </si>
  <si>
    <t>Montant (Ar)</t>
  </si>
  <si>
    <t>1</t>
  </si>
  <si>
    <t>TOTAL BUDGET</t>
  </si>
  <si>
    <t>Principe : renseigner seulement les champs jaunes/bleus en haut. Les lignes et montants se calculent automatiquement selon les tarifs du référentiel.</t>
  </si>
  <si>
    <t>Montant alloué</t>
  </si>
  <si>
    <t>RAPPORT FINANCIER</t>
  </si>
  <si>
    <t>Fréquence</t>
  </si>
  <si>
    <t>REGION:</t>
  </si>
  <si>
    <t>ANALAMANGA</t>
  </si>
  <si>
    <t>DISTRICT</t>
  </si>
  <si>
    <t>Dépense réalisée</t>
  </si>
  <si>
    <t>PERIODE DE LA REQUETE</t>
  </si>
  <si>
    <t>Reliquat</t>
  </si>
  <si>
    <t>DEVISE</t>
  </si>
  <si>
    <t>MGA</t>
  </si>
  <si>
    <t>Merci de remplir les lignes non hachurées, les formules dans les lignes hachurées doivent être ajustées en fonction du nombre de liges dans les rubriques budgétaires.</t>
  </si>
  <si>
    <t>Ce tableau est flexible, vous pouvez ajouter autant de lignes que nécessaires</t>
  </si>
  <si>
    <t>Rubrique</t>
  </si>
  <si>
    <t xml:space="preserve">Obsevation </t>
  </si>
  <si>
    <t>Quantité
a</t>
  </si>
  <si>
    <t>Fréquence
b</t>
  </si>
  <si>
    <t>PU
c</t>
  </si>
  <si>
    <t>Montant Total
d=axbxc</t>
  </si>
  <si>
    <t xml:space="preserve">Unité
</t>
  </si>
  <si>
    <t>BUDGET ALLOUE
A</t>
  </si>
  <si>
    <t>B-DEPENSES REALISEES</t>
  </si>
  <si>
    <t>ECART
A-B</t>
  </si>
  <si>
    <t>CODE BUDGET</t>
  </si>
  <si>
    <t>JOURNAL DE DEPENSES 2026</t>
  </si>
  <si>
    <t>Date d'enregistrement</t>
  </si>
  <si>
    <t>Date Pieces comptables</t>
  </si>
  <si>
    <t>Periode autorisee</t>
  </si>
  <si>
    <t>Fonds: caisse ou banque</t>
  </si>
  <si>
    <t>REF Decaismnt</t>
  </si>
  <si>
    <t>Ref pieces de depense</t>
  </si>
  <si>
    <t>Code Activite</t>
  </si>
  <si>
    <t>Code Budget</t>
  </si>
  <si>
    <t>Désignation</t>
  </si>
  <si>
    <t>Unite</t>
  </si>
  <si>
    <t>Nbr Jr/Mois</t>
  </si>
  <si>
    <t>P.U.</t>
  </si>
  <si>
    <t>Montant</t>
  </si>
  <si>
    <t>UNICEF</t>
  </si>
  <si>
    <t>TOTAL</t>
  </si>
  <si>
    <t>DCT N°</t>
  </si>
  <si>
    <t>Nom de l'Entite : DIRECTION DE LA SANTE FAMILIALE</t>
  </si>
  <si>
    <t>Nom de la Banque : BNI ANKORONDRANO</t>
  </si>
  <si>
    <t>Compte bancaire n° 00005 00007 26666070102 72</t>
  </si>
  <si>
    <t>Periode :</t>
  </si>
  <si>
    <t>ETAT DE RAPPROCHEMENT BANCAIRE</t>
  </si>
  <si>
    <t xml:space="preserve">JOURNAL DE BANQUE </t>
  </si>
  <si>
    <t>RELEVE BANCAIRE</t>
  </si>
  <si>
    <t>SOLDE AVANT RAPPROCHEMENT</t>
  </si>
  <si>
    <t>DATE</t>
  </si>
  <si>
    <t>REF</t>
  </si>
  <si>
    <t>LIBELLE</t>
  </si>
  <si>
    <t>DEBIT</t>
  </si>
  <si>
    <t>CREDIT</t>
  </si>
  <si>
    <t>SOLDE</t>
  </si>
  <si>
    <t>TOTAL EN CIRCULATION</t>
  </si>
  <si>
    <t>SOLDE RAPPROCHE</t>
  </si>
  <si>
    <t xml:space="preserve">ECART </t>
  </si>
  <si>
    <t xml:space="preserve">Prepare par :  </t>
  </si>
  <si>
    <t>Valide par :</t>
  </si>
  <si>
    <t>BANQUE:</t>
  </si>
  <si>
    <t>BNI</t>
  </si>
  <si>
    <t>COMPTE N.</t>
  </si>
  <si>
    <t>26666070102 72</t>
  </si>
  <si>
    <t>Date</t>
  </si>
  <si>
    <t>Ref Pieces Jrnl</t>
  </si>
  <si>
    <t>Type</t>
  </si>
  <si>
    <t>Ref chq/OV/…</t>
  </si>
  <si>
    <t>Recettes</t>
  </si>
  <si>
    <t>Depenses</t>
  </si>
  <si>
    <t>Solde progressif</t>
  </si>
  <si>
    <t>BAILLEURS</t>
  </si>
  <si>
    <t>BENEFICIAIRES</t>
  </si>
  <si>
    <t>BNI.001</t>
  </si>
  <si>
    <t>Report de solde</t>
  </si>
  <si>
    <t>GESTION &amp; SUIVI UNICEF</t>
  </si>
  <si>
    <t>Interface de gestion • Budget • Fonds • Dépenses/PJ • Rapport financier • Banque • Rapprochement</t>
  </si>
  <si>
    <t>📋 BUDGET</t>
  </si>
  <si>
    <t>💰 BUDGET ACCORDÉ</t>
  </si>
  <si>
    <t>💵 FONDS / ACTIVITÉS</t>
  </si>
  <si>
    <t>🧾 DÉPENSES / PJ</t>
  </si>
  <si>
    <t>✓ CONTRÔLE PJ</t>
  </si>
  <si>
    <t>📑 RAPPORT FINANCIER</t>
  </si>
  <si>
    <t>🏦 JOURNAL DE BANQUE</t>
  </si>
  <si>
    <t>🔄 RAPPROCHEMENT</t>
  </si>
  <si>
    <t>📊 TABLEAU DE BORD</t>
  </si>
  <si>
    <t>⚙ PARAMÈTRES</t>
  </si>
  <si>
    <t>📍 DISTANCES</t>
  </si>
  <si>
    <t>🗂 LISTES</t>
  </si>
  <si>
    <t>ADMINISTRATEUR : PARAMETRES • DISTANCES • LISTES • LISTE_ACTIVITES restent accessibles pour contrôle et mise à jour.</t>
  </si>
  <si>
    <t>CHEF-LIEU DE RÉGION</t>
  </si>
  <si>
    <t>REGION</t>
  </si>
  <si>
    <t>EST CHEF-LIEU RÉGION</t>
  </si>
  <si>
    <t>DÉLAI ROUTE ALLER</t>
  </si>
  <si>
    <t>DÉLAI ROUTE RETOUR</t>
  </si>
  <si>
    <t>DÉLAI ROUTE ALLER ET RETOUR</t>
  </si>
  <si>
    <t>↩ RETOUR AU MENU</t>
  </si>
  <si>
    <t>Antananarivo-Renivohitra</t>
  </si>
  <si>
    <t>Ambohidratrimo</t>
  </si>
  <si>
    <t>Andramasina</t>
  </si>
  <si>
    <t>Anjozorobe</t>
  </si>
  <si>
    <t>Ankazobe</t>
  </si>
  <si>
    <t>Antananarivo-Atsimondrano</t>
  </si>
  <si>
    <t>Antananarivo-Avaradrano</t>
  </si>
  <si>
    <t>Manjakandriana</t>
  </si>
  <si>
    <t>Tsiroanomandidy</t>
  </si>
  <si>
    <t>BONGOLAVA</t>
  </si>
  <si>
    <t>Fenoarivobe</t>
  </si>
  <si>
    <t>Miarinarivo</t>
  </si>
  <si>
    <t>ITASY</t>
  </si>
  <si>
    <t>Arivonimamo</t>
  </si>
  <si>
    <t>Soavinandriana</t>
  </si>
  <si>
    <t>Antsirabe I</t>
  </si>
  <si>
    <t>VAKINAKARATRA</t>
  </si>
  <si>
    <t>Antsirabe II</t>
  </si>
  <si>
    <t>Ambatolampy</t>
  </si>
  <si>
    <t>Antanifotsy</t>
  </si>
  <si>
    <t>Betafo</t>
  </si>
  <si>
    <t>Faratsiho</t>
  </si>
  <si>
    <t>Mandoto</t>
  </si>
  <si>
    <t>Antsiranana I</t>
  </si>
  <si>
    <t>DIANA</t>
  </si>
  <si>
    <t>Antsiranana II</t>
  </si>
  <si>
    <t>Ambanja</t>
  </si>
  <si>
    <t>Ambilobe</t>
  </si>
  <si>
    <t>Nosy Be</t>
  </si>
  <si>
    <t>Sambava</t>
  </si>
  <si>
    <t>SAVA</t>
  </si>
  <si>
    <t>Andapa</t>
  </si>
  <si>
    <t>Antalaha</t>
  </si>
  <si>
    <t>Vohemar</t>
  </si>
  <si>
    <t>Ambositra</t>
  </si>
  <si>
    <t>AMORON'I MANIA</t>
  </si>
  <si>
    <t>Ambatofinandrahana</t>
  </si>
  <si>
    <t>Fandriana</t>
  </si>
  <si>
    <t>Manandriana</t>
  </si>
  <si>
    <t>Farafangana</t>
  </si>
  <si>
    <t>ATSIMO ATSINANANA</t>
  </si>
  <si>
    <t>Befotaka</t>
  </si>
  <si>
    <t>Midongy-Atsimo</t>
  </si>
  <si>
    <t>Vangaindrano</t>
  </si>
  <si>
    <t>Vondrozo</t>
  </si>
  <si>
    <t xml:space="preserve">Fianarantsoa </t>
  </si>
  <si>
    <t>HAUTE MATSIATRA</t>
  </si>
  <si>
    <t>Ambalavao</t>
  </si>
  <si>
    <t>Ambohimahasoa</t>
  </si>
  <si>
    <t>Isandra</t>
  </si>
  <si>
    <t>Ikalamavony</t>
  </si>
  <si>
    <t>Vohibato</t>
  </si>
  <si>
    <t>Lalangina</t>
  </si>
  <si>
    <t>Ihosy</t>
  </si>
  <si>
    <t>IHOROMBE</t>
  </si>
  <si>
    <t>Iakora</t>
  </si>
  <si>
    <t>Ivohibe</t>
  </si>
  <si>
    <t>Manakara</t>
  </si>
  <si>
    <t>FITOVINANY</t>
  </si>
  <si>
    <t>Vohipeno</t>
  </si>
  <si>
    <t>Nosy Varika</t>
  </si>
  <si>
    <t>Mananjary</t>
  </si>
  <si>
    <t>VATOVAVY</t>
  </si>
  <si>
    <t>Ikongo</t>
  </si>
  <si>
    <t>Ifanadiana</t>
  </si>
  <si>
    <t>Maevatanana</t>
  </si>
  <si>
    <t>BETSIBOKA</t>
  </si>
  <si>
    <t>Kandreho</t>
  </si>
  <si>
    <t>Tsaratanana</t>
  </si>
  <si>
    <t>Mahajanga I</t>
  </si>
  <si>
    <t>BOENY</t>
  </si>
  <si>
    <t>Mahajanga II</t>
  </si>
  <si>
    <t>Ambato-Boeni</t>
  </si>
  <si>
    <t>Marovoay</t>
  </si>
  <si>
    <t>Mitsinjo</t>
  </si>
  <si>
    <t>Soalala</t>
  </si>
  <si>
    <t>Maintirano</t>
  </si>
  <si>
    <t>MELAKY</t>
  </si>
  <si>
    <t>Ambatomainty</t>
  </si>
  <si>
    <t>Antsalova</t>
  </si>
  <si>
    <t>Besalampy</t>
  </si>
  <si>
    <t>Morafenobe</t>
  </si>
  <si>
    <t>Antsohihy</t>
  </si>
  <si>
    <t>SOFIA</t>
  </si>
  <si>
    <t>Analalava</t>
  </si>
  <si>
    <t>Bealanana</t>
  </si>
  <si>
    <t>Befandriana Avaratra</t>
  </si>
  <si>
    <t>Mampikony</t>
  </si>
  <si>
    <t>Mandritsara</t>
  </si>
  <si>
    <t>Port Berger</t>
  </si>
  <si>
    <t>Ambatondrazaka</t>
  </si>
  <si>
    <t>ALAOTRA MANGORO</t>
  </si>
  <si>
    <t>Amparafaravola</t>
  </si>
  <si>
    <t>Andilamena</t>
  </si>
  <si>
    <t>Anosibe-An'ala</t>
  </si>
  <si>
    <t>Moramanga</t>
  </si>
  <si>
    <t>Fénérive Est</t>
  </si>
  <si>
    <t>ANALANJIROFO</t>
  </si>
  <si>
    <t>Mananara Avaratra</t>
  </si>
  <si>
    <t>Maroantsetra</t>
  </si>
  <si>
    <t>Sainte Marie</t>
  </si>
  <si>
    <t>Soanierana-Ivongo</t>
  </si>
  <si>
    <t>Vavatenina</t>
  </si>
  <si>
    <t>Toamasina I</t>
  </si>
  <si>
    <t>ATSINANANA</t>
  </si>
  <si>
    <t>Toamasina II</t>
  </si>
  <si>
    <t>Antanambao-Manampotsy</t>
  </si>
  <si>
    <t>Vohibinany (Brickaville)</t>
  </si>
  <si>
    <t>Mahanoro</t>
  </si>
  <si>
    <t>Marolambo</t>
  </si>
  <si>
    <t>Vatomandry</t>
  </si>
  <si>
    <t>Ambovombe</t>
  </si>
  <si>
    <t>ANDROY</t>
  </si>
  <si>
    <t>Bekily</t>
  </si>
  <si>
    <t>Beloha</t>
  </si>
  <si>
    <t>Tsihombe</t>
  </si>
  <si>
    <t>Antanimora</t>
  </si>
  <si>
    <t>Taolagnaro</t>
  </si>
  <si>
    <t>ANOSY</t>
  </si>
  <si>
    <t>Amboasary-Atsimo</t>
  </si>
  <si>
    <t>Betroka</t>
  </si>
  <si>
    <t>Toliara I</t>
  </si>
  <si>
    <t>ATSIMO ANDREFANA</t>
  </si>
  <si>
    <t>Toliara II</t>
  </si>
  <si>
    <t>Ampanihy</t>
  </si>
  <si>
    <t>Ankazoabo-Atsimo</t>
  </si>
  <si>
    <t>Benenitra</t>
  </si>
  <si>
    <t>Beroroha</t>
  </si>
  <si>
    <t>Betioky-Atsimo</t>
  </si>
  <si>
    <t>Morombe</t>
  </si>
  <si>
    <t>Sakaraha</t>
  </si>
  <si>
    <t>Morondava</t>
  </si>
  <si>
    <t>MENABE</t>
  </si>
  <si>
    <t>Belon'i Tsiribihina</t>
  </si>
  <si>
    <t>Mahabo</t>
  </si>
  <si>
    <t>Manja</t>
  </si>
  <si>
    <t>Miandrivazo</t>
  </si>
  <si>
    <t>DISTANCE TANA ALLER (km)CARBURANT</t>
  </si>
  <si>
    <t>A</t>
  </si>
  <si>
    <t>A-1</t>
  </si>
  <si>
    <t>consommation</t>
  </si>
  <si>
    <t>Distance</t>
  </si>
  <si>
    <t>Nbre de voiture</t>
  </si>
  <si>
    <t>B</t>
  </si>
  <si>
    <t>PENDANT ATELIER</t>
  </si>
  <si>
    <t>TAUX INDEMNITE</t>
  </si>
  <si>
    <t>nbre de jours</t>
  </si>
  <si>
    <t xml:space="preserve">Indemnité </t>
  </si>
  <si>
    <t xml:space="preserve">Indeminté </t>
  </si>
  <si>
    <t>nbre de personnes</t>
  </si>
  <si>
    <t>Si dejeuner est pris en charge pendant atelier</t>
  </si>
  <si>
    <t>Si dejeuner n'est pris en charge pendant atelier(100%)</t>
  </si>
  <si>
    <t>à revoir referentiel tarif</t>
  </si>
  <si>
    <t>deplacement forfaitaire</t>
  </si>
  <si>
    <t>TAUX</t>
  </si>
  <si>
    <t>unite</t>
  </si>
  <si>
    <t>Indeminté des équipes regionaux</t>
  </si>
  <si>
    <t>Toujours taux complet 100% pour  chauffeur</t>
  </si>
  <si>
    <t>Si Trajet Antananarivo vers Antananarivo Atsimondrano</t>
  </si>
  <si>
    <t>nbre de VOITURE</t>
  </si>
  <si>
    <t>Eau minérale</t>
  </si>
  <si>
    <t>QUANTITE</t>
  </si>
  <si>
    <t>PU En ariary</t>
  </si>
  <si>
    <t>ETAT RECAPITULATIF</t>
  </si>
  <si>
    <t>SOUS TOTAUX</t>
  </si>
  <si>
    <t>C</t>
  </si>
  <si>
    <t>TOTAL DEPLACEMENT DES MISSIONNAIRES</t>
  </si>
  <si>
    <t>TOTAL RESTAURATION</t>
  </si>
  <si>
    <t>TOTAL INDEMNITE DES MISSIONNAIRES</t>
  </si>
  <si>
    <t>SOUS TOTAUX DELAI DE ROUTE</t>
  </si>
  <si>
    <t>SOUS TOTAUX PENDANT ACTIVITE</t>
  </si>
  <si>
    <t>INDEMNITES DES MISSIONNAIRES</t>
  </si>
  <si>
    <t>DEPLACEMENTS DES MISSIONNAIRES</t>
  </si>
  <si>
    <t>RESTAURATION</t>
  </si>
  <si>
    <t>FOURNITURE</t>
  </si>
  <si>
    <t>TOTAL FOURNITURE</t>
  </si>
  <si>
    <t>FINANCEMENT</t>
  </si>
  <si>
    <t>UNFPA</t>
  </si>
  <si>
    <t>UPNNC</t>
  </si>
  <si>
    <t>WISH2</t>
  </si>
  <si>
    <t>IPAS</t>
  </si>
  <si>
    <t>Pour ajouter une nouvelle règle PJ, ajouter une ligne dans la matrice ci-dessus avec Rubrique + Sous-rubrique + PJ + règle de date.</t>
  </si>
  <si>
    <t>CHECKLIST_PJ utilise cette matrice pour vérifier, pièce par pièce : existence, date, conformité et anomalie.</t>
  </si>
  <si>
    <t>La rubrique RESTAURATION comporte 3 sous-rubriques dans LISTES : Eau minérale, Pause café, Déjeuner.</t>
  </si>
  <si>
    <t>• Pour ajouter un taux/consommation : compléter la section concernée.</t>
  </si>
  <si>
    <t>• Pour ajouter une PJ : insérer une ligne dans la matrice ci-dessus.</t>
  </si>
  <si>
    <t>6. EXTENSIONS FUTURES</t>
  </si>
  <si>
    <t>OUI</t>
  </si>
  <si>
    <t>À préciser</t>
  </si>
  <si>
    <t>MANUEL</t>
  </si>
  <si>
    <t>Selon nature de dépense</t>
  </si>
  <si>
    <t>PJ JUSTIFICATIVE ADAPTÉE</t>
  </si>
  <si>
    <t>Avant ou pendant activité</t>
  </si>
  <si>
    <t>BILLET / ETAT DE VOYAGE</t>
  </si>
  <si>
    <t>DEPLACEMENT PAR AVION</t>
  </si>
  <si>
    <t>DEPLACEMENT</t>
  </si>
  <si>
    <t>Avant activité</t>
  </si>
  <si>
    <t>ORDRE DE MISSION</t>
  </si>
  <si>
    <t>Avant activité;Pendant activité</t>
  </si>
  <si>
    <t>TABLEAU DE BORD</t>
  </si>
  <si>
    <t>LOCATION DE VOITURE</t>
  </si>
  <si>
    <t>CONTRAT</t>
  </si>
  <si>
    <t>Après activité</t>
  </si>
  <si>
    <t>ETAT DE PAIEMENT</t>
  </si>
  <si>
    <t>DEPLACEMENT FORFAITAIRE</t>
  </si>
  <si>
    <t>FACTURE FRAIS TAXI TRANSFERT AEROPORT</t>
  </si>
  <si>
    <t>FRAIS DE TRANSFERT</t>
  </si>
  <si>
    <t>FACTURE FRAIS TAXI BROUSSE</t>
  </si>
  <si>
    <t>FRAIS TAXI BROUSSE</t>
  </si>
  <si>
    <t>FACTURE CARBURANT</t>
  </si>
  <si>
    <t>PERNOCTEM</t>
  </si>
  <si>
    <t>INDEMNITE</t>
  </si>
  <si>
    <t>FICHE DE PRESENCE</t>
  </si>
  <si>
    <t>INDEMNITE AC</t>
  </si>
  <si>
    <t>INDEMNITE CHAUFFEUR</t>
  </si>
  <si>
    <t>INDEMNITE DES MISSIONNAIRES (PENDANT ACTIVITE)</t>
  </si>
  <si>
    <t>INDEMNITE DES MISSIONNAIRES (DELAI DE ROUTE)</t>
  </si>
  <si>
    <t>PREUVE DE PAIEMENT</t>
  </si>
  <si>
    <t>PV DE RECEPTION DEFINITIVE</t>
  </si>
  <si>
    <t>BON DE LIVRAISON</t>
  </si>
  <si>
    <t>FACTURE DEFINITIVE</t>
  </si>
  <si>
    <t>Après date PV;Avant activité</t>
  </si>
  <si>
    <t>BON DE COMMANDE</t>
  </si>
  <si>
    <t>Après date demande de cotation;Avant date activité</t>
  </si>
  <si>
    <t>PV DE SELECTION DES PRESTATAIRES</t>
  </si>
  <si>
    <t>Avant activité;Après date de demande de cotation</t>
  </si>
  <si>
    <t>FACTURE PROFORMA</t>
  </si>
  <si>
    <t>DEMANDE DE COTATION</t>
  </si>
  <si>
    <t>PLAN DE DIFFUSION</t>
  </si>
  <si>
    <t>ETAT DE REPARTITION</t>
  </si>
  <si>
    <t>ACTIF</t>
  </si>
  <si>
    <t>REMARQUE</t>
  </si>
  <si>
    <t>TYPE DE CONTRÔLE</t>
  </si>
  <si>
    <t>RÈGLE DE DATE</t>
  </si>
  <si>
    <t>OBLIGATOIRE</t>
  </si>
  <si>
    <t>PJ REQUISE</t>
  </si>
  <si>
    <t>SOUS-RUBRIQUE</t>
  </si>
  <si>
    <t>À définir par ADMIN dans la version .xlsm</t>
  </si>
  <si>
    <t>DOSSIER EXPORT / TÉLÉCHARGEMENT</t>
  </si>
  <si>
    <t>Petite voiture</t>
  </si>
  <si>
    <t>Moto</t>
  </si>
  <si>
    <t>Camion</t>
  </si>
  <si>
    <t>6. SOURCE DE FINANCEMENT</t>
  </si>
  <si>
    <t>Déplacement forfaitaire – Autres district</t>
  </si>
  <si>
    <t>Car plus de 22 places</t>
  </si>
  <si>
    <t>Déplacement forfaitaire – Chef-lieu région</t>
  </si>
  <si>
    <t>Car 16 places</t>
  </si>
  <si>
    <t>Seuil bloqué dépassé</t>
  </si>
  <si>
    <t>BLOQUÉ</t>
  </si>
  <si>
    <t>Déplacement forfaitaire – Antananarivo</t>
  </si>
  <si>
    <t>Voiture administrative ou 4*4</t>
  </si>
  <si>
    <t>Seuil d’attention dépassé</t>
  </si>
  <si>
    <t>LIMITE</t>
  </si>
  <si>
    <t>4. DÉPLACEMENT FORFAITAIRE</t>
  </si>
  <si>
    <t>2. CARBURANT</t>
  </si>
  <si>
    <t>À relancer</t>
  </si>
  <si>
    <t>EN ATTENTE</t>
  </si>
  <si>
    <t>Rapportage reçu ou délai non atteint</t>
  </si>
  <si>
    <t>OK</t>
  </si>
  <si>
    <t>Interprétation</t>
  </si>
  <si>
    <t>Autres bailleurs – seuil bloqué (jours)</t>
  </si>
  <si>
    <t>Transfert aéroport – Chef-lieu district</t>
  </si>
  <si>
    <t>Autres bailleurs – seuil attention (jours)</t>
  </si>
  <si>
    <t>Transfert aéroport – Chef-lieu région</t>
  </si>
  <si>
    <t>UNICEF – seuil bloqué (jours)</t>
  </si>
  <si>
    <t>Transfert aéroport – Antananarivo</t>
  </si>
  <si>
    <t>UNICEF – seuil attention (jours)</t>
  </si>
  <si>
    <t>Transfert aéroport International</t>
  </si>
  <si>
    <t>Déjeuner pris en charge</t>
  </si>
  <si>
    <t>5. RÈGLES DE RAPPORTAGE</t>
  </si>
  <si>
    <t>3. DÉPLACEMENT / TRANSFERT</t>
  </si>
  <si>
    <t>1. INDEMNITÉS</t>
  </si>
  <si>
    <t>Les listes de choix sont exclusivement dans LISTES. PARAMETRES contient uniquement les règles, taux, seuils et matrice des PJ.</t>
  </si>
  <si>
    <t>PARAMETRES – RÉFÉRENCE UNIQUE DES RÈGLES</t>
  </si>
  <si>
    <t>Taux Perdiem chef-lieu région</t>
  </si>
  <si>
    <t>Taux Perdiem chef-lieu district</t>
  </si>
  <si>
    <t>Taux Perdiem AC</t>
  </si>
  <si>
    <t>OUI/NON</t>
  </si>
  <si>
    <t>Taux indemnité avec prise en charge déjeuner(taux Déduit de 15% pour déjeuner)</t>
  </si>
  <si>
    <t>Taux indemnité chauffeur(Toujours taux sans déjeuner= 100% soit de 200 000 ar soit 100% de 150 000 ar)</t>
  </si>
  <si>
    <t>Taux Perdiem si NON déjeuner ; DELAI DE ROUTE= 100%</t>
  </si>
  <si>
    <t>Consommation/km par type de vehicule</t>
  </si>
  <si>
    <t>Taux Pernoctem: si mission sans passer la nuit, plus de 8h, NON Déjeuner (60%)</t>
  </si>
  <si>
    <t xml:space="preserve">TAUX </t>
  </si>
  <si>
    <t xml:space="preserve">5. MATRICE DES PJ REQUISES ET RÈGLES DE DATE POUR CONTRÔLE DE PJ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</si>
</sst>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64" formatCode="#,##0\ &quot;Ar&quot;"/>
    <numFmt numFmtId="165" formatCode="_-* #,##0.00\ _€_-;\-* #,##0.00\ _€_-;_-* &quot;-&quot;??\ _€_-;_-@_-"/>
    <numFmt numFmtId="166" formatCode="_-* #,##0\ _€_-;\-* #,##0\ _€_-;_-* &quot;-&quot;??\ _€_-;_-@_-"/>
    <numFmt numFmtId="167" formatCode="_-* #,##0\ _€_-;\-* #,##0\ _€_-;_-* &quot;-&quot;??\ _€_-;_-@"/>
    <numFmt numFmtId="168" formatCode="_-* #,##0\ _€_-;\-* #,##0\ _€_-;_-* &quot;-&quot;\ _€_-;_-@_-"/>
    <numFmt numFmtId="169" formatCode="[$-409]d\-mmm\-yy"/>
    <numFmt numFmtId="170" formatCode="_(* #,##0.00_);_(* \(#,##0.00\);_(* &quot;-&quot;??_);_(@_)"/>
    <numFmt numFmtId="171" formatCode="_-* #,##0_-;\-* #,##0_-;_-* &quot;-&quot;??_-;_-@"/>
    <numFmt numFmtId="172" formatCode="_(* #,##0_);_(* \(#,##0\);_(* &quot;-&quot;??_);_(@_)"/>
    <numFmt numFmtId="173" formatCode="_-* #,##0.00\ _F_-;\-* #,##0.00\ _F_-;_-* &quot;-&quot;??\ _F_-;_-@_-"/>
    <numFmt numFmtId="174" formatCode="_-* #,##0_-;\-* #,##0_-;_-* &quot;-&quot;??_-;_-@_-"/>
    <numFmt numFmtId="175" formatCode="dd/mm/yy"/>
    <numFmt numFmtId="176" formatCode="d/m/yy"/>
    <numFmt numFmtId="177" formatCode="_-* #,##0.00\ _A_r_-;\-* #,##0.00\ _A_r_-;_-* &quot;-&quot;\ _A_r_-;_-@"/>
    <numFmt numFmtId="178" formatCode="_-* #,##0\ _A_r_-;\-* #,##0\ _A_r_-;_-* &quot;-&quot;\ _A_r_-;_-@"/>
    <numFmt numFmtId="179" formatCode="_-* #,##0.00\ _€_-;\-* #,##0.00\ _€_-;_-* &quot;-&quot;??\ _€_-;_-@"/>
    <numFmt numFmtId="180" formatCode="dd/mm/yy;@"/>
  </numFmts>
  <fonts count="48">
    <font>
      <sz val="11"/>
      <name val="Carlito"/>
    </font>
    <font>
      <sz val="11"/>
      <color theme="1"/>
      <name val="Calibri"/>
      <family val="2"/>
      <scheme val="minor"/>
    </font>
    <font>
      <b/>
      <sz val="11"/>
      <color rgb="FFFFFFFF"/>
      <name val="Carlito"/>
    </font>
    <font>
      <b/>
      <sz val="15"/>
      <color rgb="FFFFFFFF"/>
      <name val="Carlito"/>
    </font>
    <font>
      <b/>
      <sz val="11"/>
      <name val="Carlito"/>
    </font>
    <font>
      <sz val="11"/>
      <color theme="1"/>
      <name val="Calibri"/>
      <family val="2"/>
    </font>
    <font>
      <sz val="8"/>
      <name val="Carlito"/>
    </font>
    <font>
      <sz val="11"/>
      <name val="Carlito"/>
    </font>
    <font>
      <sz val="11"/>
      <color theme="1"/>
      <name val="Carlito"/>
    </font>
    <font>
      <b/>
      <sz val="16"/>
      <color rgb="FFFFFFFF"/>
      <name val="Carlito"/>
    </font>
    <font>
      <sz val="10"/>
      <name val="Arial"/>
      <family val="2"/>
    </font>
    <font>
      <b/>
      <sz val="8"/>
      <color theme="0"/>
      <name val="Arial"/>
      <family val="2"/>
    </font>
    <font>
      <sz val="8"/>
      <name val="Arial"/>
      <family val="2"/>
    </font>
    <font>
      <sz val="8"/>
      <color theme="1"/>
      <name val="Arial"/>
      <family val="2"/>
    </font>
    <font>
      <b/>
      <sz val="8"/>
      <name val="Arial"/>
      <family val="2"/>
    </font>
    <font>
      <sz val="16"/>
      <color rgb="FF0070C0"/>
      <name val="Arial"/>
      <family val="2"/>
    </font>
    <font>
      <b/>
      <sz val="8"/>
      <color theme="1"/>
      <name val="Arial"/>
      <family val="2"/>
    </font>
    <font>
      <i/>
      <sz val="8"/>
      <name val="Arial"/>
      <family val="2"/>
    </font>
    <font>
      <sz val="9"/>
      <color theme="1"/>
      <name val="Calibri"/>
      <family val="2"/>
    </font>
    <font>
      <b/>
      <sz val="9"/>
      <color theme="1"/>
      <name val="Calibri"/>
      <family val="2"/>
    </font>
    <font>
      <sz val="9"/>
      <color theme="1"/>
      <name val="Times New Roman"/>
      <family val="1"/>
    </font>
    <font>
      <b/>
      <sz val="12"/>
      <color theme="0"/>
      <name val="Calibri"/>
      <family val="2"/>
    </font>
    <font>
      <sz val="11"/>
      <name val="Calibri"/>
      <family val="2"/>
    </font>
    <font>
      <sz val="12"/>
      <color theme="1"/>
      <name val="Times New Roman"/>
      <family val="2"/>
    </font>
    <font>
      <sz val="9"/>
      <color theme="1"/>
      <name val="Arial"/>
      <family val="2"/>
    </font>
    <font>
      <b/>
      <sz val="9"/>
      <color theme="1"/>
      <name val="Arial"/>
      <family val="2"/>
    </font>
    <font>
      <sz val="9"/>
      <color rgb="FF00B0F0"/>
      <name val="Arial"/>
      <family val="2"/>
    </font>
    <font>
      <sz val="9"/>
      <name val="Arial"/>
      <family val="2"/>
    </font>
    <font>
      <b/>
      <sz val="9"/>
      <color indexed="81"/>
      <name val="Tahoma"/>
      <family val="2"/>
    </font>
    <font>
      <sz val="9"/>
      <color indexed="81"/>
      <name val="Tahoma"/>
      <family val="2"/>
    </font>
    <font>
      <sz val="11"/>
      <color theme="1"/>
      <name val="Calibri"/>
      <family val="2"/>
      <charset val="1"/>
    </font>
    <font>
      <b/>
      <sz val="24"/>
      <color rgb="FFFFFFFF"/>
      <name val="Calibri"/>
    </font>
    <font>
      <i/>
      <sz val="11"/>
      <color rgb="FFFFFFFF"/>
      <name val="Calibri"/>
    </font>
    <font>
      <b/>
      <sz val="12"/>
      <name val="Calibri"/>
    </font>
    <font>
      <b/>
      <sz val="10"/>
      <color rgb="FF666666"/>
      <name val="Calibri"/>
    </font>
    <font>
      <b/>
      <u/>
      <sz val="11"/>
      <color rgb="FF0563C1"/>
      <name val="Calibri"/>
      <family val="2"/>
    </font>
    <font>
      <b/>
      <sz val="14"/>
      <name val="Calibri"/>
      <family val="2"/>
      <charset val="1"/>
    </font>
    <font>
      <b/>
      <sz val="13"/>
      <name val="Calibri"/>
      <family val="2"/>
      <charset val="1"/>
    </font>
    <font>
      <sz val="12"/>
      <color theme="10"/>
      <name val="Calibri"/>
      <family val="2"/>
      <scheme val="minor"/>
    </font>
    <font>
      <b/>
      <sz val="11"/>
      <color rgb="FFFFFFFF"/>
      <name val="Calibri"/>
      <family val="2"/>
      <charset val="1"/>
    </font>
    <font>
      <b/>
      <sz val="11"/>
      <color theme="1"/>
      <name val="Calibri"/>
      <family val="2"/>
      <charset val="1"/>
    </font>
    <font>
      <sz val="9"/>
      <color indexed="81"/>
      <name val="Tahoma"/>
    </font>
    <font>
      <b/>
      <sz val="9"/>
      <color indexed="81"/>
      <name val="Tahoma"/>
    </font>
    <font>
      <sz val="11"/>
      <color rgb="FFFFFFFF"/>
      <name val="Carlito"/>
    </font>
    <font>
      <b/>
      <sz val="11"/>
      <name val="Calibri"/>
      <family val="2"/>
      <charset val="1"/>
    </font>
    <font>
      <b/>
      <sz val="11"/>
      <name val="Calibri"/>
    </font>
    <font>
      <b/>
      <sz val="16"/>
      <color rgb="FFFFFFFF"/>
      <name val="Calibri"/>
      <family val="2"/>
      <charset val="1"/>
    </font>
    <font>
      <b/>
      <sz val="11"/>
      <color theme="1"/>
      <name val="Calibri"/>
      <family val="2"/>
    </font>
  </fonts>
  <fills count="42">
    <fill>
      <patternFill patternType="none"/>
    </fill>
    <fill>
      <patternFill patternType="gray125"/>
    </fill>
    <fill>
      <patternFill patternType="solid">
        <fgColor rgb="FF5B2C83"/>
      </patternFill>
    </fill>
    <fill>
      <patternFill patternType="solid">
        <fgColor rgb="FFD9EAD3"/>
      </patternFill>
    </fill>
    <fill>
      <patternFill patternType="solid">
        <fgColor rgb="FF5B9BD5"/>
      </patternFill>
    </fill>
    <fill>
      <patternFill patternType="solid">
        <fgColor theme="6" tint="0.79998168889431442"/>
        <bgColor theme="6" tint="0.79998168889431442"/>
      </patternFill>
    </fill>
    <fill>
      <patternFill patternType="solid">
        <fgColor rgb="FFD9EAF7"/>
      </patternFill>
    </fill>
    <fill>
      <patternFill patternType="solid">
        <fgColor rgb="FFE2F0D9"/>
      </patternFill>
    </fill>
    <fill>
      <patternFill patternType="solid">
        <fgColor rgb="FF002060"/>
        <bgColor indexed="64"/>
      </patternFill>
    </fill>
    <fill>
      <patternFill patternType="solid">
        <fgColor rgb="FF002060"/>
        <bgColor rgb="FF002060"/>
      </patternFill>
    </fill>
    <fill>
      <patternFill patternType="solid">
        <fgColor rgb="FFFFFF00"/>
        <bgColor rgb="FFFFFF00"/>
      </patternFill>
    </fill>
    <fill>
      <patternFill patternType="solid">
        <fgColor rgb="FFBFBFBF"/>
        <bgColor rgb="FFBFBFBF"/>
      </patternFill>
    </fill>
    <fill>
      <patternFill patternType="solid">
        <fgColor rgb="FFB8CCE4"/>
        <bgColor rgb="FFB8CCE4"/>
      </patternFill>
    </fill>
    <fill>
      <patternFill patternType="solid">
        <fgColor theme="0"/>
        <bgColor theme="0"/>
      </patternFill>
    </fill>
    <fill>
      <patternFill patternType="solid">
        <fgColor theme="0" tint="-0.249977111117893"/>
        <bgColor indexed="64"/>
      </patternFill>
    </fill>
    <fill>
      <patternFill patternType="solid">
        <fgColor rgb="FF002060"/>
        <bgColor theme="0"/>
      </patternFill>
    </fill>
    <fill>
      <patternFill patternType="solid">
        <fgColor rgb="FF0070C0"/>
        <bgColor rgb="FF0070C0"/>
      </patternFill>
    </fill>
    <fill>
      <patternFill patternType="solid">
        <fgColor rgb="FFCCC0D9"/>
        <bgColor rgb="FFCCC0D9"/>
      </patternFill>
    </fill>
    <fill>
      <patternFill patternType="solid">
        <fgColor rgb="FFD8D8D8"/>
        <bgColor rgb="FFD8D8D8"/>
      </patternFill>
    </fill>
    <fill>
      <patternFill patternType="solid">
        <fgColor rgb="FF00B0F0"/>
        <bgColor rgb="FF00B0F0"/>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bgColor indexed="64"/>
      </patternFill>
    </fill>
    <fill>
      <patternFill patternType="solid">
        <fgColor rgb="FF1F4E78"/>
      </patternFill>
    </fill>
    <fill>
      <patternFill patternType="solid">
        <fgColor rgb="FFEAF2F8"/>
      </patternFill>
    </fill>
    <fill>
      <patternFill patternType="solid">
        <fgColor rgb="FF5B9BD5"/>
        <bgColor rgb="FF4472C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D9EAF7"/>
        <bgColor rgb="FFDDEBF7"/>
      </patternFill>
    </fill>
    <fill>
      <patternFill patternType="solid">
        <fgColor theme="9" tint="0.39997558519241921"/>
        <bgColor indexed="64"/>
      </patternFill>
    </fill>
    <fill>
      <patternFill patternType="solid">
        <fgColor rgb="FF00B0F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3" tint="0.79998168889431442"/>
        <bgColor indexed="64"/>
      </patternFill>
    </fill>
    <fill>
      <patternFill patternType="solid">
        <fgColor rgb="FF1F4E78"/>
        <bgColor rgb="FF376092"/>
      </patternFill>
    </fill>
    <fill>
      <patternFill patternType="solid">
        <fgColor theme="8" tint="0.39997558519241921"/>
        <bgColor indexed="64"/>
      </patternFill>
    </fill>
    <fill>
      <patternFill patternType="solid">
        <fgColor theme="5"/>
        <bgColor indexed="64"/>
      </patternFill>
    </fill>
    <fill>
      <patternFill patternType="solid">
        <fgColor theme="2" tint="-0.249977111117893"/>
        <bgColor indexed="64"/>
      </patternFill>
    </fill>
  </fills>
  <borders count="53">
    <border>
      <left/>
      <right/>
      <top/>
      <bottom/>
      <diagonal/>
    </border>
    <border>
      <left/>
      <right/>
      <top/>
      <bottom/>
      <diagonal/>
    </border>
    <border>
      <left style="thin">
        <color rgb="FFB7B7B7"/>
      </left>
      <right style="thin">
        <color rgb="FFB7B7B7"/>
      </right>
      <top style="thin">
        <color rgb="FFB7B7B7"/>
      </top>
      <bottom style="thin">
        <color rgb="FFB7B7B7"/>
      </bottom>
      <diagonal/>
    </border>
    <border>
      <left style="thin">
        <color theme="6" tint="0.39997558519241921"/>
      </left>
      <right/>
      <top style="thin">
        <color theme="6" tint="0.39997558519241921"/>
      </top>
      <bottom style="thin">
        <color theme="6" tint="0.39997558519241921"/>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rgb="FF000000"/>
      </left>
      <right style="thin">
        <color auto="1"/>
      </right>
      <top style="medium">
        <color rgb="FF000000"/>
      </top>
      <bottom/>
      <diagonal/>
    </border>
    <border>
      <left style="medium">
        <color indexed="64"/>
      </left>
      <right style="thin">
        <color indexed="64"/>
      </right>
      <top/>
      <bottom style="thin">
        <color indexed="64"/>
      </bottom>
      <diagonal/>
    </border>
    <border>
      <left/>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right/>
      <top style="thin">
        <color rgb="FF000000"/>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theme="0"/>
      </right>
      <top/>
      <bottom/>
      <diagonal/>
    </border>
    <border>
      <left style="thin">
        <color theme="0"/>
      </left>
      <right style="thin">
        <color theme="0"/>
      </right>
      <top/>
      <bottom/>
      <diagonal/>
    </border>
    <border>
      <left style="thin">
        <color theme="0"/>
      </left>
      <right style="thin">
        <color theme="0"/>
      </right>
      <top style="thin">
        <color rgb="FF000000"/>
      </top>
      <bottom style="thin">
        <color rgb="FF000000"/>
      </bottom>
      <diagonal/>
    </border>
    <border>
      <left/>
      <right style="thin">
        <color theme="1"/>
      </right>
      <top/>
      <bottom/>
      <diagonal/>
    </border>
    <border>
      <left/>
      <right style="thin">
        <color theme="0"/>
      </right>
      <top/>
      <bottom/>
      <diagonal/>
    </border>
    <border>
      <left style="thin">
        <color theme="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B4C7E7"/>
      </left>
      <right style="thin">
        <color rgb="FFB4C7E7"/>
      </right>
      <top style="thin">
        <color rgb="FFB4C7E7"/>
      </top>
      <bottom style="thin">
        <color rgb="FFB4C7E7"/>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
      <left style="thin">
        <color rgb="FFB7B7B7"/>
      </left>
      <right style="thin">
        <color auto="1"/>
      </right>
      <top style="thin">
        <color rgb="FFB7B7B7"/>
      </top>
      <bottom style="thin">
        <color rgb="FFB7B7B7"/>
      </bottom>
      <diagonal/>
    </border>
    <border>
      <left style="thin">
        <color rgb="FFB7B7B7"/>
      </left>
      <right/>
      <top/>
      <bottom/>
      <diagonal/>
    </border>
    <border>
      <left/>
      <right style="thin">
        <color indexed="64"/>
      </right>
      <top/>
      <bottom/>
      <diagonal/>
    </border>
    <border>
      <left style="thin">
        <color rgb="FFB7B7B7"/>
      </left>
      <right/>
      <top/>
      <bottom style="thin">
        <color indexed="64"/>
      </bottom>
      <diagonal/>
    </border>
    <border>
      <left/>
      <right style="thin">
        <color indexed="64"/>
      </right>
      <top/>
      <bottom style="thin">
        <color indexed="64"/>
      </bottom>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top style="thin">
        <color rgb="FFB7B7B7"/>
      </top>
      <bottom style="thin">
        <color rgb="FFB7B7B7"/>
      </bottom>
      <diagonal/>
    </border>
  </borders>
  <cellStyleXfs count="13">
    <xf numFmtId="0" fontId="0" fillId="0" borderId="0"/>
    <xf numFmtId="0" fontId="7" fillId="0" borderId="1"/>
    <xf numFmtId="165" fontId="10" fillId="0" borderId="1" applyFont="0" applyFill="0" applyBorder="0" applyAlignment="0" applyProtection="0"/>
    <xf numFmtId="0" fontId="10" fillId="0" borderId="1"/>
    <xf numFmtId="0" fontId="1" fillId="0" borderId="1"/>
    <xf numFmtId="173" fontId="10" fillId="0" borderId="1" applyFont="0" applyFill="0" applyBorder="0" applyAlignment="0" applyProtection="0"/>
    <xf numFmtId="165" fontId="10" fillId="0" borderId="1" applyFont="0" applyFill="0" applyBorder="0" applyAlignment="0" applyProtection="0"/>
    <xf numFmtId="43" fontId="1" fillId="0" borderId="1" applyFont="0" applyFill="0" applyBorder="0" applyAlignment="0" applyProtection="0"/>
    <xf numFmtId="0" fontId="23" fillId="0" borderId="1"/>
    <xf numFmtId="170" fontId="23" fillId="0" borderId="1" applyFont="0" applyFill="0" applyBorder="0" applyAlignment="0" applyProtection="0"/>
    <xf numFmtId="0" fontId="30" fillId="0" borderId="1"/>
    <xf numFmtId="0" fontId="38" fillId="0" borderId="1"/>
    <xf numFmtId="41" fontId="7" fillId="0" borderId="0" applyFont="0" applyFill="0" applyBorder="0" applyAlignment="0" applyProtection="0"/>
  </cellStyleXfs>
  <cellXfs count="316">
    <xf numFmtId="0" fontId="0" fillId="0" borderId="0" xfId="0"/>
    <xf numFmtId="0" fontId="2" fillId="2" borderId="0"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14" fontId="0" fillId="0" borderId="0" xfId="0" applyNumberFormat="1" applyFont="1" applyFill="1" applyBorder="1"/>
    <xf numFmtId="14" fontId="0" fillId="0" borderId="1" xfId="0" applyNumberFormat="1" applyFont="1" applyFill="1" applyBorder="1"/>
    <xf numFmtId="164" fontId="0" fillId="0" borderId="0" xfId="0" applyNumberFormat="1" applyFont="1" applyFill="1" applyBorder="1"/>
    <xf numFmtId="0" fontId="5" fillId="0" borderId="0" xfId="0" applyFont="1"/>
    <xf numFmtId="0" fontId="0" fillId="0" borderId="0" xfId="0" applyAlignment="1">
      <alignment vertical="center" wrapText="1"/>
    </xf>
    <xf numFmtId="0" fontId="5" fillId="0" borderId="0" xfId="0" applyFont="1" applyAlignment="1">
      <alignment wrapText="1"/>
    </xf>
    <xf numFmtId="0" fontId="2" fillId="2" borderId="0" xfId="0" applyNumberFormat="1" applyFont="1" applyFill="1" applyBorder="1" applyAlignment="1">
      <alignment horizontal="left" vertical="center" wrapText="1"/>
    </xf>
    <xf numFmtId="0" fontId="2" fillId="4" borderId="2" xfId="1" applyFont="1" applyFill="1" applyBorder="1" applyAlignment="1">
      <alignment vertical="center" wrapText="1"/>
    </xf>
    <xf numFmtId="0" fontId="7" fillId="0" borderId="1" xfId="1"/>
    <xf numFmtId="0" fontId="7" fillId="0" borderId="1" xfId="1" applyAlignment="1">
      <alignment vertical="center" wrapText="1"/>
    </xf>
    <xf numFmtId="3" fontId="7" fillId="0" borderId="1" xfId="1" applyNumberFormat="1" applyAlignment="1">
      <alignment vertical="center" wrapText="1"/>
    </xf>
    <xf numFmtId="0" fontId="8" fillId="5" borderId="3" xfId="0" applyFont="1" applyFill="1" applyBorder="1"/>
    <xf numFmtId="0" fontId="8" fillId="0" borderId="3" xfId="0" applyFont="1" applyBorder="1"/>
    <xf numFmtId="0" fontId="2" fillId="4" borderId="2" xfId="1" applyNumberFormat="1" applyFont="1" applyFill="1" applyBorder="1" applyAlignment="1">
      <alignment vertical="center" wrapText="1"/>
    </xf>
    <xf numFmtId="0" fontId="4" fillId="6" borderId="2" xfId="1" applyFont="1" applyFill="1" applyBorder="1" applyAlignment="1">
      <alignment vertical="center" wrapText="1"/>
    </xf>
    <xf numFmtId="0" fontId="7" fillId="0" borderId="2" xfId="1" applyBorder="1" applyAlignment="1">
      <alignment vertical="center" wrapText="1"/>
    </xf>
    <xf numFmtId="14" fontId="7" fillId="0" borderId="2" xfId="1" applyNumberFormat="1" applyBorder="1" applyAlignment="1">
      <alignment vertical="center" wrapText="1"/>
    </xf>
    <xf numFmtId="3" fontId="7" fillId="0" borderId="2" xfId="1" applyNumberFormat="1" applyBorder="1" applyAlignment="1">
      <alignment vertical="center" wrapText="1"/>
    </xf>
    <xf numFmtId="0" fontId="4" fillId="0" borderId="2" xfId="1" applyFont="1" applyBorder="1" applyAlignment="1">
      <alignment vertical="center" wrapText="1"/>
    </xf>
    <xf numFmtId="3" fontId="4" fillId="0" borderId="2" xfId="1" applyNumberFormat="1" applyFont="1" applyBorder="1" applyAlignment="1">
      <alignment vertical="center" wrapText="1"/>
    </xf>
    <xf numFmtId="166" fontId="11" fillId="8" borderId="4" xfId="2" applyNumberFormat="1" applyFont="1" applyFill="1" applyBorder="1" applyAlignment="1" applyProtection="1">
      <alignment vertical="center" wrapText="1"/>
    </xf>
    <xf numFmtId="0" fontId="12" fillId="0" borderId="5" xfId="3" applyFont="1" applyBorder="1" applyAlignment="1">
      <alignment horizontal="center" vertical="center" wrapText="1"/>
    </xf>
    <xf numFmtId="167" fontId="11" fillId="9" borderId="6" xfId="0" applyNumberFormat="1" applyFont="1" applyFill="1" applyBorder="1" applyAlignment="1">
      <alignment vertical="center" wrapText="1"/>
    </xf>
    <xf numFmtId="168" fontId="13" fillId="0" borderId="5" xfId="0" applyNumberFormat="1" applyFont="1" applyBorder="1" applyAlignment="1">
      <alignment vertical="center" wrapText="1"/>
    </xf>
    <xf numFmtId="166" fontId="12" fillId="0" borderId="1" xfId="2" applyNumberFormat="1" applyFont="1" applyAlignment="1">
      <alignment vertical="center" wrapText="1"/>
    </xf>
    <xf numFmtId="0" fontId="12" fillId="0" borderId="1" xfId="3" applyFont="1" applyAlignment="1">
      <alignment vertical="center" wrapText="1"/>
    </xf>
    <xf numFmtId="166" fontId="11" fillId="8" borderId="7" xfId="2" applyNumberFormat="1" applyFont="1" applyFill="1" applyBorder="1" applyAlignment="1" applyProtection="1">
      <alignment vertical="center" wrapText="1"/>
    </xf>
    <xf numFmtId="167" fontId="11" fillId="9" borderId="8" xfId="0" applyNumberFormat="1" applyFont="1" applyFill="1" applyBorder="1" applyAlignment="1">
      <alignment vertical="center" wrapText="1"/>
    </xf>
    <xf numFmtId="166" fontId="11" fillId="8" borderId="9" xfId="2" applyNumberFormat="1" applyFont="1" applyFill="1" applyBorder="1" applyAlignment="1" applyProtection="1">
      <alignment vertical="center" wrapText="1"/>
    </xf>
    <xf numFmtId="167" fontId="11" fillId="9" borderId="10" xfId="0" applyNumberFormat="1" applyFont="1" applyFill="1" applyBorder="1" applyAlignment="1">
      <alignment vertical="center" wrapText="1"/>
    </xf>
    <xf numFmtId="166" fontId="11" fillId="8" borderId="11" xfId="2" applyNumberFormat="1" applyFont="1" applyFill="1" applyBorder="1" applyAlignment="1" applyProtection="1">
      <alignment vertical="center" wrapText="1"/>
    </xf>
    <xf numFmtId="167" fontId="11" fillId="9" borderId="12" xfId="0" applyNumberFormat="1" applyFont="1" applyFill="1" applyBorder="1" applyAlignment="1">
      <alignment vertical="center" wrapText="1"/>
    </xf>
    <xf numFmtId="166" fontId="12" fillId="0" borderId="1" xfId="2" applyNumberFormat="1" applyFont="1" applyAlignment="1" applyProtection="1">
      <alignment horizontal="left" vertical="center" wrapText="1"/>
    </xf>
    <xf numFmtId="166" fontId="12" fillId="0" borderId="1" xfId="2" applyNumberFormat="1" applyFont="1" applyBorder="1" applyAlignment="1" applyProtection="1">
      <alignment horizontal="left" vertical="center" wrapText="1"/>
    </xf>
    <xf numFmtId="166" fontId="11" fillId="8" borderId="14" xfId="2" applyNumberFormat="1" applyFont="1" applyFill="1" applyBorder="1" applyAlignment="1" applyProtection="1">
      <alignment horizontal="center" vertical="center" wrapText="1"/>
    </xf>
    <xf numFmtId="0" fontId="11" fillId="8" borderId="1" xfId="3" applyFont="1" applyFill="1" applyAlignment="1">
      <alignment horizontal="center" vertical="center" wrapText="1"/>
    </xf>
    <xf numFmtId="166" fontId="11" fillId="8" borderId="19" xfId="2" applyNumberFormat="1" applyFont="1" applyFill="1" applyBorder="1" applyAlignment="1">
      <alignment horizontal="center" vertical="center" wrapText="1"/>
    </xf>
    <xf numFmtId="0" fontId="11" fillId="8" borderId="20" xfId="3" applyFont="1" applyFill="1" applyBorder="1" applyAlignment="1">
      <alignment horizontal="center" vertical="center" wrapText="1"/>
    </xf>
    <xf numFmtId="0" fontId="11" fillId="8" borderId="12" xfId="3" applyFont="1" applyFill="1" applyBorder="1" applyAlignment="1">
      <alignment horizontal="center" vertical="center" wrapText="1"/>
    </xf>
    <xf numFmtId="166" fontId="11" fillId="8" borderId="12" xfId="2" applyNumberFormat="1" applyFont="1" applyFill="1" applyBorder="1" applyAlignment="1">
      <alignment horizontal="center" vertical="center" wrapText="1"/>
    </xf>
    <xf numFmtId="166" fontId="11" fillId="8" borderId="1" xfId="2" applyNumberFormat="1" applyFont="1" applyFill="1" applyBorder="1" applyAlignment="1">
      <alignment horizontal="center" vertical="center" wrapText="1"/>
    </xf>
    <xf numFmtId="169" fontId="15" fillId="0" borderId="1" xfId="4" applyNumberFormat="1" applyFont="1" applyAlignment="1">
      <alignment horizontal="left" vertical="top"/>
    </xf>
    <xf numFmtId="0" fontId="13" fillId="0" borderId="1" xfId="4" applyFont="1" applyAlignment="1">
      <alignment horizontal="left" vertical="top"/>
    </xf>
    <xf numFmtId="170" fontId="13" fillId="0" borderId="1" xfId="4" applyNumberFormat="1" applyFont="1" applyAlignment="1">
      <alignment horizontal="left" vertical="top"/>
    </xf>
    <xf numFmtId="0" fontId="1" fillId="0" borderId="1" xfId="4"/>
    <xf numFmtId="169" fontId="13" fillId="0" borderId="1" xfId="4" applyNumberFormat="1" applyFont="1" applyAlignment="1">
      <alignment horizontal="left" vertical="top"/>
    </xf>
    <xf numFmtId="0" fontId="13" fillId="10" borderId="1" xfId="4" applyFont="1" applyFill="1" applyAlignment="1">
      <alignment horizontal="center" vertical="top"/>
    </xf>
    <xf numFmtId="169" fontId="13" fillId="11" borderId="21" xfId="4" applyNumberFormat="1" applyFont="1" applyFill="1" applyBorder="1" applyAlignment="1">
      <alignment horizontal="left" vertical="top" wrapText="1"/>
    </xf>
    <xf numFmtId="0" fontId="13" fillId="11" borderId="21" xfId="4" applyFont="1" applyFill="1" applyBorder="1" applyAlignment="1">
      <alignment horizontal="left" vertical="top" wrapText="1"/>
    </xf>
    <xf numFmtId="171" fontId="13" fillId="11" borderId="21" xfId="4" applyNumberFormat="1" applyFont="1" applyFill="1" applyBorder="1" applyAlignment="1">
      <alignment horizontal="left" vertical="top" wrapText="1"/>
    </xf>
    <xf numFmtId="170" fontId="13" fillId="11" borderId="21" xfId="4" applyNumberFormat="1" applyFont="1" applyFill="1" applyBorder="1" applyAlignment="1">
      <alignment horizontal="left" vertical="top" wrapText="1"/>
    </xf>
    <xf numFmtId="170" fontId="13" fillId="11" borderId="22" xfId="4" applyNumberFormat="1" applyFont="1" applyFill="1" applyBorder="1" applyAlignment="1">
      <alignment horizontal="left" vertical="top" wrapText="1"/>
    </xf>
    <xf numFmtId="170" fontId="13" fillId="11" borderId="5" xfId="4" applyNumberFormat="1" applyFont="1" applyFill="1" applyBorder="1" applyAlignment="1">
      <alignment horizontal="left" vertical="top" wrapText="1"/>
    </xf>
    <xf numFmtId="0" fontId="13" fillId="0" borderId="1" xfId="4" applyFont="1" applyAlignment="1">
      <alignment horizontal="left" vertical="top" wrapText="1"/>
    </xf>
    <xf numFmtId="172" fontId="13" fillId="13" borderId="21" xfId="4" applyNumberFormat="1" applyFont="1" applyFill="1" applyBorder="1" applyAlignment="1">
      <alignment vertical="top"/>
    </xf>
    <xf numFmtId="0" fontId="12" fillId="0" borderId="5" xfId="3" applyFont="1" applyBorder="1" applyAlignment="1">
      <alignment vertical="center" wrapText="1"/>
    </xf>
    <xf numFmtId="166" fontId="12" fillId="0" borderId="23" xfId="2" applyNumberFormat="1" applyFont="1" applyBorder="1" applyAlignment="1">
      <alignment vertical="center" wrapText="1"/>
    </xf>
    <xf numFmtId="170" fontId="16" fillId="0" borderId="5" xfId="4" applyNumberFormat="1" applyFont="1" applyBorder="1" applyAlignment="1">
      <alignment horizontal="left" vertical="top"/>
    </xf>
    <xf numFmtId="174" fontId="17" fillId="0" borderId="9" xfId="5" applyNumberFormat="1" applyFont="1" applyBorder="1" applyAlignment="1">
      <alignment horizontal="left" vertical="center" wrapText="1"/>
    </xf>
    <xf numFmtId="172" fontId="13" fillId="13" borderId="21" xfId="4" applyNumberFormat="1" applyFont="1" applyFill="1" applyBorder="1" applyAlignment="1">
      <alignment vertical="center"/>
    </xf>
    <xf numFmtId="172" fontId="13" fillId="13" borderId="22" xfId="4" applyNumberFormat="1" applyFont="1" applyFill="1" applyBorder="1" applyAlignment="1">
      <alignment vertical="center"/>
    </xf>
    <xf numFmtId="170" fontId="13" fillId="0" borderId="5" xfId="4" applyNumberFormat="1" applyFont="1" applyBorder="1" applyAlignment="1">
      <alignment horizontal="left" vertical="center"/>
    </xf>
    <xf numFmtId="0" fontId="12" fillId="0" borderId="25" xfId="3" applyFont="1" applyBorder="1" applyAlignment="1">
      <alignment vertical="center" wrapText="1"/>
    </xf>
    <xf numFmtId="172" fontId="13" fillId="13" borderId="24" xfId="4" applyNumberFormat="1" applyFont="1" applyFill="1" applyBorder="1" applyAlignment="1">
      <alignment vertical="center"/>
    </xf>
    <xf numFmtId="172" fontId="13" fillId="13" borderId="26" xfId="4" applyNumberFormat="1" applyFont="1" applyFill="1" applyBorder="1" applyAlignment="1">
      <alignment vertical="center"/>
    </xf>
    <xf numFmtId="172" fontId="13" fillId="13" borderId="22" xfId="4" applyNumberFormat="1" applyFont="1" applyFill="1" applyBorder="1" applyAlignment="1">
      <alignment vertical="top"/>
    </xf>
    <xf numFmtId="166" fontId="12" fillId="0" borderId="5" xfId="2" applyNumberFormat="1" applyFont="1" applyBorder="1" applyAlignment="1">
      <alignment vertical="center" wrapText="1"/>
    </xf>
    <xf numFmtId="172" fontId="13" fillId="13" borderId="5" xfId="4" applyNumberFormat="1" applyFont="1" applyFill="1" applyBorder="1" applyAlignment="1">
      <alignment vertical="center"/>
    </xf>
    <xf numFmtId="172" fontId="13" fillId="13" borderId="23" xfId="4" applyNumberFormat="1" applyFont="1" applyFill="1" applyBorder="1" applyAlignment="1">
      <alignment vertical="center"/>
    </xf>
    <xf numFmtId="170" fontId="13" fillId="0" borderId="5" xfId="4" applyNumberFormat="1" applyFont="1" applyBorder="1" applyAlignment="1">
      <alignment horizontal="left" vertical="top"/>
    </xf>
    <xf numFmtId="172" fontId="13" fillId="13" borderId="1" xfId="4" applyNumberFormat="1" applyFont="1" applyFill="1" applyAlignment="1">
      <alignment vertical="center"/>
    </xf>
    <xf numFmtId="171" fontId="11" fillId="15" borderId="27" xfId="4" applyNumberFormat="1" applyFont="1" applyFill="1" applyBorder="1" applyAlignment="1">
      <alignment vertical="top" wrapText="1"/>
    </xf>
    <xf numFmtId="171" fontId="13" fillId="15" borderId="21" xfId="4" applyNumberFormat="1" applyFont="1" applyFill="1" applyBorder="1" applyAlignment="1">
      <alignment vertical="top"/>
    </xf>
    <xf numFmtId="167" fontId="13" fillId="15" borderId="28" xfId="4" applyNumberFormat="1" applyFont="1" applyFill="1" applyBorder="1" applyAlignment="1">
      <alignment vertical="top"/>
    </xf>
    <xf numFmtId="0" fontId="13" fillId="8" borderId="28" xfId="4" applyFont="1" applyFill="1" applyBorder="1" applyAlignment="1">
      <alignment horizontal="center" vertical="top" wrapText="1"/>
    </xf>
    <xf numFmtId="170" fontId="11" fillId="8" borderId="29" xfId="4" applyNumberFormat="1" applyFont="1" applyFill="1" applyBorder="1" applyAlignment="1">
      <alignment horizontal="left" vertical="top"/>
    </xf>
    <xf numFmtId="175" fontId="18" fillId="0" borderId="1" xfId="4" applyNumberFormat="1" applyFont="1" applyAlignment="1">
      <alignment vertical="center"/>
    </xf>
    <xf numFmtId="175" fontId="19" fillId="0" borderId="1" xfId="4" applyNumberFormat="1" applyFont="1" applyAlignment="1">
      <alignment vertical="center"/>
    </xf>
    <xf numFmtId="0" fontId="18" fillId="0" borderId="1" xfId="4" applyFont="1" applyAlignment="1">
      <alignment vertical="center"/>
    </xf>
    <xf numFmtId="0" fontId="18" fillId="13" borderId="1" xfId="4" applyFont="1" applyFill="1" applyAlignment="1">
      <alignment vertical="center"/>
    </xf>
    <xf numFmtId="176" fontId="18" fillId="0" borderId="1" xfId="4" applyNumberFormat="1" applyFont="1" applyAlignment="1">
      <alignment vertical="center"/>
    </xf>
    <xf numFmtId="170" fontId="18" fillId="0" borderId="1" xfId="4" applyNumberFormat="1" applyFont="1" applyAlignment="1">
      <alignment vertical="center"/>
    </xf>
    <xf numFmtId="0" fontId="20" fillId="0" borderId="1" xfId="4" applyFont="1" applyAlignment="1">
      <alignment vertical="center"/>
    </xf>
    <xf numFmtId="0" fontId="19" fillId="13" borderId="1" xfId="4" applyFont="1" applyFill="1" applyAlignment="1">
      <alignment horizontal="center" vertical="center"/>
    </xf>
    <xf numFmtId="0" fontId="19" fillId="17" borderId="21" xfId="4" applyFont="1" applyFill="1" applyBorder="1" applyAlignment="1">
      <alignment vertical="center"/>
    </xf>
    <xf numFmtId="0" fontId="19" fillId="0" borderId="1" xfId="4" applyFont="1" applyAlignment="1">
      <alignment vertical="center"/>
    </xf>
    <xf numFmtId="0" fontId="19" fillId="13" borderId="30" xfId="4" applyFont="1" applyFill="1" applyBorder="1" applyAlignment="1">
      <alignment horizontal="center" vertical="center"/>
    </xf>
    <xf numFmtId="0" fontId="19" fillId="13" borderId="31" xfId="4" applyFont="1" applyFill="1" applyBorder="1" applyAlignment="1">
      <alignment horizontal="center" vertical="center"/>
    </xf>
    <xf numFmtId="0" fontId="19" fillId="13" borderId="1" xfId="4" applyFont="1" applyFill="1" applyAlignment="1">
      <alignment vertical="center"/>
    </xf>
    <xf numFmtId="0" fontId="19" fillId="13" borderId="30" xfId="4" applyFont="1" applyFill="1" applyBorder="1" applyAlignment="1">
      <alignment horizontal="left" vertical="center"/>
    </xf>
    <xf numFmtId="177" fontId="19" fillId="13" borderId="21" xfId="4" applyNumberFormat="1" applyFont="1" applyFill="1" applyBorder="1" applyAlignment="1">
      <alignment horizontal="center" vertical="center"/>
    </xf>
    <xf numFmtId="0" fontId="19" fillId="13" borderId="21" xfId="4" applyFont="1" applyFill="1" applyBorder="1" applyAlignment="1">
      <alignment horizontal="center" vertical="center"/>
    </xf>
    <xf numFmtId="43" fontId="19" fillId="13" borderId="21" xfId="7" applyFont="1" applyFill="1" applyBorder="1" applyAlignment="1">
      <alignment horizontal="center" vertical="center"/>
    </xf>
    <xf numFmtId="0" fontId="19" fillId="0" borderId="32" xfId="4" applyFont="1" applyBorder="1" applyAlignment="1">
      <alignment horizontal="center" vertical="center"/>
    </xf>
    <xf numFmtId="0" fontId="19" fillId="0" borderId="33" xfId="4" applyFont="1" applyBorder="1" applyAlignment="1">
      <alignment horizontal="center" vertical="center"/>
    </xf>
    <xf numFmtId="0" fontId="19" fillId="0" borderId="34" xfId="4" applyFont="1" applyBorder="1" applyAlignment="1">
      <alignment horizontal="center" vertical="center"/>
    </xf>
    <xf numFmtId="0" fontId="19" fillId="13" borderId="35" xfId="4" applyFont="1" applyFill="1" applyBorder="1" applyAlignment="1">
      <alignment horizontal="center" vertical="center"/>
    </xf>
    <xf numFmtId="0" fontId="19" fillId="0" borderId="36" xfId="4" applyFont="1" applyBorder="1" applyAlignment="1">
      <alignment horizontal="center" vertical="center"/>
    </xf>
    <xf numFmtId="40" fontId="19" fillId="0" borderId="33" xfId="4" applyNumberFormat="1" applyFont="1" applyBorder="1" applyAlignment="1">
      <alignment horizontal="center" vertical="center"/>
    </xf>
    <xf numFmtId="0" fontId="19" fillId="0" borderId="37" xfId="4" applyFont="1" applyBorder="1" applyAlignment="1">
      <alignment horizontal="center" vertical="center"/>
    </xf>
    <xf numFmtId="175" fontId="18" fillId="12" borderId="21" xfId="4" applyNumberFormat="1" applyFont="1" applyFill="1" applyBorder="1" applyAlignment="1">
      <alignment horizontal="center" vertical="center"/>
    </xf>
    <xf numFmtId="0" fontId="18" fillId="12" borderId="21" xfId="4" applyFont="1" applyFill="1" applyBorder="1" applyAlignment="1">
      <alignment horizontal="center" vertical="center"/>
    </xf>
    <xf numFmtId="0" fontId="18" fillId="13" borderId="1" xfId="4" applyFont="1" applyFill="1" applyAlignment="1">
      <alignment horizontal="center" vertical="center"/>
    </xf>
    <xf numFmtId="175" fontId="18" fillId="17" borderId="21" xfId="4" applyNumberFormat="1" applyFont="1" applyFill="1" applyBorder="1" applyAlignment="1">
      <alignment horizontal="center" vertical="center"/>
    </xf>
    <xf numFmtId="0" fontId="18" fillId="17" borderId="21" xfId="4" applyFont="1" applyFill="1" applyBorder="1" applyAlignment="1">
      <alignment horizontal="center" vertical="center"/>
    </xf>
    <xf numFmtId="175" fontId="19" fillId="12" borderId="38" xfId="4" applyNumberFormat="1" applyFont="1" applyFill="1" applyBorder="1" applyAlignment="1">
      <alignment horizontal="center" vertical="center"/>
    </xf>
    <xf numFmtId="0" fontId="19" fillId="12" borderId="38" xfId="4" applyFont="1" applyFill="1" applyBorder="1" applyAlignment="1">
      <alignment horizontal="center" vertical="center"/>
    </xf>
    <xf numFmtId="0" fontId="18" fillId="12" borderId="39" xfId="4" applyFont="1" applyFill="1" applyBorder="1" applyAlignment="1">
      <alignment horizontal="left" vertical="center" wrapText="1"/>
    </xf>
    <xf numFmtId="178" fontId="18" fillId="12" borderId="38" xfId="4" applyNumberFormat="1" applyFont="1" applyFill="1" applyBorder="1" applyAlignment="1">
      <alignment vertical="center"/>
    </xf>
    <xf numFmtId="176" fontId="18" fillId="17" borderId="38" xfId="4" applyNumberFormat="1" applyFont="1" applyFill="1" applyBorder="1" applyAlignment="1">
      <alignment horizontal="center" vertical="center"/>
    </xf>
    <xf numFmtId="175" fontId="18" fillId="17" borderId="39" xfId="4" applyNumberFormat="1" applyFont="1" applyFill="1" applyBorder="1" applyAlignment="1">
      <alignment horizontal="center" vertical="center"/>
    </xf>
    <xf numFmtId="0" fontId="18" fillId="17" borderId="38" xfId="4" applyFont="1" applyFill="1" applyBorder="1" applyAlignment="1">
      <alignment horizontal="left" vertical="center"/>
    </xf>
    <xf numFmtId="178" fontId="18" fillId="17" borderId="38" xfId="4" applyNumberFormat="1" applyFont="1" applyFill="1" applyBorder="1" applyAlignment="1">
      <alignment horizontal="center" vertical="center"/>
    </xf>
    <xf numFmtId="0" fontId="18" fillId="17" borderId="39" xfId="4" applyFont="1" applyFill="1" applyBorder="1" applyAlignment="1">
      <alignment horizontal="center" vertical="center"/>
    </xf>
    <xf numFmtId="0" fontId="18" fillId="12" borderId="38" xfId="4" applyFont="1" applyFill="1" applyBorder="1" applyAlignment="1">
      <alignment horizontal="center" vertical="center"/>
    </xf>
    <xf numFmtId="0" fontId="18" fillId="12" borderId="38" xfId="4" applyFont="1" applyFill="1" applyBorder="1" applyAlignment="1">
      <alignment horizontal="left" vertical="center" wrapText="1"/>
    </xf>
    <xf numFmtId="4" fontId="19" fillId="13" borderId="1" xfId="4" applyNumberFormat="1" applyFont="1" applyFill="1" applyAlignment="1">
      <alignment horizontal="center" vertical="center"/>
    </xf>
    <xf numFmtId="0" fontId="18" fillId="17" borderId="38" xfId="4" applyFont="1" applyFill="1" applyBorder="1" applyAlignment="1">
      <alignment horizontal="center" vertical="center"/>
    </xf>
    <xf numFmtId="0" fontId="18" fillId="17" borderId="38" xfId="4" applyFont="1" applyFill="1" applyBorder="1" applyAlignment="1">
      <alignment vertical="center" wrapText="1"/>
    </xf>
    <xf numFmtId="170" fontId="19" fillId="17" borderId="38" xfId="4" applyNumberFormat="1" applyFont="1" applyFill="1" applyBorder="1" applyAlignment="1">
      <alignment horizontal="center" vertical="center"/>
    </xf>
    <xf numFmtId="0" fontId="19" fillId="17" borderId="38" xfId="4" applyFont="1" applyFill="1" applyBorder="1" applyAlignment="1">
      <alignment horizontal="center" vertical="center"/>
    </xf>
    <xf numFmtId="0" fontId="18" fillId="17" borderId="38" xfId="4" applyFont="1" applyFill="1" applyBorder="1" applyAlignment="1">
      <alignment vertical="center"/>
    </xf>
    <xf numFmtId="0" fontId="19" fillId="12" borderId="38" xfId="4" applyFont="1" applyFill="1" applyBorder="1" applyAlignment="1">
      <alignment horizontal="left" vertical="center"/>
    </xf>
    <xf numFmtId="178" fontId="19" fillId="12" borderId="38" xfId="4" applyNumberFormat="1" applyFont="1" applyFill="1" applyBorder="1" applyAlignment="1">
      <alignment vertical="center"/>
    </xf>
    <xf numFmtId="178" fontId="18" fillId="17" borderId="38" xfId="4" applyNumberFormat="1" applyFont="1" applyFill="1" applyBorder="1" applyAlignment="1">
      <alignment vertical="center"/>
    </xf>
    <xf numFmtId="175" fontId="18" fillId="12" borderId="38" xfId="4" applyNumberFormat="1" applyFont="1" applyFill="1" applyBorder="1" applyAlignment="1">
      <alignment horizontal="center" vertical="center"/>
    </xf>
    <xf numFmtId="170" fontId="18" fillId="17" borderId="38" xfId="4" applyNumberFormat="1" applyFont="1" applyFill="1" applyBorder="1" applyAlignment="1">
      <alignment horizontal="center" vertical="center"/>
    </xf>
    <xf numFmtId="0" fontId="18" fillId="0" borderId="1" xfId="4" applyFont="1" applyAlignment="1">
      <alignment horizontal="center" vertical="center"/>
    </xf>
    <xf numFmtId="175" fontId="18" fillId="12" borderId="38" xfId="4" applyNumberFormat="1" applyFont="1" applyFill="1" applyBorder="1" applyAlignment="1">
      <alignment vertical="center"/>
    </xf>
    <xf numFmtId="4" fontId="18" fillId="13" borderId="1" xfId="4" applyNumberFormat="1" applyFont="1" applyFill="1" applyAlignment="1">
      <alignment vertical="center"/>
    </xf>
    <xf numFmtId="176" fontId="18" fillId="17" borderId="38" xfId="4" applyNumberFormat="1" applyFont="1" applyFill="1" applyBorder="1" applyAlignment="1">
      <alignment vertical="center"/>
    </xf>
    <xf numFmtId="170" fontId="18" fillId="17" borderId="38" xfId="4" applyNumberFormat="1" applyFont="1" applyFill="1" applyBorder="1" applyAlignment="1">
      <alignment vertical="center"/>
    </xf>
    <xf numFmtId="170" fontId="18" fillId="17" borderId="40" xfId="4" applyNumberFormat="1" applyFont="1" applyFill="1" applyBorder="1" applyAlignment="1">
      <alignment vertical="center"/>
    </xf>
    <xf numFmtId="0" fontId="18" fillId="18" borderId="1" xfId="4" applyFont="1" applyFill="1" applyAlignment="1">
      <alignment vertical="center"/>
    </xf>
    <xf numFmtId="4" fontId="19" fillId="18" borderId="1" xfId="4" applyNumberFormat="1" applyFont="1" applyFill="1" applyAlignment="1">
      <alignment vertical="center"/>
    </xf>
    <xf numFmtId="176" fontId="18" fillId="18" borderId="1" xfId="4" applyNumberFormat="1" applyFont="1" applyFill="1" applyAlignment="1">
      <alignment vertical="center"/>
    </xf>
    <xf numFmtId="170" fontId="18" fillId="18" borderId="1" xfId="4" applyNumberFormat="1" applyFont="1" applyFill="1" applyAlignment="1">
      <alignment vertical="center"/>
    </xf>
    <xf numFmtId="4" fontId="18" fillId="0" borderId="1" xfId="4" applyNumberFormat="1" applyFont="1" applyAlignment="1">
      <alignment vertical="center"/>
    </xf>
    <xf numFmtId="0" fontId="18" fillId="19" borderId="1" xfId="4" applyFont="1" applyFill="1" applyAlignment="1">
      <alignment vertical="center"/>
    </xf>
    <xf numFmtId="179" fontId="18" fillId="13" borderId="1" xfId="4" applyNumberFormat="1" applyFont="1" applyFill="1" applyAlignment="1">
      <alignment vertical="center"/>
    </xf>
    <xf numFmtId="175" fontId="19" fillId="0" borderId="1" xfId="4" applyNumberFormat="1" applyFont="1" applyAlignment="1">
      <alignment horizontal="center" vertical="center"/>
    </xf>
    <xf numFmtId="0" fontId="19" fillId="0" borderId="1" xfId="4" applyFont="1" applyAlignment="1">
      <alignment horizontal="center" vertical="center"/>
    </xf>
    <xf numFmtId="176" fontId="19" fillId="0" borderId="1" xfId="4" applyNumberFormat="1" applyFont="1" applyAlignment="1">
      <alignment horizontal="center" vertical="center"/>
    </xf>
    <xf numFmtId="180" fontId="24" fillId="0" borderId="1" xfId="8" applyNumberFormat="1" applyFont="1"/>
    <xf numFmtId="0" fontId="24" fillId="0" borderId="1" xfId="8" applyFont="1"/>
    <xf numFmtId="0" fontId="24" fillId="0" borderId="1" xfId="8" applyFont="1" applyAlignment="1">
      <alignment horizontal="left"/>
    </xf>
    <xf numFmtId="170" fontId="24" fillId="0" borderId="1" xfId="9" applyFont="1"/>
    <xf numFmtId="0" fontId="24" fillId="0" borderId="1" xfId="8" applyFont="1" applyAlignment="1">
      <alignment vertical="center"/>
    </xf>
    <xf numFmtId="0" fontId="24" fillId="20" borderId="1" xfId="8" applyFont="1" applyFill="1"/>
    <xf numFmtId="180" fontId="24" fillId="0" borderId="1" xfId="8" applyNumberFormat="1" applyFont="1" applyAlignment="1">
      <alignment horizontal="center"/>
    </xf>
    <xf numFmtId="0" fontId="24" fillId="0" borderId="1" xfId="8" applyFont="1" applyAlignment="1">
      <alignment horizontal="center"/>
    </xf>
    <xf numFmtId="0" fontId="24" fillId="20" borderId="1" xfId="8" applyFont="1" applyFill="1" applyAlignment="1">
      <alignment horizontal="center"/>
    </xf>
    <xf numFmtId="170" fontId="24" fillId="0" borderId="1" xfId="9" applyFont="1" applyAlignment="1">
      <alignment horizontal="center"/>
    </xf>
    <xf numFmtId="0" fontId="24" fillId="21" borderId="1" xfId="8" applyFont="1" applyFill="1" applyAlignment="1">
      <alignment horizontal="center" vertical="center"/>
    </xf>
    <xf numFmtId="0" fontId="24" fillId="21" borderId="1" xfId="8" applyFont="1" applyFill="1" applyAlignment="1">
      <alignment horizontal="center"/>
    </xf>
    <xf numFmtId="180" fontId="24" fillId="14" borderId="5" xfId="8" applyNumberFormat="1" applyFont="1" applyFill="1" applyBorder="1" applyAlignment="1">
      <alignment vertical="top" wrapText="1"/>
    </xf>
    <xf numFmtId="0" fontId="24" fillId="14" borderId="5" xfId="8" applyFont="1" applyFill="1" applyBorder="1" applyAlignment="1">
      <alignment vertical="top" wrapText="1"/>
    </xf>
    <xf numFmtId="0" fontId="24" fillId="14" borderId="5" xfId="8" applyFont="1" applyFill="1" applyBorder="1" applyAlignment="1">
      <alignment horizontal="left" vertical="top" wrapText="1"/>
    </xf>
    <xf numFmtId="170" fontId="24" fillId="14" borderId="5" xfId="9" applyFont="1" applyFill="1" applyBorder="1" applyAlignment="1">
      <alignment vertical="top" wrapText="1"/>
    </xf>
    <xf numFmtId="0" fontId="24" fillId="14" borderId="5" xfId="8" applyFont="1" applyFill="1" applyBorder="1" applyAlignment="1">
      <alignment vertical="center" wrapText="1"/>
    </xf>
    <xf numFmtId="0" fontId="24" fillId="20" borderId="1" xfId="8" applyFont="1" applyFill="1" applyAlignment="1">
      <alignment vertical="top" wrapText="1"/>
    </xf>
    <xf numFmtId="0" fontId="24" fillId="0" borderId="1" xfId="8" applyFont="1" applyAlignment="1">
      <alignment vertical="top" wrapText="1"/>
    </xf>
    <xf numFmtId="180" fontId="24" fillId="20" borderId="5" xfId="8" applyNumberFormat="1" applyFont="1" applyFill="1" applyBorder="1" applyAlignment="1">
      <alignment vertical="top" wrapText="1"/>
    </xf>
    <xf numFmtId="0" fontId="24" fillId="20" borderId="5" xfId="8" applyFont="1" applyFill="1" applyBorder="1" applyAlignment="1">
      <alignment vertical="top" wrapText="1"/>
    </xf>
    <xf numFmtId="0" fontId="24" fillId="20" borderId="5" xfId="8" applyFont="1" applyFill="1" applyBorder="1" applyAlignment="1">
      <alignment horizontal="left" vertical="top" wrapText="1"/>
    </xf>
    <xf numFmtId="170" fontId="24" fillId="20" borderId="5" xfId="9" applyFont="1" applyFill="1" applyBorder="1" applyAlignment="1">
      <alignment vertical="top" wrapText="1"/>
    </xf>
    <xf numFmtId="170" fontId="24" fillId="20" borderId="5" xfId="9" applyFont="1" applyFill="1" applyBorder="1" applyAlignment="1">
      <alignment vertical="center" wrapText="1"/>
    </xf>
    <xf numFmtId="0" fontId="24" fillId="20" borderId="5" xfId="8" applyFont="1" applyFill="1" applyBorder="1" applyAlignment="1">
      <alignment vertical="center" wrapText="1"/>
    </xf>
    <xf numFmtId="0" fontId="24" fillId="20" borderId="5" xfId="8" applyFont="1" applyFill="1" applyBorder="1" applyAlignment="1">
      <alignment vertical="top"/>
    </xf>
    <xf numFmtId="0" fontId="24" fillId="20" borderId="5" xfId="8" applyFont="1" applyFill="1" applyBorder="1" applyAlignment="1">
      <alignment horizontal="left" vertical="top"/>
    </xf>
    <xf numFmtId="0" fontId="24" fillId="20" borderId="5" xfId="8" applyFont="1" applyFill="1" applyBorder="1"/>
    <xf numFmtId="170" fontId="25" fillId="20" borderId="5" xfId="9" applyFont="1" applyFill="1" applyBorder="1" applyAlignment="1">
      <alignment vertical="top"/>
    </xf>
    <xf numFmtId="170" fontId="24" fillId="20" borderId="5" xfId="9" applyFont="1" applyFill="1" applyBorder="1" applyAlignment="1">
      <alignment vertical="center"/>
    </xf>
    <xf numFmtId="0" fontId="25" fillId="20" borderId="5" xfId="8" applyFont="1" applyFill="1" applyBorder="1" applyAlignment="1">
      <alignment vertical="top"/>
    </xf>
    <xf numFmtId="0" fontId="24" fillId="21" borderId="1" xfId="8" applyFont="1" applyFill="1" applyAlignment="1">
      <alignment vertical="top" wrapText="1"/>
    </xf>
    <xf numFmtId="170" fontId="24" fillId="21" borderId="5" xfId="9" applyFont="1" applyFill="1" applyBorder="1" applyAlignment="1">
      <alignment vertical="center" wrapText="1"/>
    </xf>
    <xf numFmtId="170" fontId="25" fillId="20" borderId="5" xfId="9" applyFont="1" applyFill="1" applyBorder="1" applyAlignment="1">
      <alignment vertical="center" wrapText="1"/>
    </xf>
    <xf numFmtId="0" fontId="25" fillId="20" borderId="5" xfId="8" applyFont="1" applyFill="1" applyBorder="1" applyAlignment="1">
      <alignment vertical="center" wrapText="1"/>
    </xf>
    <xf numFmtId="180" fontId="24" fillId="20" borderId="5" xfId="8" applyNumberFormat="1" applyFont="1" applyFill="1" applyBorder="1" applyAlignment="1">
      <alignment vertical="center" wrapText="1"/>
    </xf>
    <xf numFmtId="0" fontId="24" fillId="20" borderId="5" xfId="8" applyFont="1" applyFill="1" applyBorder="1" applyAlignment="1">
      <alignment horizontal="left" vertical="center" wrapText="1"/>
    </xf>
    <xf numFmtId="180" fontId="24" fillId="22" borderId="5" xfId="8" applyNumberFormat="1" applyFont="1" applyFill="1" applyBorder="1" applyAlignment="1">
      <alignment vertical="top" wrapText="1"/>
    </xf>
    <xf numFmtId="0" fontId="25" fillId="22" borderId="5" xfId="8" applyFont="1" applyFill="1" applyBorder="1" applyAlignment="1">
      <alignment vertical="top" wrapText="1"/>
    </xf>
    <xf numFmtId="0" fontId="25" fillId="22" borderId="5" xfId="8" applyFont="1" applyFill="1" applyBorder="1" applyAlignment="1">
      <alignment horizontal="left" vertical="top" wrapText="1"/>
    </xf>
    <xf numFmtId="170" fontId="25" fillId="22" borderId="5" xfId="9" applyFont="1" applyFill="1" applyBorder="1" applyAlignment="1">
      <alignment vertical="top" wrapText="1"/>
    </xf>
    <xf numFmtId="170" fontId="25" fillId="22" borderId="5" xfId="9" applyFont="1" applyFill="1" applyBorder="1" applyAlignment="1">
      <alignment vertical="center" wrapText="1"/>
    </xf>
    <xf numFmtId="0" fontId="25" fillId="22" borderId="5" xfId="8" applyFont="1" applyFill="1" applyBorder="1" applyAlignment="1">
      <alignment vertical="center" wrapText="1"/>
    </xf>
    <xf numFmtId="0" fontId="25" fillId="22" borderId="5" xfId="8" applyFont="1" applyFill="1" applyBorder="1"/>
    <xf numFmtId="0" fontId="26" fillId="20" borderId="1" xfId="8" applyFont="1" applyFill="1"/>
    <xf numFmtId="0" fontId="26" fillId="0" borderId="1" xfId="8" applyFont="1"/>
    <xf numFmtId="170" fontId="24" fillId="23" borderId="5" xfId="9" applyFont="1" applyFill="1" applyBorder="1" applyAlignment="1">
      <alignment vertical="center" wrapText="1"/>
    </xf>
    <xf numFmtId="0" fontId="24" fillId="20" borderId="5" xfId="8" applyFont="1" applyFill="1" applyBorder="1" applyAlignment="1">
      <alignment vertical="center"/>
    </xf>
    <xf numFmtId="14" fontId="24" fillId="20" borderId="5" xfId="8" applyNumberFormat="1" applyFont="1" applyFill="1" applyBorder="1" applyAlignment="1">
      <alignment vertical="center" wrapText="1"/>
    </xf>
    <xf numFmtId="170" fontId="25" fillId="20" borderId="5" xfId="9" applyFont="1" applyFill="1" applyBorder="1" applyAlignment="1">
      <alignment vertical="center"/>
    </xf>
    <xf numFmtId="0" fontId="27" fillId="20" borderId="1" xfId="8" applyFont="1" applyFill="1"/>
    <xf numFmtId="0" fontId="27" fillId="0" borderId="1" xfId="8" applyFont="1"/>
    <xf numFmtId="170" fontId="24" fillId="20" borderId="5" xfId="9" applyFont="1" applyFill="1" applyBorder="1"/>
    <xf numFmtId="170" fontId="24" fillId="21" borderId="5" xfId="9" applyFont="1" applyFill="1" applyBorder="1" applyAlignment="1">
      <alignment vertical="center"/>
    </xf>
    <xf numFmtId="14" fontId="24" fillId="20" borderId="5" xfId="8" applyNumberFormat="1" applyFont="1" applyFill="1" applyBorder="1" applyAlignment="1">
      <alignment vertical="top" wrapText="1"/>
    </xf>
    <xf numFmtId="170" fontId="24" fillId="23" borderId="5" xfId="9" applyFont="1" applyFill="1" applyBorder="1"/>
    <xf numFmtId="0" fontId="24" fillId="20" borderId="5" xfId="8" applyFont="1" applyFill="1" applyBorder="1" applyAlignment="1">
      <alignment wrapText="1"/>
    </xf>
    <xf numFmtId="170" fontId="26" fillId="20" borderId="1" xfId="8" applyNumberFormat="1" applyFont="1" applyFill="1"/>
    <xf numFmtId="0" fontId="24" fillId="20" borderId="5" xfId="8" applyFont="1" applyFill="1" applyBorder="1" applyAlignment="1">
      <alignment horizontal="left" vertical="center"/>
    </xf>
    <xf numFmtId="0" fontId="24" fillId="20" borderId="5" xfId="8" applyFont="1" applyFill="1" applyBorder="1" applyAlignment="1">
      <alignment horizontal="left"/>
    </xf>
    <xf numFmtId="180" fontId="24" fillId="20" borderId="5" xfId="8" applyNumberFormat="1" applyFont="1" applyFill="1" applyBorder="1"/>
    <xf numFmtId="0" fontId="26" fillId="21" borderId="1" xfId="8" applyFont="1" applyFill="1"/>
    <xf numFmtId="180" fontId="24" fillId="20" borderId="5" xfId="8" applyNumberFormat="1" applyFont="1" applyFill="1" applyBorder="1" applyAlignment="1">
      <alignment vertical="center"/>
    </xf>
    <xf numFmtId="0" fontId="24" fillId="20" borderId="1" xfId="8" applyFont="1" applyFill="1" applyAlignment="1">
      <alignment vertical="center"/>
    </xf>
    <xf numFmtId="180" fontId="25" fillId="20" borderId="5" xfId="8" applyNumberFormat="1" applyFont="1" applyFill="1" applyBorder="1" applyAlignment="1">
      <alignment vertical="center"/>
    </xf>
    <xf numFmtId="0" fontId="25" fillId="20" borderId="5" xfId="8" applyFont="1" applyFill="1" applyBorder="1" applyAlignment="1">
      <alignment vertical="center"/>
    </xf>
    <xf numFmtId="0" fontId="25" fillId="20" borderId="5" xfId="8" quotePrefix="1" applyFont="1" applyFill="1" applyBorder="1" applyAlignment="1">
      <alignment horizontal="left" vertical="center"/>
    </xf>
    <xf numFmtId="170" fontId="25" fillId="21" borderId="5" xfId="9" applyFont="1" applyFill="1" applyBorder="1"/>
    <xf numFmtId="165" fontId="24" fillId="0" borderId="1" xfId="8" applyNumberFormat="1" applyFont="1"/>
    <xf numFmtId="1" fontId="19" fillId="0" borderId="1" xfId="4" applyNumberFormat="1" applyFont="1" applyAlignment="1">
      <alignment horizontal="center" vertical="center"/>
    </xf>
    <xf numFmtId="0" fontId="30" fillId="0" borderId="1" xfId="10"/>
    <xf numFmtId="0" fontId="30" fillId="0" borderId="1" xfId="10"/>
    <xf numFmtId="0" fontId="35" fillId="26" borderId="2" xfId="10" applyFont="1" applyFill="1" applyBorder="1" applyAlignment="1">
      <alignment vertical="center" wrapText="1"/>
    </xf>
    <xf numFmtId="0" fontId="36" fillId="26" borderId="2" xfId="10" applyFont="1" applyFill="1" applyBorder="1" applyAlignment="1">
      <alignment vertical="center" wrapText="1"/>
    </xf>
    <xf numFmtId="0" fontId="36" fillId="26" borderId="42" xfId="10" applyFont="1" applyFill="1" applyBorder="1" applyAlignment="1">
      <alignment vertical="center" wrapText="1"/>
    </xf>
    <xf numFmtId="0" fontId="36" fillId="26" borderId="43" xfId="10" applyFont="1" applyFill="1" applyBorder="1" applyAlignment="1">
      <alignment vertical="center" wrapText="1"/>
    </xf>
    <xf numFmtId="0" fontId="37" fillId="0" borderId="5" xfId="10" applyFont="1" applyBorder="1" applyAlignment="1">
      <alignment vertical="center" wrapText="1"/>
    </xf>
    <xf numFmtId="0" fontId="38" fillId="0" borderId="1" xfId="11"/>
    <xf numFmtId="0" fontId="39" fillId="0" borderId="2" xfId="10" applyFont="1" applyBorder="1" applyAlignment="1">
      <alignment vertical="center" wrapText="1"/>
    </xf>
    <xf numFmtId="0" fontId="40" fillId="0" borderId="44" xfId="10" applyFont="1" applyBorder="1" applyAlignment="1">
      <alignment horizontal="center" vertical="center" wrapText="1"/>
    </xf>
    <xf numFmtId="0" fontId="30" fillId="0" borderId="5" xfId="10" applyBorder="1" applyAlignment="1">
      <alignment horizontal="left" vertical="center" wrapText="1"/>
    </xf>
    <xf numFmtId="0" fontId="30" fillId="0" borderId="5" xfId="10" applyBorder="1" applyAlignment="1">
      <alignment vertical="top" wrapText="1"/>
    </xf>
    <xf numFmtId="0" fontId="39" fillId="0" borderId="2" xfId="10" applyFont="1" applyBorder="1" applyAlignment="1">
      <alignment vertical="top" wrapText="1"/>
    </xf>
    <xf numFmtId="0" fontId="40" fillId="0" borderId="5" xfId="10" applyFont="1" applyBorder="1" applyAlignment="1">
      <alignment horizontal="left" vertical="center" wrapText="1"/>
    </xf>
    <xf numFmtId="0" fontId="30" fillId="0" borderId="45" xfId="10" applyBorder="1"/>
    <xf numFmtId="0" fontId="30" fillId="0" borderId="46" xfId="10" applyBorder="1"/>
    <xf numFmtId="0" fontId="30" fillId="0" borderId="47" xfId="10" applyBorder="1"/>
    <xf numFmtId="0" fontId="30" fillId="0" borderId="48" xfId="10" applyBorder="1"/>
    <xf numFmtId="0" fontId="30" fillId="0" borderId="1" xfId="10"/>
    <xf numFmtId="0" fontId="7" fillId="0" borderId="1" xfId="1" applyBorder="1" applyAlignment="1">
      <alignment vertical="center" wrapText="1"/>
    </xf>
    <xf numFmtId="0" fontId="30" fillId="27" borderId="5" xfId="10" applyFill="1" applyBorder="1" applyAlignment="1">
      <alignment vertical="top" wrapText="1"/>
    </xf>
    <xf numFmtId="3" fontId="7" fillId="27" borderId="2" xfId="1" applyNumberFormat="1" applyFill="1" applyBorder="1" applyAlignment="1">
      <alignment vertical="center" wrapText="1"/>
    </xf>
    <xf numFmtId="0" fontId="7" fillId="27" borderId="2" xfId="1" applyFill="1" applyBorder="1" applyAlignment="1">
      <alignment vertical="center" wrapText="1"/>
    </xf>
    <xf numFmtId="0" fontId="7" fillId="28" borderId="2" xfId="1" applyFill="1" applyBorder="1" applyAlignment="1">
      <alignment vertical="center" wrapText="1"/>
    </xf>
    <xf numFmtId="0" fontId="2" fillId="20" borderId="2" xfId="1" applyFont="1" applyFill="1" applyBorder="1" applyAlignment="1">
      <alignment vertical="center" wrapText="1"/>
    </xf>
    <xf numFmtId="0" fontId="4" fillId="20" borderId="2" xfId="1" applyFont="1" applyFill="1" applyBorder="1" applyAlignment="1">
      <alignment vertical="center" wrapText="1"/>
    </xf>
    <xf numFmtId="0" fontId="7" fillId="29" borderId="2" xfId="1" applyFill="1" applyBorder="1" applyAlignment="1">
      <alignment vertical="center" wrapText="1"/>
    </xf>
    <xf numFmtId="41" fontId="4" fillId="29" borderId="2" xfId="12" applyFont="1" applyFill="1" applyBorder="1" applyAlignment="1">
      <alignment vertical="center" wrapText="1"/>
    </xf>
    <xf numFmtId="0" fontId="7" fillId="20" borderId="2" xfId="1" applyFill="1" applyBorder="1" applyAlignment="1">
      <alignment vertical="center" wrapText="1"/>
    </xf>
    <xf numFmtId="0" fontId="0" fillId="20" borderId="0" xfId="0" applyFill="1"/>
    <xf numFmtId="0" fontId="7" fillId="0" borderId="2" xfId="1" applyBorder="1" applyAlignment="1">
      <alignment horizontal="center" vertical="center" wrapText="1"/>
    </xf>
    <xf numFmtId="0" fontId="7" fillId="0" borderId="49" xfId="1" applyBorder="1" applyAlignment="1">
      <alignment vertical="center" wrapText="1"/>
    </xf>
    <xf numFmtId="0" fontId="7" fillId="0" borderId="50" xfId="1" applyBorder="1" applyAlignment="1">
      <alignment vertical="center" wrapText="1"/>
    </xf>
    <xf numFmtId="0" fontId="2" fillId="4" borderId="42" xfId="1" applyFont="1" applyFill="1" applyBorder="1" applyAlignment="1">
      <alignment vertical="center" wrapText="1"/>
    </xf>
    <xf numFmtId="0" fontId="7" fillId="0" borderId="51" xfId="1" applyBorder="1" applyAlignment="1">
      <alignment vertical="center" wrapText="1"/>
    </xf>
    <xf numFmtId="0" fontId="0" fillId="0" borderId="5" xfId="0" applyBorder="1"/>
    <xf numFmtId="0" fontId="7" fillId="0" borderId="42" xfId="1" applyBorder="1" applyAlignment="1">
      <alignment vertical="center" wrapText="1"/>
    </xf>
    <xf numFmtId="3" fontId="7" fillId="30" borderId="2" xfId="1" applyNumberFormat="1" applyFill="1" applyBorder="1" applyAlignment="1">
      <alignment vertical="center" wrapText="1"/>
    </xf>
    <xf numFmtId="0" fontId="0" fillId="30" borderId="0" xfId="0" applyFill="1"/>
    <xf numFmtId="0" fontId="7" fillId="30" borderId="1" xfId="1" applyFill="1"/>
    <xf numFmtId="3" fontId="4" fillId="30" borderId="1" xfId="1" applyNumberFormat="1" applyFont="1" applyFill="1"/>
    <xf numFmtId="0" fontId="43" fillId="30" borderId="52" xfId="1" applyFont="1" applyFill="1" applyBorder="1" applyAlignment="1">
      <alignment vertical="center" wrapText="1"/>
    </xf>
    <xf numFmtId="0" fontId="43" fillId="30" borderId="50" xfId="1" applyFont="1" applyFill="1" applyBorder="1" applyAlignment="1">
      <alignment vertical="center" wrapText="1"/>
    </xf>
    <xf numFmtId="3" fontId="7" fillId="30" borderId="2" xfId="1" applyNumberFormat="1" applyFont="1" applyFill="1" applyBorder="1" applyAlignment="1">
      <alignment vertical="center" wrapText="1"/>
    </xf>
    <xf numFmtId="0" fontId="7" fillId="30" borderId="50" xfId="1" applyFill="1" applyBorder="1" applyAlignment="1">
      <alignment vertical="center" wrapText="1"/>
    </xf>
    <xf numFmtId="0" fontId="4" fillId="30" borderId="1" xfId="0" applyFont="1" applyFill="1" applyBorder="1"/>
    <xf numFmtId="0" fontId="33" fillId="25" borderId="41" xfId="10" applyFont="1" applyFill="1" applyBorder="1" applyAlignment="1">
      <alignment horizontal="center" vertical="center" wrapText="1"/>
    </xf>
    <xf numFmtId="0" fontId="30" fillId="0" borderId="1" xfId="10"/>
    <xf numFmtId="0" fontId="31" fillId="24" borderId="1" xfId="10" applyFont="1" applyFill="1" applyAlignment="1">
      <alignment horizontal="center" vertical="center"/>
    </xf>
    <xf numFmtId="0" fontId="32" fillId="4" borderId="1" xfId="10" applyFont="1" applyFill="1" applyAlignment="1">
      <alignment horizontal="center"/>
    </xf>
    <xf numFmtId="0" fontId="34" fillId="0" borderId="1" xfId="10" applyFont="1" applyAlignment="1">
      <alignment horizontal="center" vertical="center" wrapText="1"/>
    </xf>
    <xf numFmtId="0" fontId="9" fillId="4" borderId="1" xfId="1" applyFont="1" applyFill="1" applyAlignment="1">
      <alignment vertical="center" wrapText="1"/>
    </xf>
    <xf numFmtId="0" fontId="7" fillId="0" borderId="1" xfId="1" applyAlignment="1">
      <alignment vertical="center" wrapText="1"/>
    </xf>
    <xf numFmtId="0" fontId="7" fillId="7" borderId="1" xfId="1" applyFill="1" applyAlignment="1">
      <alignment vertical="center" wrapText="1"/>
    </xf>
    <xf numFmtId="0" fontId="4" fillId="30" borderId="49" xfId="1" applyFont="1" applyFill="1" applyBorder="1" applyAlignment="1">
      <alignment horizontal="left" vertical="center" wrapText="1"/>
    </xf>
    <xf numFmtId="0" fontId="4" fillId="30" borderId="52" xfId="1" applyFont="1" applyFill="1" applyBorder="1" applyAlignment="1">
      <alignment horizontal="left" vertical="center" wrapText="1"/>
    </xf>
    <xf numFmtId="40" fontId="19" fillId="19" borderId="1" xfId="4" applyNumberFormat="1" applyFont="1" applyFill="1" applyAlignment="1">
      <alignment horizontal="center" vertical="center"/>
    </xf>
    <xf numFmtId="0" fontId="22" fillId="0" borderId="1" xfId="4" applyFont="1"/>
    <xf numFmtId="175" fontId="21" fillId="16" borderId="1" xfId="4" applyNumberFormat="1" applyFont="1" applyFill="1" applyAlignment="1">
      <alignment horizontal="center" vertical="center"/>
    </xf>
    <xf numFmtId="0" fontId="19" fillId="12" borderId="22" xfId="4" applyFont="1" applyFill="1" applyBorder="1" applyAlignment="1">
      <alignment horizontal="center" vertical="center"/>
    </xf>
    <xf numFmtId="0" fontId="22" fillId="0" borderId="8" xfId="4" applyFont="1" applyBorder="1"/>
    <xf numFmtId="0" fontId="22" fillId="0" borderId="27" xfId="4" applyFont="1" applyBorder="1"/>
    <xf numFmtId="0" fontId="19" fillId="17" borderId="22" xfId="4" applyFont="1" applyFill="1" applyBorder="1" applyAlignment="1">
      <alignment horizontal="center" vertical="center"/>
    </xf>
    <xf numFmtId="4" fontId="18" fillId="18" borderId="1" xfId="4" applyNumberFormat="1" applyFont="1" applyFill="1" applyAlignment="1">
      <alignment horizontal="center" vertical="center"/>
    </xf>
    <xf numFmtId="166" fontId="12" fillId="0" borderId="1" xfId="2" applyNumberFormat="1" applyFont="1" applyAlignment="1" applyProtection="1">
      <alignment horizontal="left" vertical="center" wrapText="1"/>
    </xf>
    <xf numFmtId="166" fontId="12" fillId="0" borderId="13" xfId="2" applyNumberFormat="1" applyFont="1" applyBorder="1" applyAlignment="1" applyProtection="1">
      <alignment horizontal="left" vertical="center" wrapText="1"/>
    </xf>
    <xf numFmtId="166" fontId="11" fillId="8" borderId="4" xfId="2" applyNumberFormat="1" applyFont="1" applyFill="1" applyBorder="1" applyAlignment="1" applyProtection="1">
      <alignment horizontal="center" vertical="center" wrapText="1"/>
    </xf>
    <xf numFmtId="166" fontId="11" fillId="8" borderId="7" xfId="2" applyNumberFormat="1" applyFont="1" applyFill="1" applyBorder="1" applyAlignment="1" applyProtection="1">
      <alignment horizontal="center" vertical="center" wrapText="1"/>
    </xf>
    <xf numFmtId="0" fontId="11" fillId="8" borderId="15" xfId="3" applyFont="1" applyFill="1" applyBorder="1" applyAlignment="1">
      <alignment horizontal="center" vertical="center" wrapText="1"/>
    </xf>
    <xf numFmtId="0" fontId="11" fillId="8" borderId="16" xfId="3" applyFont="1" applyFill="1" applyBorder="1" applyAlignment="1">
      <alignment horizontal="center" vertical="center" wrapText="1"/>
    </xf>
    <xf numFmtId="0" fontId="11" fillId="8" borderId="17" xfId="3" applyFont="1" applyFill="1" applyBorder="1" applyAlignment="1">
      <alignment horizontal="center" vertical="center" wrapText="1"/>
    </xf>
    <xf numFmtId="0" fontId="11" fillId="8" borderId="18" xfId="3" applyFont="1" applyFill="1" applyBorder="1" applyAlignment="1">
      <alignment horizontal="center" vertical="center" wrapText="1"/>
    </xf>
    <xf numFmtId="0" fontId="14" fillId="8" borderId="18" xfId="3" applyFont="1" applyFill="1" applyBorder="1" applyAlignment="1">
      <alignment horizontal="center" vertical="center" wrapText="1"/>
    </xf>
    <xf numFmtId="0" fontId="0" fillId="0" borderId="0" xfId="0" applyNumberFormat="1" applyFont="1" applyFill="1" applyBorder="1" applyAlignment="1">
      <alignment wrapText="1"/>
    </xf>
    <xf numFmtId="0" fontId="3" fillId="2" borderId="0" xfId="0" applyNumberFormat="1" applyFont="1" applyFill="1" applyBorder="1" applyAlignment="1">
      <alignment horizontal="center" vertical="center"/>
    </xf>
    <xf numFmtId="0" fontId="4" fillId="3" borderId="0" xfId="0" applyNumberFormat="1" applyFont="1" applyFill="1" applyBorder="1" applyAlignment="1">
      <alignment horizontal="center" vertical="center" wrapText="1"/>
    </xf>
    <xf numFmtId="0" fontId="44" fillId="31" borderId="1" xfId="10" applyFont="1" applyFill="1"/>
    <xf numFmtId="0" fontId="30" fillId="0" borderId="1" xfId="10" applyAlignment="1">
      <alignment vertical="top" wrapText="1"/>
    </xf>
    <xf numFmtId="0" fontId="30" fillId="32" borderId="1" xfId="10" applyFill="1" applyAlignment="1">
      <alignment vertical="top" wrapText="1"/>
    </xf>
    <xf numFmtId="0" fontId="30" fillId="20" borderId="1" xfId="10" applyFill="1" applyAlignment="1">
      <alignment vertical="top" wrapText="1"/>
    </xf>
    <xf numFmtId="0" fontId="30" fillId="33" borderId="1" xfId="10" applyFill="1" applyAlignment="1">
      <alignment vertical="top" wrapText="1"/>
    </xf>
    <xf numFmtId="0" fontId="30" fillId="34" borderId="1" xfId="10" applyFill="1" applyAlignment="1">
      <alignment vertical="top" wrapText="1"/>
    </xf>
    <xf numFmtId="0" fontId="30" fillId="35" borderId="1" xfId="10" applyFill="1" applyAlignment="1">
      <alignment vertical="top" wrapText="1"/>
    </xf>
    <xf numFmtId="0" fontId="30" fillId="36" borderId="1" xfId="10" applyFill="1" applyAlignment="1">
      <alignment vertical="top" wrapText="1"/>
    </xf>
    <xf numFmtId="0" fontId="30" fillId="37" borderId="1" xfId="10" applyFill="1" applyAlignment="1">
      <alignment vertical="top" wrapText="1"/>
    </xf>
    <xf numFmtId="0" fontId="30" fillId="21" borderId="1" xfId="10" applyFill="1" applyAlignment="1">
      <alignment vertical="top" wrapText="1"/>
    </xf>
    <xf numFmtId="0" fontId="39" fillId="38" borderId="1" xfId="10" applyFont="1" applyFill="1" applyAlignment="1">
      <alignment horizontal="center" vertical="center" wrapText="1"/>
    </xf>
    <xf numFmtId="0" fontId="30" fillId="0" borderId="1" xfId="10" applyAlignment="1">
      <alignment wrapText="1"/>
    </xf>
    <xf numFmtId="0" fontId="45" fillId="0" borderId="1" xfId="10" applyFont="1"/>
    <xf numFmtId="0" fontId="44" fillId="0" borderId="1" xfId="10" applyFont="1"/>
    <xf numFmtId="0" fontId="30" fillId="0" borderId="1" xfId="10" applyAlignment="1">
      <alignment wrapText="1"/>
    </xf>
    <xf numFmtId="0" fontId="46" fillId="38" borderId="1" xfId="10" applyFont="1" applyFill="1"/>
    <xf numFmtId="0" fontId="30" fillId="39" borderId="1" xfId="10" applyFill="1" applyAlignment="1">
      <alignment vertical="top" wrapText="1"/>
    </xf>
    <xf numFmtId="0" fontId="30" fillId="40" borderId="1" xfId="10" applyFill="1" applyAlignment="1">
      <alignment vertical="top" wrapText="1"/>
    </xf>
    <xf numFmtId="0" fontId="30" fillId="41" borderId="1" xfId="10" applyFill="1" applyAlignment="1">
      <alignment vertical="top" wrapText="1"/>
    </xf>
    <xf numFmtId="0" fontId="47" fillId="0" borderId="1" xfId="10" applyFont="1"/>
    <xf numFmtId="0" fontId="30" fillId="0" borderId="1" xfId="10" applyAlignment="1">
      <alignment horizontal="left"/>
    </xf>
    <xf numFmtId="0" fontId="44" fillId="31" borderId="1" xfId="10" applyFont="1" applyFill="1" applyAlignment="1"/>
    <xf numFmtId="0" fontId="44" fillId="31" borderId="1" xfId="10" applyFont="1" applyFill="1" applyAlignment="1">
      <alignment horizontal="right"/>
    </xf>
    <xf numFmtId="0" fontId="44" fillId="31" borderId="1" xfId="10" applyFont="1" applyFill="1" applyAlignment="1">
      <alignment horizontal="left"/>
    </xf>
  </cellXfs>
  <cellStyles count="13">
    <cellStyle name="Lien hypertexte 2" xfId="11" xr:uid="{BCFFBA7E-CBB8-4358-A19F-D93982500FEC}"/>
    <cellStyle name="Milliers [0]" xfId="12" builtinId="6"/>
    <cellStyle name="Milliers 2" xfId="7" xr:uid="{8580EE18-B3BE-4F5C-9553-61727ACE229A}"/>
    <cellStyle name="Milliers 2 2" xfId="5" xr:uid="{3E206245-9817-4B70-AF83-3F3182ACC58E}"/>
    <cellStyle name="Milliers 2 2 4 2" xfId="9" xr:uid="{B5734FDC-D38C-4B76-9D14-F6A7EF69C25D}"/>
    <cellStyle name="Milliers 3" xfId="2" xr:uid="{2A223973-B24A-41F4-BFA0-2D0533EA2BC7}"/>
    <cellStyle name="Milliers 5 2" xfId="6" xr:uid="{EA14AB10-36F3-49E3-B70E-9383B361F02F}"/>
    <cellStyle name="Normal" xfId="0" builtinId="0"/>
    <cellStyle name="Normal 10 2" xfId="8" xr:uid="{E63EBED1-9C39-4C2A-96FF-B458BB2C7A41}"/>
    <cellStyle name="Normal 2" xfId="1" xr:uid="{0F3D4B96-381A-41D8-A27B-5A881956043E}"/>
    <cellStyle name="Normal 3" xfId="4" xr:uid="{65D0FCB3-A0AA-42DE-B0C8-1D3AC62DA2B3}"/>
    <cellStyle name="Normal 4" xfId="3" xr:uid="{0BA9FF7E-F6F5-481F-B736-E29069021CAD}"/>
    <cellStyle name="Normal 5" xfId="10" xr:uid="{279DF46E-E82E-4330-8939-E94E5FB448A0}"/>
  </cellStyles>
  <dxfs count="15">
    <dxf>
      <fill>
        <patternFill patternType="solid">
          <bgColor rgb="FFFCE5CD"/>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D9EAD3"/>
        </patternFill>
      </fill>
    </dxf>
    <dxf>
      <fill>
        <patternFill patternType="solid">
          <bgColor rgb="FFFCE5CD"/>
        </patternFill>
      </fill>
    </dxf>
    <dxf>
      <fill>
        <patternFill patternType="solid">
          <bgColor rgb="FFF4CCCC"/>
        </patternFill>
      </fill>
    </dxf>
    <dxf>
      <fill>
        <patternFill patternType="solid">
          <bgColor rgb="FFF4CCCC"/>
        </patternFill>
      </fill>
    </dxf>
    <dxf>
      <fill>
        <patternFill patternType="solid">
          <bgColor rgb="FFF4CCCC"/>
        </patternFill>
      </fill>
    </dxf>
    <dxf>
      <fill>
        <patternFill patternType="solid">
          <bgColor rgb="FFD9EAD3"/>
        </patternFill>
      </fill>
    </dxf>
    <dxf>
      <font>
        <b val="0"/>
        <i val="0"/>
        <strike val="0"/>
        <condense val="0"/>
        <extend val="0"/>
        <outline val="0"/>
        <shadow val="0"/>
        <u val="none"/>
        <vertAlign val="baseline"/>
        <sz val="11"/>
        <color auto="1"/>
        <name val="Carlito"/>
        <scheme val="none"/>
      </font>
      <numFmt numFmtId="19" formatCode="dd/mm/yyyy"/>
      <fill>
        <patternFill patternType="none">
          <fgColor indexed="64"/>
          <bgColor indexed="65"/>
        </patternFill>
      </fill>
    </dxf>
    <dxf>
      <font>
        <b val="0"/>
        <i val="0"/>
        <strike val="0"/>
        <condense val="0"/>
        <extend val="0"/>
        <outline val="0"/>
        <shadow val="0"/>
        <u val="none"/>
        <vertAlign val="baseline"/>
        <sz val="11"/>
        <color auto="1"/>
        <name val="Carlito"/>
        <scheme val="none"/>
      </font>
      <numFmt numFmtId="19" formatCode="dd/mm/yyyy"/>
      <fill>
        <patternFill patternType="none">
          <fgColor indexed="64"/>
          <bgColor indexed="65"/>
        </patternFill>
      </fill>
    </dxf>
    <dxf>
      <font>
        <b val="0"/>
        <i val="0"/>
        <strike val="0"/>
        <condense val="0"/>
        <extend val="0"/>
        <outline val="0"/>
        <shadow val="0"/>
        <u val="none"/>
        <vertAlign val="baseline"/>
        <sz val="11"/>
        <color auto="1"/>
        <name val="Carlito"/>
        <scheme val="none"/>
      </font>
      <numFmt numFmtId="19" formatCode="dd/mm/yyyy"/>
      <fill>
        <patternFill patternType="none">
          <fgColor indexed="64"/>
          <bgColor indexed="65"/>
        </patternFill>
      </fill>
    </dxf>
    <dxf>
      <font>
        <b val="0"/>
        <i val="0"/>
        <strike val="0"/>
        <condense val="0"/>
        <extend val="0"/>
        <outline val="0"/>
        <shadow val="0"/>
        <u val="none"/>
        <vertAlign val="baseline"/>
        <sz val="11"/>
        <color auto="1"/>
        <name val="Carlito"/>
        <scheme val="none"/>
      </font>
      <numFmt numFmtId="19" formatCode="dd/mm/yyyy"/>
      <fill>
        <patternFill patternType="none">
          <fgColor indexed="64"/>
          <bgColor indexed="65"/>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9" Type="http://schemas.openxmlformats.org/officeDocument/2006/relationships/theme" Target="theme/theme1.xml"/><Relationship Id="rId21" Type="http://schemas.openxmlformats.org/officeDocument/2006/relationships/externalLink" Target="externalLinks/externalLink6.xml"/><Relationship Id="rId34" Type="http://schemas.openxmlformats.org/officeDocument/2006/relationships/externalLink" Target="externalLinks/externalLink19.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externalLink" Target="externalLinks/externalLink14.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externalLink" Target="externalLinks/externalLink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lang="fr-FR"/>
              <a:t>Répartition des contrôles</a:t>
            </a:r>
          </a:p>
        </c:rich>
      </c:tx>
      <c:overlay val="1"/>
    </c:title>
    <c:autoTitleDeleted val="0"/>
    <c:plotArea>
      <c:layout/>
      <c:pieChart>
        <c:varyColors val="1"/>
        <c:ser>
          <c:idx val="0"/>
          <c:order val="0"/>
          <c:tx>
            <c:v>Nombre</c:v>
          </c:tx>
          <c:cat>
            <c:strRef>
              <c:f>TABLEAU_DE_BORD!$D$4:$D$7</c:f>
              <c:strCache>
                <c:ptCount val="4"/>
                <c:pt idx="0">
                  <c:v>Conforme</c:v>
                </c:pt>
                <c:pt idx="1">
                  <c:v>Non conforme</c:v>
                </c:pt>
                <c:pt idx="2">
                  <c:v>PJ non reçue</c:v>
                </c:pt>
                <c:pt idx="3">
                  <c:v>Date PJ non conforme</c:v>
                </c:pt>
              </c:strCache>
            </c:strRef>
          </c:cat>
          <c:val>
            <c:numRef>
              <c:f>TABLEAU_DE_BORD!$E$4:$E$7</c:f>
              <c:numCache>
                <c:formatCode>General</c:formatCode>
                <c:ptCount val="4"/>
                <c:pt idx="0">
                  <c:v>2</c:v>
                </c:pt>
                <c:pt idx="1">
                  <c:v>0</c:v>
                </c:pt>
                <c:pt idx="2">
                  <c:v>0</c:v>
                </c:pt>
                <c:pt idx="3">
                  <c:v>0</c:v>
                </c:pt>
              </c:numCache>
            </c:numRef>
          </c:val>
          <c:extLst>
            <c:ext xmlns:c16="http://schemas.microsoft.com/office/drawing/2014/chart" uri="{C3380CC4-5D6E-409C-BE32-E72D297353CC}">
              <c16:uniqueId val="{00000000-2F6A-4C42-BEF8-D33309837C6D}"/>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160020</xdr:colOff>
      <xdr:row>0</xdr:row>
      <xdr:rowOff>38100</xdr:rowOff>
    </xdr:from>
    <xdr:to>
      <xdr:col>13</xdr:col>
      <xdr:colOff>160020</xdr:colOff>
      <xdr:row>18</xdr:row>
      <xdr:rowOff>45720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LIE&amp;H~1/AppData/Local/Temp/Rar$DIa3500.12596/PMO_MNF3_RSS_T1T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Contracts\ReadOnly\COUNTRY\Southern%20Africa%20Regional\CIDA\Generic%20ACT%20Budget%20-%20Feb%2008%20-%20TJ.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PSI%20MADAGASCAR\PSI%20MADA%20-%20PROPOSALS\New%20GFATM%20Templates%20-%20Procurement%20and%20Finance\GF%20Budget%20Template%20Small%20(1%20to%201%20to%201)%204-3-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2016\PTA%202017\SSE%20PTA%202017%20VF%2020%2006%2016\SSE%20PTA%202017%20VF%2020%2006%2016\SSE%20DSFa_PTA_2017%20VF.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Contracts\ReadOnly\Donor\Global%20Fund\Round%208\RD%208%20Proposal%20Form%20&amp;%20Templates\Single%20Country\BudgetTemplateAuto_en%20RS%20with%20numb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Documents%20and%20Settings\PSI_Washington\Desktop\GF%20Training\Draft%20Budget%20Template\BudgetTemplateAuto_en%20RS%20with%20numbers%20cleaned%203-24-0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1-XAVIER\1-ANNEE-2016\1-Requete\T2\Audit\tableau%20a%20remplir%20pour%20audi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unicef-my.sharepoint.com/1-XAVIER/1-ANNEE-2016/1-Requete/T2/Audit/tableau%20a%20remplir%20pour%20audi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Users\User\Desktop\DOC%20SSME%20%20ANDROY\DIVERS%20OCT%2014\BUDG%20SSME%20OCt%2014.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User\Downloads\OUTIL_GESTION_UNICEF_VERSION_FINALE_V17_INTERFACE_SAGE.xlsx" TargetMode="External"/><Relationship Id="rId1" Type="http://schemas.openxmlformats.org/officeDocument/2006/relationships/externalLinkPath" Target="/Users/User/Downloads/OUTIL_GESTION_UNICEF_VERSION_FINALE_V17_INTERFACE_SAGE.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SERGE\Nouveau%20dossier\3ds\Eqpt%20m&#233;dical.xlk"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User\Downloads\OUTIL_GESTION_UNICEF_V17_CORRIGEE_FINALE_TEST.xlsx" TargetMode="External"/><Relationship Id="rId1" Type="http://schemas.openxmlformats.org/officeDocument/2006/relationships/externalLinkPath" Target="/Users/User/Downloads/OUTIL_GESTION_UNICEF_V17_CORRIGEE_FINALE_TES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G:\SAUVE%20DOSSIER%20NIRY\1-GLOBAL%20FUND\2-ROUND%203\2-DR_PU_GFR3\12-ANNUAL%20REPORT_YEAR%203\RAPPORT%20A3\1-Reporting_Financier_UGP_MALARIA%20R3%20_%20YEAR%2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G:\SAUVE%20DOSSIER%20NIRY\1-GLOBAL%20FUND\5-ROUND%207\2-%20UGP-%20GFR7\2-GRANT&amp;WP_ATT\3-BUDGET%20&amp;%20WPLAN_ATT%20&amp;PGAS\2-BUDGET\2-Vs_FINALE_Budget\130808\2-Template%20for%20Summary%20budgets%20Generic%20UGP_R7%201308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User_MNSANP/Downloads/AMBILOBE%20DVDMT%202017%20FEV%20PROMPT.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Users\user5\AppData\Local\Temp\PRRO\PRRO%202012-2013\PRRO1\Proposition\AGEX\Correction%20quantitaf%20agex%20final_S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Users\user5\AppData\Local\Temp\MY%20DOCS\PARTENAIRES\PAM\2014\PROJET%20MIARO\Budget%202014%20valid&#23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Asa\MinSant&#233;\DSEMR\SSME_Oct_2014\R&#233;union%20du%2029%2008%202014\Macrobudget_SSME%20Oct%20201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Documents%20and%20Settings\PSI_Washington\Desktop\GF%20Training\RD%208%20Docs\AttachmentA_HIV_e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Users\haingor\AppData\Local\Microsoft\Windows\Temporary%20Internet%20Files\Content.Outlook\8AJK3NE0\PSI%20Round%204%20RCC%20Phase%20One%20Budget%20FINAL%207-23-0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W:\Users\ORN%20SUD%20OUEST\AppData\Roaming\Microsoft\Excel\Users\RAKOTOVAO\AppData\Roaming\Microsoft\Excel\DOCS%20SEECALINE\AMBATOLAMPY\Suivi%20PTA%202006\2E%20TRIM%202006\Mes%20documents\SEECALINE%20OK\Sauve\Compta%20OK\REAP_IDA_200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BUDGETISATION\Users\SEPAEP_DEP\Documents\Downloads\Users\utilisateur\Desktop\14%206%2019%20PTA%202020%20re&#231;us\PTA%202020%20Directions%20centrales\PTA%202020%20DEPSI\PTA_2019_SSSD_VFF\PTA%20SSSD%20%202019%20VF1.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C:\Users\User\Downloads\OUTIL_GESTION_UNICEF%20VF.xlsx" TargetMode="External"/><Relationship Id="rId1" Type="http://schemas.openxmlformats.org/officeDocument/2006/relationships/externalLinkPath" Target="/Users/User/Downloads/OUTIL_GESTION_UNICEF%20V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ée 1"/>
      <sheetName val="Année 2"/>
      <sheetName val="Année 3"/>
      <sheetName val="Processus"/>
      <sheetName val="Feuil1"/>
    </sheetNames>
    <sheetDataSet>
      <sheetData sheetId="0"/>
      <sheetData sheetId="1" refreshError="1"/>
      <sheetData sheetId="2" refreshError="1"/>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al Approval Sheet"/>
      <sheetName val="Range Page"/>
      <sheetName val="Core Budget"/>
      <sheetName val="Country Budget x 6"/>
      <sheetName val="Donor Summary Budget"/>
      <sheetName val="Donor Crosswalk"/>
      <sheetName val="OH Calculation"/>
      <sheetName val="Match Requirement"/>
      <sheetName val="Advance Payment Calculator"/>
      <sheetName val="Internal Budget Analysis"/>
      <sheetName val="3385LB"/>
      <sheetName val="Sheet1"/>
      <sheetName val="Sheet2"/>
      <sheetName val="Sheet3"/>
      <sheetName val="Proposal_Approval_Sheet"/>
      <sheetName val="Range_Page"/>
      <sheetName val="Core_Budget"/>
      <sheetName val="Country_Budget_x_6"/>
      <sheetName val="Donor_Summary_Budget"/>
      <sheetName val="Donor_Crosswalk"/>
      <sheetName val="OH_Calculation"/>
      <sheetName val="Match_Requirement"/>
      <sheetName val="Advance_Payment_Calculator"/>
      <sheetName val="Internal_Budget_Analysis"/>
    </sheetNames>
    <sheetDataSet>
      <sheetData sheetId="0" refreshError="1"/>
      <sheetData sheetId="1" refreshError="1">
        <row r="19">
          <cell r="A19">
            <v>1.6120000000000001</v>
          </cell>
        </row>
        <row r="20">
          <cell r="A20">
            <v>0.04</v>
          </cell>
        </row>
        <row r="21">
          <cell r="A21">
            <v>0.12</v>
          </cell>
        </row>
      </sheetData>
      <sheetData sheetId="2" refreshError="1"/>
      <sheetData sheetId="3" refreshError="1">
        <row r="503">
          <cell r="E503">
            <v>0.78</v>
          </cell>
        </row>
      </sheetData>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s"/>
      <sheetName val="Range Page"/>
      <sheetName val="Cost Category Detail Budget"/>
      <sheetName val="Cost Category Summary"/>
      <sheetName val="Instructions"/>
      <sheetName val="GF Detail - Year 1"/>
      <sheetName val="GF Detail - Year 2"/>
      <sheetName val="GF Detail - Year 3, 4, 5"/>
      <sheetName val="Obj SDA Summary"/>
      <sheetName val="5 Year Budget"/>
      <sheetName val="OH Calculation"/>
      <sheetName val="Match Requirement"/>
      <sheetName val="Advance Payment Calculator"/>
    </sheetNames>
    <sheetDataSet>
      <sheetData sheetId="0" refreshError="1">
        <row r="2">
          <cell r="A2" t="str">
            <v>HIV_AIDS</v>
          </cell>
          <cell r="B2" t="str">
            <v>Malaria</v>
          </cell>
          <cell r="C2" t="str">
            <v>Tuberculosis</v>
          </cell>
          <cell r="D2" t="str">
            <v>HSS_Section_4B</v>
          </cell>
        </row>
        <row r="3">
          <cell r="J3" t="str">
            <v>Objective 1, SDA 1</v>
          </cell>
        </row>
        <row r="4">
          <cell r="J4" t="str">
            <v>Objective 1, SDA 2</v>
          </cell>
        </row>
        <row r="5">
          <cell r="J5" t="str">
            <v>Objective 1, SDA 3</v>
          </cell>
        </row>
        <row r="6">
          <cell r="J6" t="str">
            <v>Objective 1, SDA 4</v>
          </cell>
        </row>
        <row r="7">
          <cell r="J7" t="str">
            <v>Objective 1, SDA 5</v>
          </cell>
        </row>
        <row r="8">
          <cell r="J8" t="str">
            <v>Objective 1, SDA 6</v>
          </cell>
        </row>
        <row r="9">
          <cell r="J9" t="str">
            <v>Objective 1, SDA 7</v>
          </cell>
        </row>
        <row r="10">
          <cell r="J10" t="str">
            <v>Objective 1, SDA 8</v>
          </cell>
        </row>
        <row r="11">
          <cell r="J11" t="str">
            <v>Objective 1, SDA 9</v>
          </cell>
        </row>
        <row r="12">
          <cell r="J12" t="str">
            <v>Objective 1, SDA 10</v>
          </cell>
        </row>
        <row r="13">
          <cell r="J13" t="str">
            <v>Objective 2, SDA 1</v>
          </cell>
        </row>
        <row r="14">
          <cell r="J14" t="str">
            <v>Objective 2, SDA 2</v>
          </cell>
        </row>
        <row r="15">
          <cell r="J15" t="str">
            <v>Objective 2, SDA 3</v>
          </cell>
        </row>
        <row r="16">
          <cell r="J16" t="str">
            <v>Objective 2, SDA 4</v>
          </cell>
        </row>
        <row r="17">
          <cell r="J17" t="str">
            <v>Objective 2, SDA 5</v>
          </cell>
        </row>
        <row r="18">
          <cell r="J18" t="str">
            <v>Objective 2, SDA 6</v>
          </cell>
        </row>
        <row r="19">
          <cell r="J19" t="str">
            <v>Objective 2, SDA 7</v>
          </cell>
        </row>
        <row r="20">
          <cell r="J20" t="str">
            <v>Objective 2, SDA 8</v>
          </cell>
        </row>
        <row r="21">
          <cell r="J21" t="str">
            <v>Objective 2, SDA 9</v>
          </cell>
        </row>
        <row r="22">
          <cell r="J22" t="str">
            <v>Objective 2, SDA 10</v>
          </cell>
        </row>
        <row r="23">
          <cell r="J23" t="str">
            <v>Objective 3, SDA 1</v>
          </cell>
        </row>
        <row r="24">
          <cell r="J24" t="str">
            <v>Objective 3, SDA 2</v>
          </cell>
        </row>
        <row r="25">
          <cell r="J25" t="str">
            <v>Objective 3, SDA 3</v>
          </cell>
        </row>
        <row r="26">
          <cell r="J26" t="str">
            <v>Objective 3, SDA 4</v>
          </cell>
        </row>
        <row r="27">
          <cell r="J27" t="str">
            <v>Objective 3, SDA 5</v>
          </cell>
        </row>
        <row r="28">
          <cell r="J28" t="str">
            <v>Objective 3, SDA 6</v>
          </cell>
        </row>
        <row r="29">
          <cell r="J29" t="str">
            <v>Objective 3 SDA 7</v>
          </cell>
        </row>
        <row r="30">
          <cell r="J30" t="str">
            <v>Objective 3, SDA 8</v>
          </cell>
        </row>
        <row r="31">
          <cell r="J31" t="str">
            <v>Objective 3, SDA 9</v>
          </cell>
        </row>
        <row r="32">
          <cell r="J32" t="str">
            <v>Objective 3, SDA 10</v>
          </cell>
        </row>
        <row r="33">
          <cell r="J33" t="str">
            <v>Objective 4, SDA 1</v>
          </cell>
        </row>
        <row r="34">
          <cell r="J34" t="str">
            <v>Objective 4, SDA 2</v>
          </cell>
        </row>
        <row r="35">
          <cell r="J35" t="str">
            <v>Objective 4, SDA 3</v>
          </cell>
        </row>
        <row r="36">
          <cell r="J36" t="str">
            <v>Objective 4, SDA 4</v>
          </cell>
        </row>
        <row r="37">
          <cell r="J37" t="str">
            <v>Objective 4, SDA 5</v>
          </cell>
        </row>
        <row r="38">
          <cell r="J38" t="str">
            <v>Objective 4, SDA 6</v>
          </cell>
        </row>
        <row r="39">
          <cell r="J39" t="str">
            <v>Objective 4, SDA 7</v>
          </cell>
        </row>
        <row r="40">
          <cell r="J40" t="str">
            <v>Objective 4, SDA 8</v>
          </cell>
        </row>
        <row r="41">
          <cell r="J41" t="str">
            <v>Objective 4, SDA 9</v>
          </cell>
        </row>
        <row r="42">
          <cell r="J42" t="str">
            <v>Objective 4, SDA 10</v>
          </cell>
        </row>
        <row r="43">
          <cell r="J43" t="str">
            <v>Objective 5, SDA 1</v>
          </cell>
        </row>
        <row r="44">
          <cell r="J44" t="str">
            <v>Objective 5, SDA 2</v>
          </cell>
        </row>
        <row r="45">
          <cell r="J45" t="str">
            <v>Objective 5, SDA 3</v>
          </cell>
        </row>
        <row r="46">
          <cell r="J46" t="str">
            <v>Objective 5, SDA 4</v>
          </cell>
        </row>
        <row r="47">
          <cell r="J47" t="str">
            <v>Objective 5, SDA 5</v>
          </cell>
        </row>
        <row r="48">
          <cell r="J48" t="str">
            <v>Objective 5, SDA 6</v>
          </cell>
        </row>
        <row r="49">
          <cell r="J49" t="str">
            <v>Objective 5, SDA 7</v>
          </cell>
        </row>
        <row r="50">
          <cell r="J50" t="str">
            <v>Objective 5, SDA 8</v>
          </cell>
        </row>
        <row r="51">
          <cell r="J51" t="str">
            <v>Objective 5, SDA 9</v>
          </cell>
        </row>
        <row r="52">
          <cell r="J52" t="str">
            <v>Objective 5, SDA 10</v>
          </cell>
        </row>
      </sheetData>
      <sheetData sheetId="1" refreshError="1">
        <row r="4">
          <cell r="A4">
            <v>0.78</v>
          </cell>
        </row>
        <row r="5">
          <cell r="A5">
            <v>7.3999999999999996E-2</v>
          </cell>
        </row>
        <row r="6">
          <cell r="A6">
            <v>8.0000000000000002E-3</v>
          </cell>
        </row>
        <row r="7">
          <cell r="A7">
            <v>0.4</v>
          </cell>
        </row>
        <row r="8">
          <cell r="A8">
            <v>0</v>
          </cell>
        </row>
        <row r="9">
          <cell r="A9">
            <v>0</v>
          </cell>
        </row>
        <row r="10">
          <cell r="A10">
            <v>0</v>
          </cell>
        </row>
        <row r="11">
          <cell r="A11">
            <v>0</v>
          </cell>
        </row>
        <row r="12">
          <cell r="A12">
            <v>0</v>
          </cell>
        </row>
        <row r="13">
          <cell r="A13">
            <v>0</v>
          </cell>
        </row>
        <row r="14">
          <cell r="A14">
            <v>0</v>
          </cell>
        </row>
        <row r="15">
          <cell r="A15">
            <v>0</v>
          </cell>
        </row>
        <row r="16">
          <cell r="A16">
            <v>0</v>
          </cell>
        </row>
        <row r="19">
          <cell r="A19">
            <v>0</v>
          </cell>
        </row>
        <row r="20">
          <cell r="A20">
            <v>1.66E-2</v>
          </cell>
        </row>
        <row r="21">
          <cell r="A21">
            <v>1.66E-2</v>
          </cell>
        </row>
        <row r="22">
          <cell r="A22">
            <v>1.6120000000000001</v>
          </cell>
        </row>
        <row r="23">
          <cell r="A23">
            <v>0.05</v>
          </cell>
        </row>
        <row r="24">
          <cell r="A24">
            <v>0.12</v>
          </cell>
        </row>
        <row r="29">
          <cell r="A29">
            <v>0</v>
          </cell>
        </row>
        <row r="35">
          <cell r="A35">
            <v>1.1576250000000001</v>
          </cell>
        </row>
        <row r="36">
          <cell r="A36">
            <v>1.2155062500000002</v>
          </cell>
        </row>
        <row r="39">
          <cell r="A39">
            <v>1.05</v>
          </cell>
        </row>
        <row r="40">
          <cell r="A40">
            <v>1.1025</v>
          </cell>
        </row>
        <row r="41">
          <cell r="A41">
            <v>1.1576250000000001</v>
          </cell>
        </row>
        <row r="42">
          <cell r="A42">
            <v>1.2155062500000002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Narratif"/>
      <sheetName val="Cadre de ref PDSS PMO"/>
      <sheetName val="Instructions"/>
      <sheetName val="Presentation du canevas CENTRAL"/>
      <sheetName val="SSE PTA 2017 "/>
      <sheetName val="SSE Budgetisation 2017"/>
      <sheetName val="Listes"/>
      <sheetName val="SSE SUIVIS_PTA 2017"/>
      <sheetName val="SSE Besoins en Formation"/>
      <sheetName val="Besoins RH et MAT"/>
      <sheetName val="Feuil1"/>
    </sheetNames>
    <sheetDataSet>
      <sheetData sheetId="0" refreshError="1"/>
      <sheetData sheetId="1" refreshError="1"/>
      <sheetData sheetId="2" refreshError="1"/>
      <sheetData sheetId="3" refreshError="1"/>
      <sheetData sheetId="4" refreshError="1"/>
      <sheetData sheetId="5" refreshError="1"/>
      <sheetData sheetId="6">
        <row r="2">
          <cell r="D2" t="str">
            <v>Central</v>
          </cell>
          <cell r="E2" t="str">
            <v>AFD</v>
          </cell>
          <cell r="F2" t="str">
            <v>effet1</v>
          </cell>
          <cell r="G2" t="str">
            <v>Effet 1  l’offre et l’utilisation des soins de base de qualité améliorées</v>
          </cell>
          <cell r="H2" t="str">
            <v>Taux d’utilisation des consultations externes au niveau des CSB</v>
          </cell>
          <cell r="J2" t="str">
            <v>Produit 1.1 la dispensation des PMA à 80% des formations sanitaires en mettant l’accent sur l’offre intégrée est effective</v>
          </cell>
          <cell r="K2" t="str">
            <v xml:space="preserve"> % des FS ayant des services intégrés (continuum des soins) </v>
          </cell>
          <cell r="L2" t="str">
            <v>prod11CEN</v>
          </cell>
          <cell r="M2" t="str">
            <v>prod11DRSP</v>
          </cell>
          <cell r="N2" t="str">
            <v>prod11SDSP</v>
          </cell>
          <cell r="O2" t="str">
            <v>prod11CSB</v>
          </cell>
          <cell r="P2" t="str">
            <v>prod21EH</v>
          </cell>
        </row>
        <row r="3">
          <cell r="D3" t="str">
            <v>EMAR</v>
          </cell>
          <cell r="E3" t="str">
            <v>ASOS</v>
          </cell>
          <cell r="F3" t="str">
            <v>effet2</v>
          </cell>
          <cell r="G3" t="str">
            <v>Effet 2  la capacité des hôpitaux de référence à prendre en charge les cas référés selon le PCA améliorée</v>
          </cell>
          <cell r="H3" t="str">
            <v>TOM des lits au niveau des HR (CHRD, CHRR, CHU, HMP)</v>
          </cell>
          <cell r="J3" t="str">
            <v>Produit 1.2  la mise en œuvre de la Politique Nationale de Santé Communautaire est assurée</v>
          </cell>
          <cell r="K3" t="str">
            <v>% des communes ayant CCDS fonctionnels</v>
          </cell>
          <cell r="L3" t="str">
            <v>prod12CEN</v>
          </cell>
          <cell r="M3" t="str">
            <v>prod12DRSP</v>
          </cell>
          <cell r="N3" t="str">
            <v>prod12SDSP</v>
          </cell>
          <cell r="O3" t="str">
            <v>prod12CSB</v>
          </cell>
          <cell r="P3" t="str">
            <v>prod43EH</v>
          </cell>
        </row>
        <row r="4">
          <cell r="D4" t="str">
            <v>EMAD</v>
          </cell>
          <cell r="E4" t="str">
            <v>CERF</v>
          </cell>
          <cell r="F4" t="str">
            <v>effet3</v>
          </cell>
          <cell r="G4" t="str">
            <v>Effet 3 la population utilise les services et les soins à tous les niveaux</v>
          </cell>
          <cell r="H4" t="str">
            <v>Taux d’utilisation des consultations externes au niveau des CSB</v>
          </cell>
          <cell r="J4" t="str">
            <v>Produit 2.1 les cas référés sont pris en charge correctement au niveau des CHRD/CHRR/ CHU</v>
          </cell>
          <cell r="K4" t="str">
            <v>% des communes ayant CCDS fonctionnels</v>
          </cell>
          <cell r="L4" t="str">
            <v>prod21CEN</v>
          </cell>
          <cell r="M4" t="str">
            <v>prod21DRSP</v>
          </cell>
          <cell r="N4" t="str">
            <v>prod21SDSP</v>
          </cell>
          <cell r="O4" t="str">
            <v>prod21CSB</v>
          </cell>
          <cell r="P4" t="str">
            <v>prod44EH</v>
          </cell>
        </row>
        <row r="5">
          <cell r="D5" t="str">
            <v>Chef CSB</v>
          </cell>
          <cell r="E5" t="str">
            <v>ETAT</v>
          </cell>
          <cell r="F5" t="str">
            <v>effet4</v>
          </cell>
          <cell r="G5" t="str">
            <v>Effet 4 le leadership et la bonne gouvernance du secteur renforcés indépendamment de tout changement institutionnel</v>
          </cell>
          <cell r="H5" t="str">
            <v>% des documents et des textes élaborés et/ou mis à jour par rapport aux planifiés</v>
          </cell>
          <cell r="J5" t="str">
            <v>Produit 3.1 la mise en œuvre de la promotion de la santé orientée vers les stratégies qui concourent à la stimulation de la demande renforcée</v>
          </cell>
          <cell r="K5" t="str">
            <v>% base de données factuelles et de la recherche opérationnelle en promotion de la santé disponible</v>
          </cell>
          <cell r="L5" t="str">
            <v>prod31CEN</v>
          </cell>
          <cell r="M5" t="str">
            <v>prod31DRSP</v>
          </cell>
          <cell r="N5" t="str">
            <v>prod31SDSP</v>
          </cell>
          <cell r="O5" t="str">
            <v>prod31CSB</v>
          </cell>
          <cell r="P5" t="str">
            <v>prod51EH</v>
          </cell>
        </row>
        <row r="6">
          <cell r="D6" t="str">
            <v>Hopital</v>
          </cell>
          <cell r="E6" t="str">
            <v>GAP</v>
          </cell>
          <cell r="F6" t="str">
            <v>effet5</v>
          </cell>
          <cell r="G6" t="str">
            <v>Effet 5 la mise à disposition des ressources humaines suffisantes, compétentes et adaptées aux besoins du secteur renforcée</v>
          </cell>
          <cell r="H6" t="str">
            <v>Taux (Proportion) de CSB2 ayant au moins 2 agents de santé</v>
          </cell>
          <cell r="J6" t="str">
            <v xml:space="preserve">Produit 4.1 les documents politiques, stratégiques et textes juridiques du secteur santé sont élaborés ou réactualisés à temps </v>
          </cell>
          <cell r="K6" t="str">
            <v>% des documents et des textes élaborés et/ou mis à jour par rapport aux planifiés</v>
          </cell>
          <cell r="L6" t="str">
            <v>prod41CEN</v>
          </cell>
          <cell r="M6" t="str">
            <v>prod41DRSP</v>
          </cell>
          <cell r="N6" t="str">
            <v>prod41SDSP</v>
          </cell>
          <cell r="O6" t="str">
            <v>prod41CSB</v>
          </cell>
          <cell r="P6" t="str">
            <v>prod62EH</v>
          </cell>
        </row>
        <row r="7">
          <cell r="E7" t="str">
            <v>GAVI</v>
          </cell>
          <cell r="F7" t="str">
            <v>effet6</v>
          </cell>
          <cell r="G7" t="str">
            <v>Effet 6 le système d’information sanitaire renforcé</v>
          </cell>
          <cell r="H7" t="str">
            <v xml:space="preserve">Taux de promptitude des RMA </v>
          </cell>
          <cell r="J7" t="str">
            <v>Produit 4.2 la Bonne gestion du système de santé est assurée</v>
          </cell>
          <cell r="K7" t="str">
            <v>% de Hauts responsables ou des cadres des Régions et districts formés en leadership</v>
          </cell>
          <cell r="L7" t="str">
            <v>prod42CEN</v>
          </cell>
          <cell r="M7" t="str">
            <v>prod42DRSP</v>
          </cell>
          <cell r="N7" t="str">
            <v>prod42SDSP</v>
          </cell>
          <cell r="O7" t="str">
            <v>prod42CSB</v>
          </cell>
          <cell r="P7" t="str">
            <v>prod63EH</v>
          </cell>
        </row>
        <row r="8">
          <cell r="E8" t="str">
            <v>GF (NSA/GFATM/FONDS MONDIAL)</v>
          </cell>
          <cell r="F8" t="str">
            <v>effet7</v>
          </cell>
          <cell r="G8" t="str">
            <v>Effet 7 la disponibilité et l’accessibilité aux des infrastructures sanitaires, des équipements et intrants de santé améliorées</v>
          </cell>
          <cell r="H8" t="str">
            <v>Taux de disponibilité en MEG de qualité au niveau CSB</v>
          </cell>
          <cell r="J8" t="str">
            <v>Produit 4.3 la coordination et la gestion de la mise en œuvre des interventions sont améliorées à tous les niveaux du système de santé</v>
          </cell>
          <cell r="K8" t="str">
            <v>% de réunions de coordination et suivi des programmes ou de revues (Intrasectoriels, périodiques réalisées) au niveau des Régions ou Districts par rapport aux nombres prévues dans l’année</v>
          </cell>
          <cell r="L8" t="str">
            <v>prod43CEN</v>
          </cell>
          <cell r="M8" t="str">
            <v>prod43DRSP</v>
          </cell>
          <cell r="N8" t="str">
            <v>prod43SDSP</v>
          </cell>
          <cell r="O8" t="str">
            <v>prod43CSB</v>
          </cell>
          <cell r="P8" t="str">
            <v>prod64EH</v>
          </cell>
        </row>
        <row r="9">
          <cell r="E9" t="str">
            <v>HANDICAP INTERNATIONAL</v>
          </cell>
          <cell r="F9" t="str">
            <v>effet8</v>
          </cell>
          <cell r="G9" t="str">
            <v>Effet 8 les stratégies de financement du secteur pour assurer l’accessibilité aux soins de la population surtout la couche la plus vulnérable sont développées</v>
          </cell>
          <cell r="H9" t="str">
            <v>Taux d'execution budgetaire</v>
          </cell>
          <cell r="J9" t="str">
            <v>Produit 4.4 la bonne gouvernance est effective à tous les niveaux</v>
          </cell>
          <cell r="K9" t="str">
            <v>% de structures auditées et contrôlées</v>
          </cell>
          <cell r="L9" t="str">
            <v>prod44CEN</v>
          </cell>
          <cell r="M9" t="str">
            <v>prod44DRSP</v>
          </cell>
          <cell r="N9" t="str">
            <v>prod44SDSP</v>
          </cell>
          <cell r="O9" t="str">
            <v>prod44CSB</v>
          </cell>
          <cell r="P9" t="str">
            <v>prod72EH</v>
          </cell>
        </row>
        <row r="10">
          <cell r="E10" t="str">
            <v>JICA</v>
          </cell>
          <cell r="F10" t="str">
            <v>effet9</v>
          </cell>
          <cell r="G10" t="str">
            <v>Effet 9 la lutte contre la morbidité et la mortalité maternelle et néonatale renforcée</v>
          </cell>
          <cell r="H10" t="str">
            <v>Taux d’accouchement dans les centres de santé (CSB, CHRD,CHRR, CHU,HMP)</v>
          </cell>
          <cell r="J10" t="str">
            <v>Produit 4.5 la collaboration intersectorielle et le partenariat dans le secteur santé sont développés</v>
          </cell>
          <cell r="K10" t="str">
            <v xml:space="preserve"> % des conventions de partenariat signées et mises en œuvre par rapport aux conventions négociées</v>
          </cell>
          <cell r="L10" t="str">
            <v>prod45CEN</v>
          </cell>
          <cell r="M10" t="str">
            <v>prod45DRSP</v>
          </cell>
          <cell r="N10" t="str">
            <v>prod45SDSP</v>
          </cell>
          <cell r="O10" t="str">
            <v>prod45CSB</v>
          </cell>
          <cell r="P10" t="str">
            <v>prod73EH</v>
          </cell>
        </row>
        <row r="11">
          <cell r="E11" t="str">
            <v>LOUVAIN</v>
          </cell>
          <cell r="F11" t="str">
            <v>effet10</v>
          </cell>
          <cell r="G11" t="str">
            <v>Effet 10 la lutte contre la mortalité infantile et infanto-juvénile renforcée</v>
          </cell>
          <cell r="H11" t="str">
            <v>Taux d’insuffisance pondérale des enfants moins de 5 ans vus en CE des CSB</v>
          </cell>
          <cell r="J11" t="str">
            <v xml:space="preserve">Produit 5.1 La mise en place d’un système de gestion efficiente des RH est assurée </v>
          </cell>
          <cell r="K11" t="str">
            <v>% des SSD et DRSP disposant d’un système informatisé de la gestion des effectifs et des besoins en RH</v>
          </cell>
          <cell r="L11" t="str">
            <v>prod51CEN</v>
          </cell>
          <cell r="M11" t="str">
            <v>prod51DRSP</v>
          </cell>
          <cell r="N11" t="str">
            <v>prod51SDSP</v>
          </cell>
          <cell r="O11" t="str">
            <v>prod51CSB</v>
          </cell>
          <cell r="P11" t="str">
            <v>prod81EH</v>
          </cell>
        </row>
        <row r="12">
          <cell r="E12" t="str">
            <v>LSFM/LIONS</v>
          </cell>
          <cell r="F12" t="str">
            <v>effet11</v>
          </cell>
          <cell r="G12" t="str">
            <v>Effet 11 la lutte contre le VIH/SIDA et les IST renforcée</v>
          </cell>
          <cell r="H12" t="str">
            <v>Prévalence du VIH chez les adultes de 15-49 ans</v>
          </cell>
          <cell r="J12" t="str">
            <v>Produit 5.2 La mise aux normes des ressources humaines de santé à tous les niveaux est assurée</v>
          </cell>
          <cell r="K12" t="str">
            <v>Pourcentage de structures sanitaires (Directions centrales, DRSP, SDSP…) disposant et respectant  les normes d'effectif et de répartition des RH</v>
          </cell>
          <cell r="L12" t="str">
            <v>prod52CEN</v>
          </cell>
          <cell r="M12" t="str">
            <v>prod52DRSP</v>
          </cell>
          <cell r="N12" t="str">
            <v>prod52SDSP</v>
          </cell>
          <cell r="O12" t="str">
            <v>prod52CSB</v>
          </cell>
          <cell r="P12" t="str">
            <v>prod82EH</v>
          </cell>
        </row>
        <row r="13">
          <cell r="E13" t="str">
            <v>MONACO</v>
          </cell>
          <cell r="F13" t="str">
            <v>effet12</v>
          </cell>
          <cell r="G13" t="str">
            <v>Effet 12. la lutte contre le paludisme renforcée</v>
          </cell>
          <cell r="H13" t="str">
            <v>Taux d'incidence du Paludisme simple au niveau CSB</v>
          </cell>
          <cell r="J13" t="str">
            <v>Produit 5.3 la fidélisation des AS dans les centres de santé éloignés et enclavés est assurée</v>
          </cell>
          <cell r="K13" t="str">
            <v xml:space="preserve">% des CSB enclavés pourvus de personnels de santé dans les normes   </v>
          </cell>
          <cell r="L13" t="str">
            <v>prod53CEN</v>
          </cell>
          <cell r="M13" t="str">
            <v>prod53DRSP</v>
          </cell>
          <cell r="N13" t="str">
            <v>prod53SDSP</v>
          </cell>
          <cell r="O13" t="str">
            <v>prod53CSB</v>
          </cell>
          <cell r="P13" t="str">
            <v>prod84EH</v>
          </cell>
        </row>
        <row r="14">
          <cell r="E14" t="str">
            <v>OMS</v>
          </cell>
          <cell r="F14" t="str">
            <v>effet13</v>
          </cell>
          <cell r="G14" t="str">
            <v>Effet 13 la charge de la morbidité de la tuberculose dans la population réduite</v>
          </cell>
          <cell r="H14" t="str">
            <v xml:space="preserve">Taux de succès au traitement  de la Tuberculose </v>
          </cell>
          <cell r="J14" t="str">
            <v xml:space="preserve">Produit 6.1 le cadre institutionnel pour la coordination du SIS est renforcé </v>
          </cell>
          <cell r="K14" t="str">
            <v xml:space="preserve">% des textes/guides/normes relatifs à la mise en œuvre du SIS réactualisés </v>
          </cell>
          <cell r="L14" t="str">
            <v>prod61CEN</v>
          </cell>
          <cell r="M14" t="str">
            <v>prod61DRSP</v>
          </cell>
          <cell r="N14" t="str">
            <v>prod61SDSP</v>
          </cell>
          <cell r="O14" t="str">
            <v>prod61CSB</v>
          </cell>
          <cell r="P14" t="str">
            <v>prod85EH</v>
          </cell>
        </row>
        <row r="15">
          <cell r="E15" t="str">
            <v>ONN</v>
          </cell>
          <cell r="F15" t="str">
            <v>effet14</v>
          </cell>
          <cell r="G15" t="str">
            <v>Effet 14 la lutte contre les maladies émergentes, ré émergentes et négligées renforcée</v>
          </cell>
          <cell r="H15" t="str">
            <v>Taux de létalité de la peste</v>
          </cell>
          <cell r="J15" t="str">
            <v>Produit 6.2 les ressources relatives au fonctionnement du SIS sont développées, y compris les ressources humaines, les réseaux informatiques, matériels, la TIC et les outils de gestion.</v>
          </cell>
          <cell r="K15" t="str">
            <v xml:space="preserve">Proportion du budget alloué au SIS par rapport aux besoins </v>
          </cell>
          <cell r="L15" t="str">
            <v>prod62CEN</v>
          </cell>
          <cell r="M15" t="str">
            <v>prod62DRSP</v>
          </cell>
          <cell r="N15" t="str">
            <v>prod62SDSP</v>
          </cell>
          <cell r="O15" t="str">
            <v>prod62CSB</v>
          </cell>
          <cell r="P15" t="str">
            <v>prod92EH</v>
          </cell>
        </row>
        <row r="16">
          <cell r="E16" t="str">
            <v>PACSS</v>
          </cell>
          <cell r="F16" t="str">
            <v>effet15</v>
          </cell>
          <cell r="G16" t="str">
            <v>Effet 15 la lutte contre les maladies non transmissibles renforcée</v>
          </cell>
          <cell r="H16" t="str">
            <v>Taux de mortalité specifique par AVC en milieu hospitalier</v>
          </cell>
          <cell r="J16" t="str">
            <v xml:space="preserve">Produit 6.3 la gestion rationnelle du SIS intégré est assurée </v>
          </cell>
          <cell r="K16" t="str">
            <v>% des structures sanitaires utilisant le  Système d’information et de rétro-information périodique à tous les niveaux</v>
          </cell>
          <cell r="L16" t="str">
            <v>prod63CEN</v>
          </cell>
          <cell r="M16" t="str">
            <v>prod63DRSP</v>
          </cell>
          <cell r="N16" t="str">
            <v>prod63SDSP</v>
          </cell>
          <cell r="O16" t="str">
            <v>prod63CSB</v>
          </cell>
          <cell r="P16" t="str">
            <v>prod10.1EH</v>
          </cell>
        </row>
        <row r="17">
          <cell r="E17" t="str">
            <v>PACT</v>
          </cell>
          <cell r="F17" t="str">
            <v>effet16</v>
          </cell>
          <cell r="G17" t="str">
            <v>Effet 16 la santé de la population dans un environnement sain et durable assurée</v>
          </cell>
          <cell r="H17" t="str">
            <v xml:space="preserve">% Population ayant accès à des sources d'eau potable </v>
          </cell>
          <cell r="J17" t="str">
            <v>Produit 6.4 le mécanisme de suivi et évaluation intégré, efficace et performant est consolidé</v>
          </cell>
          <cell r="K17" t="str">
            <v>Proportion de région et district ayant un point focal de suivi-évaluation fonctionnel</v>
          </cell>
          <cell r="L17" t="str">
            <v>prod64CEN</v>
          </cell>
          <cell r="M17" t="str">
            <v>prod64DRSP</v>
          </cell>
          <cell r="N17" t="str">
            <v>prod64SDSP</v>
          </cell>
          <cell r="O17" t="str">
            <v>prod64CSB</v>
          </cell>
          <cell r="P17" t="str">
            <v>prod10.2EH</v>
          </cell>
        </row>
        <row r="18">
          <cell r="E18" t="str">
            <v>PASMI</v>
          </cell>
          <cell r="F18" t="str">
            <v>effet17</v>
          </cell>
          <cell r="G18" t="str">
            <v xml:space="preserve">Effet 17 la sécurité et la qualité des denrées alimentaires assurées </v>
          </cell>
          <cell r="H18" t="str">
            <v xml:space="preserve">Nombre de cas d’intoxications alimentaires </v>
          </cell>
          <cell r="J18" t="str">
            <v>Produit 6.5 les ressources adéquates pour la recherche opérationnelle afin d’améliorer les programmes de santé sont mobilisées</v>
          </cell>
          <cell r="K18" t="str">
            <v>Proportion du budget alloué à la recherche opérationnelle par rapport aux besoins</v>
          </cell>
          <cell r="L18" t="str">
            <v>prod65CEN</v>
          </cell>
          <cell r="M18" t="str">
            <v>prod65DRSP</v>
          </cell>
          <cell r="N18" t="str">
            <v>prod65SDSP</v>
          </cell>
          <cell r="O18" t="str">
            <v>prod65CSB</v>
          </cell>
          <cell r="P18" t="str">
            <v>prod11.1EH</v>
          </cell>
        </row>
        <row r="19">
          <cell r="E19" t="str">
            <v>PASSOBA</v>
          </cell>
          <cell r="F19" t="str">
            <v>effet18</v>
          </cell>
          <cell r="G19" t="str">
            <v>Effet 18 la gestion des risques et catastrophes améliorée</v>
          </cell>
          <cell r="H19" t="str">
            <v>Proportion de population sinistrée prise en charge par rapport aux sinistrés de la zone touchée</v>
          </cell>
          <cell r="J19" t="str">
            <v xml:space="preserve">Produit 7.1 les disparités régionales en termes de couverture sanitaire sont réduites </v>
          </cell>
          <cell r="K19" t="str">
            <v xml:space="preserve">Nombre de CSB construits dans les zones dépourvues de FS (Commune sans aucune FS) </v>
          </cell>
          <cell r="L19" t="str">
            <v>prod71CEN</v>
          </cell>
          <cell r="M19" t="str">
            <v>prod71DRSP</v>
          </cell>
          <cell r="N19" t="str">
            <v>prod71SDSP</v>
          </cell>
          <cell r="O19" t="str">
            <v>prod71CSB</v>
          </cell>
          <cell r="P19" t="str">
            <v>prod12.2EH</v>
          </cell>
        </row>
        <row r="20">
          <cell r="E20" t="str">
            <v>PAUSENS</v>
          </cell>
          <cell r="J20" t="str">
            <v>Produit 7.2 la mise aux normes de 70% des infrastructures sanitaires est assurée</v>
          </cell>
          <cell r="K20" t="str">
            <v xml:space="preserve"> % des FS ( CSB, CHRD/CHRR/CHU..) réhabilités selon les normes et dotés en équipements médicaux par rapport aux nombre de FS en mauvais état</v>
          </cell>
          <cell r="L20" t="str">
            <v>prod72CEN</v>
          </cell>
          <cell r="M20" t="str">
            <v>prod72DRSP</v>
          </cell>
          <cell r="N20" t="str">
            <v>prod72SDSP</v>
          </cell>
          <cell r="O20" t="str">
            <v>prod72CSB</v>
          </cell>
          <cell r="P20" t="str">
            <v>prod13.1EH</v>
          </cell>
        </row>
        <row r="21">
          <cell r="E21" t="str">
            <v>PIVOT</v>
          </cell>
          <cell r="J21" t="str">
            <v xml:space="preserve">Produit 7.3 la disponibilité continue en intrants de santé à tous les niveaux de la pyramide sanitaire est assurée </v>
          </cell>
          <cell r="K21" t="str">
            <v xml:space="preserve">Taux de disponibilité en médicaments traceurs au niveau des CSB </v>
          </cell>
          <cell r="L21" t="str">
            <v>prod73CEN</v>
          </cell>
          <cell r="M21" t="str">
            <v>prod73DRSP</v>
          </cell>
          <cell r="N21" t="str">
            <v>prod73SDSP</v>
          </cell>
          <cell r="O21" t="str">
            <v>prod73CSB</v>
          </cell>
          <cell r="P21" t="str">
            <v>prod14.1EH</v>
          </cell>
        </row>
        <row r="22">
          <cell r="E22" t="str">
            <v>RAOUL FOLLEREAU (FRF)</v>
          </cell>
          <cell r="J22" t="str">
            <v>Produit 8.1 l’augmentation soutenue du budget alloué à la santé d’au moins 2% du budget national par an est acquise</v>
          </cell>
          <cell r="K22" t="str">
            <v xml:space="preserve">Part du Budget de la Santé par rapport au Budget total de  l'Etat </v>
          </cell>
          <cell r="L22" t="str">
            <v>prod81CEN</v>
          </cell>
          <cell r="M22" t="str">
            <v>prod81DRSP</v>
          </cell>
          <cell r="N22" t="str">
            <v>prod81SDSP</v>
          </cell>
          <cell r="O22" t="str">
            <v>prod81CSB</v>
          </cell>
          <cell r="P22" t="str">
            <v>prod15.1EH</v>
          </cell>
        </row>
        <row r="23">
          <cell r="E23" t="str">
            <v>RIO TINTO</v>
          </cell>
          <cell r="J23" t="str">
            <v>Produit 8.2. l’utilisation efficiente et rationnelle du budget de l’Etat à tous les niveaux de la pyramide sanitaire est optimisée</v>
          </cell>
          <cell r="K23" t="str">
            <v>% des service, SSD et DRSP ayant fait l’objet de contrôles internes et des audits financiers (BE)</v>
          </cell>
          <cell r="L23" t="str">
            <v>prod82CEN</v>
          </cell>
          <cell r="M23" t="str">
            <v>prod82DRSP</v>
          </cell>
          <cell r="N23" t="str">
            <v>prod82SDSP</v>
          </cell>
          <cell r="O23" t="str">
            <v>prod82CSB</v>
          </cell>
          <cell r="P23" t="str">
            <v>prod16.2EH</v>
          </cell>
        </row>
        <row r="24">
          <cell r="E24" t="str">
            <v>RPE</v>
          </cell>
          <cell r="J24" t="str">
            <v>Produit 8.3.le cadre de coordination élargie de l’aide est développé</v>
          </cell>
          <cell r="K24" t="str">
            <v>Nombre de domaines d’action de l’Initiatives IHP+  mis en œuvre</v>
          </cell>
          <cell r="L24" t="str">
            <v>prod83CEN</v>
          </cell>
          <cell r="M24" t="str">
            <v>prod83DRSP</v>
          </cell>
          <cell r="N24" t="str">
            <v>prod83SDSP</v>
          </cell>
          <cell r="O24" t="str">
            <v>prod83CSB</v>
          </cell>
          <cell r="P24" t="str">
            <v>prod17.1EH</v>
          </cell>
        </row>
        <row r="25">
          <cell r="E25" t="str">
            <v>SAF/FJKM</v>
          </cell>
          <cell r="J25" t="str">
            <v>Produit 8.4 le mécanisme de financement du FANOME et des fonds d’équité à tous les niveaux de la pyramide sanitaire est amélioré</v>
          </cell>
          <cell r="K25" t="str">
            <v xml:space="preserve">Taux de complétude  des rapports mensuels des activités des FANOME  et FE  des CSB et des SSD envoyé au niveau central  </v>
          </cell>
          <cell r="L25" t="str">
            <v>prod84CEN</v>
          </cell>
          <cell r="M25" t="str">
            <v>prod84DRSP</v>
          </cell>
          <cell r="N25" t="str">
            <v>prod84SDSP</v>
          </cell>
          <cell r="O25" t="str">
            <v>prod84CSB</v>
          </cell>
        </row>
        <row r="26">
          <cell r="E26" t="str">
            <v>SALFA</v>
          </cell>
          <cell r="J26" t="str">
            <v xml:space="preserve">Produit 8.5 le système de prépaiement constitué par des mutuelles de santé et autres mécanismes innovateurs à tous les niveaux de la pyramide sanitaire est développé </v>
          </cell>
          <cell r="K26" t="str">
            <v>% de mutuelles de santé redynamisées par rapport aux existantes</v>
          </cell>
          <cell r="L26" t="str">
            <v>prod85CEN</v>
          </cell>
          <cell r="M26" t="str">
            <v>prod85DRSP</v>
          </cell>
          <cell r="N26" t="str">
            <v>prod85SDSP</v>
          </cell>
          <cell r="O26" t="str">
            <v>prod85CSB</v>
          </cell>
        </row>
        <row r="27">
          <cell r="E27" t="str">
            <v>UNFPA</v>
          </cell>
          <cell r="J27" t="str">
            <v xml:space="preserve">Produit 9.1 les services de santé de la mère et du nouveau-né sont utilisés par la population </v>
          </cell>
          <cell r="K27" t="str">
            <v xml:space="preserve">% des FAR qui connaissent les signes de dangers pendant la grossesse, l’accouchement et la période postnatale pour la femme et le nouveau-né, ainsi que l’importance d’accoucher dans une FS par un personnel qualifié, la prévention des fistules, etc... </v>
          </cell>
          <cell r="L27" t="str">
            <v>prod91CEN</v>
          </cell>
          <cell r="M27" t="str">
            <v>prod91DRSP</v>
          </cell>
          <cell r="N27" t="str">
            <v>prod91SDSP</v>
          </cell>
          <cell r="O27" t="str">
            <v>prod91CSB</v>
          </cell>
        </row>
        <row r="28">
          <cell r="E28" t="str">
            <v>UNICEF</v>
          </cell>
          <cell r="J28" t="str">
            <v>Produit 9.2 L’accessibilité à des soins complets et de qualité en santé maternelle et néonatale est assurée à tous les niveaux de la pyramide sanitaire</v>
          </cell>
          <cell r="K28" t="str">
            <v>Taux de couverture en SONU de Base</v>
          </cell>
          <cell r="L28" t="str">
            <v>prod92CEN</v>
          </cell>
          <cell r="M28" t="str">
            <v>prod92DRSP</v>
          </cell>
          <cell r="N28" t="str">
            <v>prod92SDSP</v>
          </cell>
          <cell r="O28" t="str">
            <v>prod92CSB</v>
          </cell>
        </row>
        <row r="29">
          <cell r="E29" t="str">
            <v>USAID</v>
          </cell>
          <cell r="J29" t="str">
            <v>Produit 9.3. la population bénéficie des informations et des services de PF</v>
          </cell>
          <cell r="K29" t="str">
            <v xml:space="preserve">Taux de couverture contraceptive </v>
          </cell>
          <cell r="L29" t="str">
            <v>prod93CEN</v>
          </cell>
          <cell r="M29" t="str">
            <v>prod93DRSP</v>
          </cell>
          <cell r="N29" t="str">
            <v>prod93SDSP</v>
          </cell>
          <cell r="O29" t="str">
            <v>prod93CSB</v>
          </cell>
        </row>
        <row r="30">
          <cell r="E30" t="str">
            <v>USAID/MAHEFA</v>
          </cell>
          <cell r="J30" t="str">
            <v>Produit 9.4 la vulnérabilité des adolescents aux VIH/SIDA, aux grossesses à risque et aux conséquences d’autres comportements à risque est réduite</v>
          </cell>
          <cell r="K30" t="str">
            <v>Taux de fécondité des adolescentes (&lt;18ans)</v>
          </cell>
          <cell r="L30" t="str">
            <v>prod94CEN</v>
          </cell>
          <cell r="M30" t="str">
            <v>prod94DRSP</v>
          </cell>
          <cell r="N30" t="str">
            <v>prod94SDSP</v>
          </cell>
          <cell r="O30" t="str">
            <v>prod94CSB</v>
          </cell>
        </row>
        <row r="31">
          <cell r="E31" t="str">
            <v>USAID/MCSP</v>
          </cell>
          <cell r="J31" t="str">
            <v xml:space="preserve">Produit 10.1 les interventions préventives et curatives à haut impact relatives à la santé de l’enfant sont disponibles à tous les niveaux </v>
          </cell>
          <cell r="K31" t="str">
            <v>Pourcentage des sites PCIMEC fonctionnels</v>
          </cell>
          <cell r="L31" t="str">
            <v>prod101CEN</v>
          </cell>
          <cell r="M31" t="str">
            <v>prod101DRSP</v>
          </cell>
          <cell r="N31" t="str">
            <v>prod101SDSP</v>
          </cell>
          <cell r="O31" t="str">
            <v>prod101CSB</v>
          </cell>
        </row>
        <row r="32">
          <cell r="E32" t="str">
            <v>USAID/MIKOLO</v>
          </cell>
          <cell r="J32" t="str">
            <v>Produit 10.2 la population bénéficie des services de prévention et de prise en charge de la malnutrition</v>
          </cell>
          <cell r="K32" t="str">
            <v>Pourcentage des enfants de moins de 5 ans atteints de malnutrition aigüe globale</v>
          </cell>
          <cell r="L32" t="str">
            <v>prod102CEN</v>
          </cell>
          <cell r="M32" t="str">
            <v>prod102DRSP</v>
          </cell>
          <cell r="N32" t="str">
            <v>prod102SDSP</v>
          </cell>
          <cell r="O32" t="str">
            <v>prod102CSB</v>
          </cell>
        </row>
        <row r="33">
          <cell r="E33" t="str">
            <v>Autres</v>
          </cell>
          <cell r="J33" t="str">
            <v>Produit 10.3. la lutte contre les maladies évitables par la vaccination est renforcée</v>
          </cell>
          <cell r="K33" t="str">
            <v>Taux de couverture vaccinale pour les 7 Antigènes (BCG, Penta, VAR)</v>
          </cell>
          <cell r="L33" t="str">
            <v>prod103CEN</v>
          </cell>
          <cell r="M33" t="str">
            <v>prod103DRSP</v>
          </cell>
          <cell r="N33" t="str">
            <v>prod103SDSP</v>
          </cell>
          <cell r="O33" t="str">
            <v>prod103CSB</v>
          </cell>
        </row>
        <row r="34">
          <cell r="J34" t="str">
            <v>Produit 11.1 les capacités de prévention et de prise en charge du VIH/SIDA et des IST sont améliorées</v>
          </cell>
          <cell r="K34" t="str">
            <v>% des femmes enceintes vivant avec le VIH ayant reçu des ARV</v>
          </cell>
          <cell r="L34" t="str">
            <v>prod111CEN</v>
          </cell>
          <cell r="M34" t="str">
            <v>prod111DRSP</v>
          </cell>
          <cell r="N34" t="str">
            <v>prod111SDSP</v>
          </cell>
          <cell r="O34" t="str">
            <v>prod111CSB</v>
          </cell>
        </row>
        <row r="35">
          <cell r="J35" t="str">
            <v xml:space="preserve">Produit 12.1 les activités de prévention et de lutte contre les vecteurs du paludisme sont renforcées </v>
          </cell>
          <cell r="K35" t="str">
            <v>Pourcentage de Districts passés en statut de pré-élimination en 2017</v>
          </cell>
          <cell r="L35" t="str">
            <v>prod121CEN</v>
          </cell>
          <cell r="M35" t="str">
            <v>prod121DRSP</v>
          </cell>
          <cell r="N35" t="str">
            <v>prod121SDSP</v>
          </cell>
          <cell r="O35" t="str">
            <v>prod121CSB</v>
          </cell>
        </row>
        <row r="36">
          <cell r="J36" t="str">
            <v>Produit 12.2 la prise en charge correcte des paludéens assurée</v>
          </cell>
          <cell r="K36" t="str">
            <v>% de cas de paludisme simple confirmé ayant recu un traitement adequat au niveau des FS</v>
          </cell>
          <cell r="L36" t="str">
            <v>prod122CEN</v>
          </cell>
          <cell r="M36" t="str">
            <v>prod122DRSP</v>
          </cell>
          <cell r="N36" t="str">
            <v>prod122SDSP</v>
          </cell>
          <cell r="O36" t="str">
            <v>prod122CSB</v>
          </cell>
        </row>
        <row r="37">
          <cell r="J37" t="str">
            <v>Produit 13.1. la qualité des services DOTS et la prise en charge des TB-MR sont améliorées</v>
          </cell>
          <cell r="K37" t="str">
            <v>Nombre de cas notifié</v>
          </cell>
          <cell r="L37" t="str">
            <v>prod131CEN</v>
          </cell>
          <cell r="M37" t="str">
            <v>prod131DRSP</v>
          </cell>
          <cell r="N37" t="str">
            <v>prod131SDSP</v>
          </cell>
          <cell r="O37" t="str">
            <v>prod131CSB</v>
          </cell>
        </row>
        <row r="38">
          <cell r="J38" t="str">
            <v>Produit 14.1 la prévention et la prise charge intégrée des maladies émergentes, ré émergentes et négligées sont améliorées</v>
          </cell>
          <cell r="K38" t="str">
            <v>Taux de létalité de la peste</v>
          </cell>
          <cell r="L38" t="str">
            <v>prod141CEN</v>
          </cell>
          <cell r="M38" t="str">
            <v>prod141DRSP</v>
          </cell>
          <cell r="N38" t="str">
            <v>prod141SDSP</v>
          </cell>
          <cell r="O38" t="str">
            <v>prod141CSB</v>
          </cell>
        </row>
        <row r="39">
          <cell r="J39" t="str">
            <v>Produit 15.1 la prévention et la prise en charge des maladies non transmissibles sont améliorées</v>
          </cell>
          <cell r="K39" t="str">
            <v xml:space="preserve">Taux d’utilisation de centre de dentisterie </v>
          </cell>
          <cell r="L39" t="str">
            <v>prod151CEN</v>
          </cell>
          <cell r="M39" t="str">
            <v>prod151DRSP</v>
          </cell>
          <cell r="N39" t="str">
            <v>prod151SDSP</v>
          </cell>
          <cell r="O39" t="str">
            <v>prod151CSB</v>
          </cell>
        </row>
        <row r="40">
          <cell r="J40" t="str">
            <v>Produit 16.1 les capacités institutionnelles du secteur santé en matière de promotion de la santé renforcées</v>
          </cell>
          <cell r="L40" t="str">
            <v>prod161CEN</v>
          </cell>
          <cell r="M40" t="str">
            <v>prod161DRSP</v>
          </cell>
          <cell r="N40" t="str">
            <v>prod161SDSP</v>
          </cell>
          <cell r="O40" t="str">
            <v>prod161CSB</v>
          </cell>
        </row>
        <row r="41">
          <cell r="J41" t="str">
            <v xml:space="preserve">Produit 16.2 les interventions en EAH sont renforcées  </v>
          </cell>
          <cell r="K41" t="str">
            <v>% des FS (CSB, CHRD, CHRR, CHU, ES) disposant un incinerateur</v>
          </cell>
          <cell r="L41" t="str">
            <v>prod162CEN</v>
          </cell>
          <cell r="M41" t="str">
            <v>prod162DRSP</v>
          </cell>
          <cell r="N41" t="str">
            <v>prod162SDSP</v>
          </cell>
          <cell r="O41" t="str">
            <v>prod162CSB</v>
          </cell>
        </row>
        <row r="42">
          <cell r="J42" t="str">
            <v>Produit 17.1. la communauté et les CTD sont impliquées dans la lutte conte les intoxications alimentaires</v>
          </cell>
          <cell r="K42" t="str">
            <v>% des FS (CSB, CHRD, CHRR, CHU, ES) disposant un incinerateur</v>
          </cell>
          <cell r="L42" t="str">
            <v>prod171CEN</v>
          </cell>
          <cell r="M42" t="str">
            <v>prod171DRSP</v>
          </cell>
          <cell r="N42" t="str">
            <v>prod171SDSP</v>
          </cell>
          <cell r="O42" t="str">
            <v>prod171CSB</v>
          </cell>
        </row>
        <row r="43">
          <cell r="J43" t="str">
            <v>Produit 17.2 le système de contrôle de qualité des denrées alimentaires est renforcé</v>
          </cell>
          <cell r="K43" t="str">
            <v xml:space="preserve">Proportion des Etablissements de Transformation Alimentaire  et Etablissements de Restauration Collective  ayant  respectés le Texte règlementaire définissant les normes de production, d’hygiène et de conservation des aliments </v>
          </cell>
          <cell r="L43" t="str">
            <v>prod172CEN</v>
          </cell>
          <cell r="M43" t="str">
            <v>prod172DRSP</v>
          </cell>
          <cell r="N43" t="str">
            <v>prod172SDSP</v>
          </cell>
          <cell r="O43" t="str">
            <v>prod172CSB</v>
          </cell>
        </row>
        <row r="44">
          <cell r="J44" t="str">
            <v xml:space="preserve">Produit 18.1 les réponses aux risques et catastrophes sont renforcées </v>
          </cell>
          <cell r="K44" t="str">
            <v>Proportion de la population sinistrée pris en charge médicalement dans les zones touchées par les catastrophes</v>
          </cell>
          <cell r="L44" t="str">
            <v>prod181CEN</v>
          </cell>
          <cell r="M44" t="str">
            <v>prod181DRSP</v>
          </cell>
          <cell r="N44" t="str">
            <v>prod181SDSP</v>
          </cell>
          <cell r="O44" t="str">
            <v>prod181CSB</v>
          </cell>
        </row>
      </sheetData>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s"/>
      <sheetName val="GF Title sheet"/>
      <sheetName val="GF General assumptions"/>
      <sheetName val="GF Detailed assumptions"/>
      <sheetName val="Range Page"/>
      <sheetName val="GF General instructions"/>
      <sheetName val="Objective 1 Detail Budget"/>
      <sheetName val="Detailed budget- Year 1"/>
      <sheetName val="Detailed budget- Year 2"/>
      <sheetName val="Detailed budget-Year 3, 4 and 5"/>
      <sheetName val="5 Year Budget"/>
      <sheetName val="Summary"/>
      <sheetName val="Title sheet"/>
      <sheetName val="General assumptions"/>
      <sheetName val="Detailed assumptions"/>
      <sheetName val="General instructions"/>
    </sheetNames>
    <sheetDataSet>
      <sheetData sheetId="0">
        <row r="3">
          <cell r="F3" t="str">
            <v>Human Resources</v>
          </cell>
          <cell r="H3" t="str">
            <v>FBO</v>
          </cell>
        </row>
        <row r="4">
          <cell r="F4" t="str">
            <v>Technical &amp; Management Assistance</v>
          </cell>
          <cell r="H4" t="str">
            <v>NGO/CBO/Academic</v>
          </cell>
        </row>
        <row r="5">
          <cell r="F5" t="str">
            <v>Training</v>
          </cell>
          <cell r="H5" t="str">
            <v>Private Sector</v>
          </cell>
        </row>
        <row r="6">
          <cell r="F6" t="str">
            <v>Health Products and Health Equipment</v>
          </cell>
          <cell r="H6" t="str">
            <v>MoH</v>
          </cell>
        </row>
        <row r="7">
          <cell r="F7" t="str">
            <v>Pharmaceutical Products (Medicines)</v>
          </cell>
          <cell r="H7" t="str">
            <v>Other Government</v>
          </cell>
        </row>
        <row r="8">
          <cell r="F8" t="str">
            <v>Procurement and Supply Management Costs (PSM)</v>
          </cell>
          <cell r="H8" t="str">
            <v>UNDP</v>
          </cell>
        </row>
        <row r="9">
          <cell r="F9" t="str">
            <v>Infrastructure and Other Equipment</v>
          </cell>
          <cell r="H9" t="str">
            <v>Other Multilateral Organisation</v>
          </cell>
        </row>
        <row r="10">
          <cell r="F10" t="str">
            <v>Communication Materials</v>
          </cell>
        </row>
        <row r="11">
          <cell r="F11" t="str">
            <v>Monitoring and Evaluation (M&amp;E)</v>
          </cell>
        </row>
        <row r="12">
          <cell r="F12" t="str">
            <v>Living Support to Clients/Target Population</v>
          </cell>
        </row>
        <row r="13">
          <cell r="F13" t="str">
            <v>Planning and Administration</v>
          </cell>
        </row>
        <row r="14">
          <cell r="F14" t="str">
            <v>Overheads</v>
          </cell>
        </row>
        <row r="15">
          <cell r="F15" t="str">
            <v>Other</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s"/>
      <sheetName val="Title sheet"/>
      <sheetName val="General assumptions"/>
      <sheetName val="Detailed assumptions"/>
      <sheetName val="General instructions"/>
      <sheetName val="Detailed budget- Year 1"/>
      <sheetName val="Detailed budget- Year 2"/>
      <sheetName val="Detailed budget-Year 3, 4 and 5"/>
      <sheetName val="5 Year Budget"/>
      <sheetName val="Summary"/>
    </sheetNames>
    <sheetDataSet>
      <sheetData sheetId="0">
        <row r="3">
          <cell r="F3" t="str">
            <v>Human Resources</v>
          </cell>
        </row>
        <row r="4">
          <cell r="F4" t="str">
            <v>Technical &amp; Management Assistance</v>
          </cell>
        </row>
        <row r="5">
          <cell r="F5" t="str">
            <v>Training</v>
          </cell>
        </row>
        <row r="6">
          <cell r="F6" t="str">
            <v>Health Products and Health Equipment</v>
          </cell>
        </row>
        <row r="7">
          <cell r="F7" t="str">
            <v>Pharmaceutical Products (Medicines)</v>
          </cell>
        </row>
        <row r="8">
          <cell r="F8" t="str">
            <v>Procurement and Supply Management Costs (PSM)</v>
          </cell>
        </row>
        <row r="9">
          <cell r="F9" t="str">
            <v>Infrastructure and Other Equipment</v>
          </cell>
        </row>
        <row r="10">
          <cell r="F10" t="str">
            <v>Communication Materials</v>
          </cell>
        </row>
        <row r="11">
          <cell r="F11" t="str">
            <v>Monitoring and Evaluation (M&amp;E)</v>
          </cell>
        </row>
        <row r="12">
          <cell r="F12" t="str">
            <v>Living Support to Clients/Target Population</v>
          </cell>
        </row>
        <row r="13">
          <cell r="F13" t="str">
            <v>Planning and Administration</v>
          </cell>
        </row>
        <row r="14">
          <cell r="F14" t="str">
            <v>Overheads</v>
          </cell>
        </row>
        <row r="15">
          <cell r="F15" t="str">
            <v>Other</v>
          </cell>
        </row>
      </sheetData>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au"/>
      <sheetName val="liste"/>
    </sheetNames>
    <sheetDataSet>
      <sheetData sheetId="0" refreshError="1"/>
      <sheetData sheetId="1">
        <row r="2">
          <cell r="B2" t="str">
            <v>Ambatoboeni</v>
          </cell>
          <cell r="C2" t="str">
            <v>Sitampiky</v>
          </cell>
          <cell r="D2" t="str">
            <v>Andranomamy</v>
          </cell>
          <cell r="E2" t="str">
            <v>Ambohitromby</v>
          </cell>
          <cell r="H2" t="str">
            <v>Boeni</v>
          </cell>
        </row>
        <row r="3">
          <cell r="B3" t="str">
            <v>Mitsinjo</v>
          </cell>
          <cell r="C3" t="str">
            <v>Antseza</v>
          </cell>
          <cell r="D3" t="str">
            <v>Bekipay</v>
          </cell>
          <cell r="E3" t="str">
            <v>Antongomena</v>
          </cell>
          <cell r="H3" t="str">
            <v>Betsiboka</v>
          </cell>
        </row>
        <row r="4">
          <cell r="B4" t="str">
            <v>Tsaratanana N</v>
          </cell>
          <cell r="C4" t="str">
            <v>Sakoamadinika</v>
          </cell>
          <cell r="D4" t="str">
            <v>Tsararova</v>
          </cell>
          <cell r="E4" t="str">
            <v>Sarobaratra</v>
          </cell>
          <cell r="H4" t="str">
            <v>Analanjirofo</v>
          </cell>
        </row>
        <row r="5">
          <cell r="B5" t="str">
            <v>Kandreho</v>
          </cell>
          <cell r="C5" t="str">
            <v>Andasibe</v>
          </cell>
          <cell r="D5" t="str">
            <v>Kandreho</v>
          </cell>
          <cell r="E5" t="str">
            <v>Behazomaty</v>
          </cell>
          <cell r="H5" t="str">
            <v>AtsimoAndrefana</v>
          </cell>
        </row>
        <row r="6">
          <cell r="B6" t="str">
            <v>Mananara N</v>
          </cell>
          <cell r="C6" t="str">
            <v>Befoza</v>
          </cell>
          <cell r="D6" t="str">
            <v>Vanono</v>
          </cell>
          <cell r="E6" t="str">
            <v>Ambodiampana</v>
          </cell>
          <cell r="H6" t="str">
            <v>Sava</v>
          </cell>
        </row>
        <row r="7">
          <cell r="B7" t="str">
            <v>Maroantsetra</v>
          </cell>
          <cell r="C7" t="str">
            <v>Morafeno</v>
          </cell>
          <cell r="D7" t="str">
            <v>Anjahana</v>
          </cell>
          <cell r="E7" t="str">
            <v>Anjanalana</v>
          </cell>
          <cell r="H7" t="str">
            <v>Menabe</v>
          </cell>
        </row>
        <row r="8">
          <cell r="B8" t="str">
            <v>Vavatenina</v>
          </cell>
          <cell r="C8" t="str">
            <v>Vavatenina</v>
          </cell>
          <cell r="D8" t="str">
            <v>Anjahambe</v>
          </cell>
          <cell r="E8" t="str">
            <v>Ampasina</v>
          </cell>
          <cell r="H8" t="str">
            <v>Atsinanana</v>
          </cell>
        </row>
        <row r="9">
          <cell r="B9" t="str">
            <v>Beroroha</v>
          </cell>
          <cell r="C9" t="str">
            <v>Sakena</v>
          </cell>
          <cell r="D9" t="str">
            <v>Marerano</v>
          </cell>
          <cell r="E9" t="str">
            <v>Ambahobe</v>
          </cell>
          <cell r="F9" t="str">
            <v>Beroroha</v>
          </cell>
          <cell r="H9" t="str">
            <v>Anosy</v>
          </cell>
        </row>
        <row r="10">
          <cell r="B10" t="str">
            <v>Betioky Sud</v>
          </cell>
          <cell r="C10" t="str">
            <v>Betaimbala</v>
          </cell>
          <cell r="D10" t="str">
            <v>Maroarivo</v>
          </cell>
          <cell r="E10" t="str">
            <v>Bezaha</v>
          </cell>
          <cell r="H10" t="str">
            <v>Vakinankaratra</v>
          </cell>
        </row>
        <row r="11">
          <cell r="B11" t="str">
            <v>Vohemar</v>
          </cell>
          <cell r="C11" t="str">
            <v>Lavajoro</v>
          </cell>
          <cell r="D11" t="str">
            <v>Ampisikina</v>
          </cell>
          <cell r="E11" t="str">
            <v>Androfiamena</v>
          </cell>
        </row>
        <row r="12">
          <cell r="B12" t="str">
            <v>Belo sur Tsiribihina</v>
          </cell>
          <cell r="C12" t="str">
            <v>Serinam</v>
          </cell>
          <cell r="D12" t="str">
            <v>Antsiraraka</v>
          </cell>
          <cell r="E12" t="str">
            <v>Amboalimena</v>
          </cell>
        </row>
        <row r="13">
          <cell r="B13" t="str">
            <v>Manja</v>
          </cell>
          <cell r="C13" t="str">
            <v>Rangainomby</v>
          </cell>
          <cell r="D13" t="str">
            <v>Betamenaka</v>
          </cell>
          <cell r="E13" t="str">
            <v>Manja</v>
          </cell>
        </row>
        <row r="14">
          <cell r="B14" t="str">
            <v>Marolambo</v>
          </cell>
          <cell r="C14" t="str">
            <v>Lavakianja</v>
          </cell>
          <cell r="D14" t="str">
            <v>Sahakevo</v>
          </cell>
          <cell r="E14" t="str">
            <v>Vohidamba</v>
          </cell>
        </row>
        <row r="15">
          <cell r="B15" t="str">
            <v>Amboasary Sud</v>
          </cell>
          <cell r="C15" t="str">
            <v>Ranobe</v>
          </cell>
          <cell r="D15" t="str">
            <v>Mahabo</v>
          </cell>
          <cell r="E15" t="str">
            <v>Marotsiraka</v>
          </cell>
        </row>
        <row r="16">
          <cell r="B16" t="str">
            <v>Beetroka</v>
          </cell>
          <cell r="C16" t="str">
            <v>Iritsoka</v>
          </cell>
          <cell r="D16" t="str">
            <v>Iaborotsy</v>
          </cell>
          <cell r="E16" t="str">
            <v>Beapombo I</v>
          </cell>
        </row>
        <row r="17">
          <cell r="B17" t="str">
            <v>Faratsiho</v>
          </cell>
          <cell r="C17" t="str">
            <v>Andranomanjaka</v>
          </cell>
          <cell r="D17" t="str">
            <v>Ankanobe 2</v>
          </cell>
          <cell r="E17" t="str">
            <v>Ambohitromby</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au"/>
      <sheetName val="liste"/>
    </sheetNames>
    <sheetDataSet>
      <sheetData sheetId="0" refreshError="1"/>
      <sheetData sheetId="1">
        <row r="2">
          <cell r="B2" t="str">
            <v>Ambatoboeni</v>
          </cell>
          <cell r="C2" t="str">
            <v>Sitampiky</v>
          </cell>
          <cell r="D2" t="str">
            <v>Andranomamy</v>
          </cell>
          <cell r="E2" t="str">
            <v>Ambohitromby</v>
          </cell>
          <cell r="H2" t="str">
            <v>Boeni</v>
          </cell>
        </row>
        <row r="3">
          <cell r="B3" t="str">
            <v>Mitsinjo</v>
          </cell>
          <cell r="C3" t="str">
            <v>Antseza</v>
          </cell>
          <cell r="D3" t="str">
            <v>Bekipay</v>
          </cell>
          <cell r="E3" t="str">
            <v>Antongomena</v>
          </cell>
          <cell r="H3" t="str">
            <v>Betsiboka</v>
          </cell>
        </row>
        <row r="4">
          <cell r="B4" t="str">
            <v>Tsaratanana N</v>
          </cell>
          <cell r="C4" t="str">
            <v>Sakoamadinika</v>
          </cell>
          <cell r="D4" t="str">
            <v>Tsararova</v>
          </cell>
          <cell r="E4" t="str">
            <v>Sarobaratra</v>
          </cell>
          <cell r="H4" t="str">
            <v>Analanjirofo</v>
          </cell>
        </row>
        <row r="5">
          <cell r="B5" t="str">
            <v>Kandreho</v>
          </cell>
          <cell r="C5" t="str">
            <v>Andasibe</v>
          </cell>
          <cell r="D5" t="str">
            <v>Kandreho</v>
          </cell>
          <cell r="E5" t="str">
            <v>Behazomaty</v>
          </cell>
          <cell r="H5" t="str">
            <v>AtsimoAndrefana</v>
          </cell>
        </row>
        <row r="6">
          <cell r="B6" t="str">
            <v>Mananara N</v>
          </cell>
          <cell r="C6" t="str">
            <v>Befoza</v>
          </cell>
          <cell r="D6" t="str">
            <v>Vanono</v>
          </cell>
          <cell r="E6" t="str">
            <v>Ambodiampana</v>
          </cell>
          <cell r="H6" t="str">
            <v>Sava</v>
          </cell>
        </row>
        <row r="7">
          <cell r="B7" t="str">
            <v>Maroantsetra</v>
          </cell>
          <cell r="C7" t="str">
            <v>Morafeno</v>
          </cell>
          <cell r="D7" t="str">
            <v>Anjahana</v>
          </cell>
          <cell r="E7" t="str">
            <v>Anjanalana</v>
          </cell>
          <cell r="H7" t="str">
            <v>Menabe</v>
          </cell>
        </row>
        <row r="8">
          <cell r="B8" t="str">
            <v>Vavatenina</v>
          </cell>
          <cell r="C8" t="str">
            <v>Vavatenina</v>
          </cell>
          <cell r="D8" t="str">
            <v>Anjahambe</v>
          </cell>
          <cell r="E8" t="str">
            <v>Ampasina</v>
          </cell>
          <cell r="H8" t="str">
            <v>Atsinanana</v>
          </cell>
        </row>
        <row r="9">
          <cell r="B9" t="str">
            <v>Beroroha</v>
          </cell>
          <cell r="C9" t="str">
            <v>Sakena</v>
          </cell>
          <cell r="D9" t="str">
            <v>Marerano</v>
          </cell>
          <cell r="E9" t="str">
            <v>Ambahobe</v>
          </cell>
          <cell r="F9" t="str">
            <v>Beroroha</v>
          </cell>
          <cell r="H9" t="str">
            <v>Anosy</v>
          </cell>
        </row>
        <row r="10">
          <cell r="B10" t="str">
            <v>Betioky Sud</v>
          </cell>
          <cell r="C10" t="str">
            <v>Betaimbala</v>
          </cell>
          <cell r="D10" t="str">
            <v>Maroarivo</v>
          </cell>
          <cell r="E10" t="str">
            <v>Bezaha</v>
          </cell>
          <cell r="H10" t="str">
            <v>Vakinankaratra</v>
          </cell>
        </row>
        <row r="11">
          <cell r="B11" t="str">
            <v>Vohemar</v>
          </cell>
          <cell r="C11" t="str">
            <v>Lavajoro</v>
          </cell>
          <cell r="D11" t="str">
            <v>Ampisikina</v>
          </cell>
          <cell r="E11" t="str">
            <v>Androfiamena</v>
          </cell>
        </row>
        <row r="12">
          <cell r="B12" t="str">
            <v>Belo sur Tsiribihina</v>
          </cell>
          <cell r="C12" t="str">
            <v>Serinam</v>
          </cell>
          <cell r="D12" t="str">
            <v>Antsiraraka</v>
          </cell>
          <cell r="E12" t="str">
            <v>Amboalimena</v>
          </cell>
        </row>
        <row r="13">
          <cell r="B13" t="str">
            <v>Manja</v>
          </cell>
          <cell r="C13" t="str">
            <v>Rangainomby</v>
          </cell>
          <cell r="D13" t="str">
            <v>Betamenaka</v>
          </cell>
          <cell r="E13" t="str">
            <v>Manja</v>
          </cell>
        </row>
        <row r="14">
          <cell r="B14" t="str">
            <v>Marolambo</v>
          </cell>
          <cell r="C14" t="str">
            <v>Lavakianja</v>
          </cell>
          <cell r="D14" t="str">
            <v>Sahakevo</v>
          </cell>
          <cell r="E14" t="str">
            <v>Vohidamba</v>
          </cell>
        </row>
        <row r="15">
          <cell r="B15" t="str">
            <v>Amboasary Sud</v>
          </cell>
          <cell r="C15" t="str">
            <v>Ranobe</v>
          </cell>
          <cell r="D15" t="str">
            <v>Mahabo</v>
          </cell>
          <cell r="E15" t="str">
            <v>Marotsiraka</v>
          </cell>
        </row>
        <row r="16">
          <cell r="B16" t="str">
            <v>Beetroka</v>
          </cell>
          <cell r="C16" t="str">
            <v>Iritsoka</v>
          </cell>
          <cell r="D16" t="str">
            <v>Iaborotsy</v>
          </cell>
          <cell r="E16" t="str">
            <v>Beapombo I</v>
          </cell>
        </row>
        <row r="17">
          <cell r="B17" t="str">
            <v>Faratsiho</v>
          </cell>
          <cell r="C17" t="str">
            <v>Andranomanjaka</v>
          </cell>
          <cell r="D17" t="str">
            <v>Ankanobe 2</v>
          </cell>
          <cell r="E17" t="str">
            <v>Ambohitromby</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s-Normes"/>
      <sheetName val="Recap_SDSP"/>
      <sheetName val="Coût_SDSP"/>
      <sheetName val="Details District abv"/>
      <sheetName val="EQUIPES"/>
      <sheetName val="intrants"/>
      <sheetName val="cibles"/>
      <sheetName val="donnees de base"/>
      <sheetName val="fiche de pce"/>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CUEIL"/>
      <sheetName val="FORMULAIRE_BUDGET_SAGE"/>
      <sheetName val="LISTE_ACTIVITES"/>
      <sheetName val="BUDGET_PREVISIONNEL"/>
      <sheetName val="CENTRALISATION_BUDGETS"/>
      <sheetName val="BUDGETISATIONS_FINIES"/>
      <sheetName val="JOURNAL DE BANQUE"/>
      <sheetName val="SAISIE_DONNEES"/>
      <sheetName val="VERIFICATION_PJ"/>
      <sheetName val="JOURNAL_DEPENSE"/>
      <sheetName val="RAPPORT FINANCIER"/>
      <sheetName val="SUIVI FONDS ACTIVITÉS"/>
      <sheetName val="DASHBOARD"/>
      <sheetName val="PARAMETRES"/>
      <sheetName val="DISTANCES_DISTRICTS"/>
      <sheetName val="LISTES"/>
      <sheetName val="CHECKLIST_PJ"/>
      <sheetName val="CONTROLE_PRESENCE"/>
      <sheetName val="RAPPROCHEMENT BANCAIRE"/>
      <sheetName val="SUIVI FONDS VIRÉS"/>
      <sheetName val="GESTION_BUDGETS"/>
      <sheetName val="BUDGET_ACCORDE_MODIFIE"/>
      <sheetName val="FORMULAIRE_BANQUE_SAGE"/>
      <sheetName val="FORMULAIRE_DEPENSE_PJ_SAGE"/>
      <sheetName val="NOMBRES_LETT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D2" t="str">
            <v>Antananarivo-Renivohitra</v>
          </cell>
        </row>
        <row r="3">
          <cell r="D3" t="str">
            <v>Ambohidratrimo</v>
          </cell>
        </row>
        <row r="4">
          <cell r="D4" t="str">
            <v>Andramasina</v>
          </cell>
        </row>
        <row r="5">
          <cell r="D5" t="str">
            <v>Anjozorobe</v>
          </cell>
        </row>
        <row r="6">
          <cell r="D6" t="str">
            <v>Ankazobe</v>
          </cell>
        </row>
        <row r="7">
          <cell r="D7" t="str">
            <v>Antananarivo-Atsimondrano</v>
          </cell>
        </row>
        <row r="8">
          <cell r="D8" t="str">
            <v>Antananarivo-Avaradrano</v>
          </cell>
        </row>
        <row r="9">
          <cell r="D9" t="str">
            <v>Manjakandriana</v>
          </cell>
        </row>
        <row r="10">
          <cell r="D10" t="str">
            <v>Tsiroanomandidy</v>
          </cell>
        </row>
        <row r="11">
          <cell r="D11" t="str">
            <v>Fenoarivobe</v>
          </cell>
        </row>
        <row r="12">
          <cell r="D12" t="str">
            <v>Miarinarivo</v>
          </cell>
        </row>
        <row r="13">
          <cell r="D13" t="str">
            <v>Arivonimamo</v>
          </cell>
        </row>
        <row r="14">
          <cell r="D14" t="str">
            <v>Soavinandriana</v>
          </cell>
        </row>
        <row r="15">
          <cell r="D15" t="str">
            <v>Antsirabe I</v>
          </cell>
        </row>
        <row r="16">
          <cell r="D16" t="str">
            <v>Antsirabe II</v>
          </cell>
        </row>
        <row r="17">
          <cell r="D17" t="str">
            <v>Ambatolampy</v>
          </cell>
        </row>
        <row r="18">
          <cell r="D18" t="str">
            <v>Antanifotsy</v>
          </cell>
        </row>
        <row r="19">
          <cell r="D19" t="str">
            <v>Betafo</v>
          </cell>
        </row>
        <row r="20">
          <cell r="D20" t="str">
            <v>Faratsiho</v>
          </cell>
        </row>
        <row r="21">
          <cell r="D21" t="str">
            <v>Mandoto</v>
          </cell>
        </row>
        <row r="22">
          <cell r="D22" t="str">
            <v>Antsiranana I</v>
          </cell>
        </row>
        <row r="23">
          <cell r="D23" t="str">
            <v>Antsiranana II</v>
          </cell>
        </row>
        <row r="24">
          <cell r="D24" t="str">
            <v>Ambanja</v>
          </cell>
        </row>
        <row r="25">
          <cell r="D25" t="str">
            <v>Ambilobe</v>
          </cell>
        </row>
        <row r="26">
          <cell r="D26" t="str">
            <v>Nosy Be</v>
          </cell>
        </row>
        <row r="27">
          <cell r="D27" t="str">
            <v>Sambava</v>
          </cell>
        </row>
        <row r="28">
          <cell r="D28" t="str">
            <v>Andapa</v>
          </cell>
        </row>
        <row r="29">
          <cell r="D29" t="str">
            <v>Antalaha</v>
          </cell>
        </row>
        <row r="30">
          <cell r="D30" t="str">
            <v>Vohemar</v>
          </cell>
        </row>
        <row r="31">
          <cell r="D31" t="str">
            <v>Ambositra</v>
          </cell>
        </row>
        <row r="32">
          <cell r="D32" t="str">
            <v>Ambatofinandrahana</v>
          </cell>
        </row>
        <row r="33">
          <cell r="D33" t="str">
            <v>Fandriana</v>
          </cell>
        </row>
        <row r="34">
          <cell r="D34" t="str">
            <v>Manandriana</v>
          </cell>
        </row>
        <row r="35">
          <cell r="D35" t="str">
            <v>Farafangana</v>
          </cell>
        </row>
        <row r="36">
          <cell r="D36" t="str">
            <v>Befotaka</v>
          </cell>
        </row>
        <row r="37">
          <cell r="D37" t="str">
            <v>Midongy-Atsimo</v>
          </cell>
        </row>
        <row r="38">
          <cell r="D38" t="str">
            <v>Vangaindrano</v>
          </cell>
        </row>
        <row r="39">
          <cell r="D39" t="str">
            <v>Vondrozo</v>
          </cell>
        </row>
        <row r="40">
          <cell r="D40" t="str">
            <v xml:space="preserve">Fianarantsoa </v>
          </cell>
        </row>
        <row r="41">
          <cell r="D41" t="str">
            <v>Ambalavao</v>
          </cell>
        </row>
        <row r="42">
          <cell r="D42" t="str">
            <v>Ambohimahasoa</v>
          </cell>
        </row>
        <row r="43">
          <cell r="D43" t="str">
            <v>Isandra</v>
          </cell>
        </row>
        <row r="44">
          <cell r="D44" t="str">
            <v>Ikalamavony</v>
          </cell>
        </row>
        <row r="45">
          <cell r="D45" t="str">
            <v>Vohibato</v>
          </cell>
        </row>
        <row r="46">
          <cell r="D46" t="str">
            <v>Lalangina</v>
          </cell>
        </row>
        <row r="47">
          <cell r="D47" t="str">
            <v>Ihosy</v>
          </cell>
        </row>
        <row r="48">
          <cell r="D48" t="str">
            <v>Iakora</v>
          </cell>
        </row>
        <row r="49">
          <cell r="D49" t="str">
            <v>Ivohibe</v>
          </cell>
        </row>
        <row r="50">
          <cell r="D50" t="str">
            <v>Manakara</v>
          </cell>
        </row>
        <row r="51">
          <cell r="D51" t="str">
            <v>Vohipeno</v>
          </cell>
        </row>
        <row r="52">
          <cell r="D52" t="str">
            <v>Nosy Varika</v>
          </cell>
        </row>
        <row r="53">
          <cell r="D53" t="str">
            <v>Mananjary</v>
          </cell>
        </row>
        <row r="54">
          <cell r="D54" t="str">
            <v>Ikongo</v>
          </cell>
        </row>
        <row r="55">
          <cell r="D55" t="str">
            <v>Ifanadiana</v>
          </cell>
        </row>
        <row r="56">
          <cell r="D56" t="str">
            <v>Maevatanana</v>
          </cell>
        </row>
        <row r="57">
          <cell r="D57" t="str">
            <v>Kandreho</v>
          </cell>
        </row>
        <row r="58">
          <cell r="D58" t="str">
            <v>Tsaratanana</v>
          </cell>
        </row>
        <row r="59">
          <cell r="D59" t="str">
            <v>Mahajanga I</v>
          </cell>
        </row>
        <row r="60">
          <cell r="D60" t="str">
            <v>Mahajanga II</v>
          </cell>
        </row>
        <row r="61">
          <cell r="D61" t="str">
            <v>Ambato-Boeni</v>
          </cell>
        </row>
        <row r="62">
          <cell r="D62" t="str">
            <v>Marovoay</v>
          </cell>
        </row>
        <row r="63">
          <cell r="D63" t="str">
            <v>Mitsinjo</v>
          </cell>
        </row>
        <row r="64">
          <cell r="D64" t="str">
            <v>Soalala</v>
          </cell>
        </row>
        <row r="65">
          <cell r="D65" t="str">
            <v>Maintirano</v>
          </cell>
        </row>
        <row r="66">
          <cell r="D66" t="str">
            <v>Ambatomainty</v>
          </cell>
        </row>
        <row r="67">
          <cell r="D67" t="str">
            <v>Antsalova</v>
          </cell>
        </row>
        <row r="68">
          <cell r="D68" t="str">
            <v>Besalampy</v>
          </cell>
        </row>
        <row r="69">
          <cell r="D69" t="str">
            <v>Morafenobe</v>
          </cell>
        </row>
        <row r="70">
          <cell r="D70" t="str">
            <v>Antsohihy</v>
          </cell>
        </row>
        <row r="71">
          <cell r="D71" t="str">
            <v>Analalava</v>
          </cell>
        </row>
        <row r="72">
          <cell r="D72" t="str">
            <v>Bealanana</v>
          </cell>
        </row>
        <row r="73">
          <cell r="D73" t="str">
            <v>Befandriana Avaratra</v>
          </cell>
        </row>
        <row r="74">
          <cell r="D74" t="str">
            <v>Mampikony</v>
          </cell>
        </row>
        <row r="75">
          <cell r="D75" t="str">
            <v>Mandritsara</v>
          </cell>
        </row>
        <row r="76">
          <cell r="D76" t="str">
            <v>Port Berger</v>
          </cell>
        </row>
        <row r="77">
          <cell r="D77" t="str">
            <v>Ambatondrazaka</v>
          </cell>
        </row>
        <row r="78">
          <cell r="D78" t="str">
            <v>Amparafaravola</v>
          </cell>
        </row>
        <row r="79">
          <cell r="D79" t="str">
            <v>Andilamena</v>
          </cell>
        </row>
        <row r="80">
          <cell r="D80" t="str">
            <v>Anosibe-An'ala</v>
          </cell>
        </row>
        <row r="81">
          <cell r="D81" t="str">
            <v>Moramanga</v>
          </cell>
        </row>
        <row r="82">
          <cell r="D82" t="str">
            <v>Fénérive Est</v>
          </cell>
        </row>
        <row r="83">
          <cell r="D83" t="str">
            <v>Mananara Avaratra</v>
          </cell>
        </row>
        <row r="84">
          <cell r="D84" t="str">
            <v>Maroantsetra</v>
          </cell>
        </row>
        <row r="85">
          <cell r="D85" t="str">
            <v>Sainte Marie</v>
          </cell>
        </row>
        <row r="86">
          <cell r="D86" t="str">
            <v>Soanierana-Ivongo</v>
          </cell>
        </row>
        <row r="87">
          <cell r="D87" t="str">
            <v>Vavatenina</v>
          </cell>
        </row>
        <row r="88">
          <cell r="D88" t="str">
            <v>Toamasina I</v>
          </cell>
        </row>
        <row r="89">
          <cell r="D89" t="str">
            <v>Toamasina II</v>
          </cell>
        </row>
        <row r="90">
          <cell r="D90" t="str">
            <v>Antanambao-Manampotsy</v>
          </cell>
        </row>
        <row r="91">
          <cell r="D91" t="str">
            <v>Vohibinany (Brickaville)</v>
          </cell>
        </row>
        <row r="92">
          <cell r="D92" t="str">
            <v>Mahanoro</v>
          </cell>
        </row>
        <row r="93">
          <cell r="D93" t="str">
            <v>Marolambo</v>
          </cell>
        </row>
        <row r="94">
          <cell r="D94" t="str">
            <v>Vatomandry</v>
          </cell>
        </row>
        <row r="95">
          <cell r="D95" t="str">
            <v>Ambovombe</v>
          </cell>
        </row>
        <row r="96">
          <cell r="D96" t="str">
            <v>Bekily</v>
          </cell>
        </row>
        <row r="97">
          <cell r="D97" t="str">
            <v>Beloha</v>
          </cell>
        </row>
        <row r="98">
          <cell r="D98" t="str">
            <v>Tsihombe</v>
          </cell>
        </row>
        <row r="99">
          <cell r="D99" t="str">
            <v>Antanimora</v>
          </cell>
        </row>
        <row r="100">
          <cell r="D100" t="str">
            <v>Taolagnaro</v>
          </cell>
        </row>
        <row r="101">
          <cell r="D101" t="str">
            <v>Amboasary-Atsimo</v>
          </cell>
        </row>
        <row r="102">
          <cell r="D102" t="str">
            <v>Betroka</v>
          </cell>
        </row>
        <row r="103">
          <cell r="D103" t="str">
            <v>Toliara I</v>
          </cell>
        </row>
        <row r="104">
          <cell r="D104" t="str">
            <v>Toliara II</v>
          </cell>
        </row>
        <row r="105">
          <cell r="D105" t="str">
            <v>Ampanihy</v>
          </cell>
        </row>
        <row r="106">
          <cell r="D106" t="str">
            <v>Ankazoabo-Atsimo</v>
          </cell>
        </row>
        <row r="107">
          <cell r="D107" t="str">
            <v>Benenitra</v>
          </cell>
        </row>
        <row r="108">
          <cell r="D108" t="str">
            <v>Beroroha</v>
          </cell>
        </row>
        <row r="109">
          <cell r="D109" t="str">
            <v>Betioky-Atsimo</v>
          </cell>
        </row>
        <row r="110">
          <cell r="D110" t="str">
            <v>Morombe</v>
          </cell>
        </row>
        <row r="111">
          <cell r="D111" t="str">
            <v>Sakaraha</v>
          </cell>
        </row>
        <row r="112">
          <cell r="D112" t="str">
            <v>Morondava</v>
          </cell>
        </row>
        <row r="113">
          <cell r="D113" t="str">
            <v>Belon'i Tsiribihina</v>
          </cell>
        </row>
        <row r="114">
          <cell r="D114" t="str">
            <v>Mahabo</v>
          </cell>
        </row>
        <row r="115">
          <cell r="D115" t="str">
            <v>Manja</v>
          </cell>
        </row>
        <row r="116">
          <cell r="D116" t="str">
            <v>Miandrivazo</v>
          </cell>
        </row>
      </sheetData>
      <sheetData sheetId="15">
        <row r="2">
          <cell r="A2" t="str">
            <v>RESTAURATION / ORGANISATION</v>
          </cell>
          <cell r="C2" t="str">
            <v>Budget prévisionnel</v>
          </cell>
          <cell r="D2" t="str">
            <v>Oui</v>
          </cell>
          <cell r="G2" t="str">
            <v>Voiture administrative ou 4*4</v>
          </cell>
          <cell r="H2">
            <v>1</v>
          </cell>
          <cell r="L2" t="str">
            <v>Eau minérale</v>
          </cell>
          <cell r="M2" t="str">
            <v>SUB_RESTAURATION</v>
          </cell>
          <cell r="N2" t="str">
            <v>Eau minérale</v>
          </cell>
        </row>
        <row r="3">
          <cell r="A3" t="str">
            <v>FOURNITURES</v>
          </cell>
          <cell r="C3" t="str">
            <v>Journal de banque</v>
          </cell>
          <cell r="D3" t="str">
            <v>Non</v>
          </cell>
          <cell r="G3" t="str">
            <v>Car 16 places</v>
          </cell>
          <cell r="H3">
            <v>2</v>
          </cell>
          <cell r="L3" t="str">
            <v>Déjeuner</v>
          </cell>
          <cell r="M3" t="str">
            <v>SUB_RESTAURATION</v>
          </cell>
          <cell r="N3" t="str">
            <v>Déjeuner</v>
          </cell>
        </row>
        <row r="4">
          <cell r="A4" t="str">
            <v>INDEMNITÉS DES MISSIONNAIRES OU PARTICIPANTS</v>
          </cell>
          <cell r="C4" t="str">
            <v>Journal de dépense</v>
          </cell>
          <cell r="D4" t="str">
            <v>Non applicable</v>
          </cell>
          <cell r="G4" t="str">
            <v>Car plus de 22 places</v>
          </cell>
          <cell r="H4">
            <v>3</v>
          </cell>
          <cell r="L4" t="str">
            <v>Pause café</v>
          </cell>
          <cell r="M4" t="str">
            <v>SUB_RESTAURATION</v>
          </cell>
          <cell r="N4" t="str">
            <v>Pause café</v>
          </cell>
        </row>
        <row r="5">
          <cell r="A5" t="str">
            <v>DÉPLACEMENTS DES MISSIONNAIRES OU PARTICIPANTS</v>
          </cell>
          <cell r="C5" t="str">
            <v>Vérification de PJ</v>
          </cell>
          <cell r="G5" t="str">
            <v>Camion</v>
          </cell>
          <cell r="H5">
            <v>4</v>
          </cell>
          <cell r="L5" t="str">
            <v>Location de salle équipée</v>
          </cell>
          <cell r="N5" t="str">
            <v>Dépôt</v>
          </cell>
        </row>
        <row r="6">
          <cell r="A6" t="str">
            <v>AUTRES</v>
          </cell>
          <cell r="G6" t="str">
            <v>Moto</v>
          </cell>
          <cell r="H6">
            <v>5</v>
          </cell>
          <cell r="L6" t="str">
            <v>Marker</v>
          </cell>
          <cell r="N6" t="str">
            <v>Retrait</v>
          </cell>
        </row>
        <row r="7">
          <cell r="A7" t="str">
            <v>COUVERTURE MÉDIATIQUE</v>
          </cell>
          <cell r="G7" t="str">
            <v>Petite voiture</v>
          </cell>
          <cell r="H7">
            <v>6</v>
          </cell>
          <cell r="L7" t="str">
            <v>Masking tape</v>
          </cell>
          <cell r="N7" t="str">
            <v>Autre</v>
          </cell>
        </row>
        <row r="8">
          <cell r="A8" t="str">
            <v>MULTIPLICATION DE DOCUMENT/VISUEL</v>
          </cell>
          <cell r="H8">
            <v>7</v>
          </cell>
          <cell r="L8" t="str">
            <v>Rame A4</v>
          </cell>
        </row>
        <row r="9">
          <cell r="H9">
            <v>8</v>
          </cell>
          <cell r="L9" t="str">
            <v>Classeur à rabat plastique</v>
          </cell>
        </row>
        <row r="10">
          <cell r="H10">
            <v>9</v>
          </cell>
          <cell r="L10" t="str">
            <v>Stylo bleu</v>
          </cell>
        </row>
        <row r="11">
          <cell r="H11">
            <v>10</v>
          </cell>
          <cell r="L11" t="str">
            <v>Stylo rouge</v>
          </cell>
        </row>
        <row r="12">
          <cell r="H12">
            <v>11</v>
          </cell>
          <cell r="L12" t="str">
            <v>Bloc note</v>
          </cell>
        </row>
        <row r="13">
          <cell r="H13">
            <v>12</v>
          </cell>
          <cell r="L13" t="str">
            <v>Flip chart</v>
          </cell>
        </row>
        <row r="14">
          <cell r="H14">
            <v>13</v>
          </cell>
          <cell r="L14" t="str">
            <v>Achat de matériels informatique</v>
          </cell>
        </row>
        <row r="15">
          <cell r="H15">
            <v>14</v>
          </cell>
          <cell r="L15" t="str">
            <v>Achat de crédit</v>
          </cell>
        </row>
        <row r="16">
          <cell r="H16">
            <v>15</v>
          </cell>
          <cell r="L16" t="str">
            <v>Autres</v>
          </cell>
        </row>
        <row r="17">
          <cell r="H17">
            <v>16</v>
          </cell>
          <cell r="L17" t="str">
            <v>Délai de route</v>
          </cell>
        </row>
        <row r="18">
          <cell r="H18">
            <v>17</v>
          </cell>
          <cell r="L18" t="str">
            <v>Pendant activité</v>
          </cell>
        </row>
        <row r="19">
          <cell r="H19">
            <v>18</v>
          </cell>
          <cell r="L19" t="str">
            <v>Chauffeur</v>
          </cell>
        </row>
        <row r="20">
          <cell r="H20">
            <v>19</v>
          </cell>
          <cell r="L20" t="str">
            <v>Carburant</v>
          </cell>
        </row>
        <row r="21">
          <cell r="H21">
            <v>20</v>
          </cell>
          <cell r="L21" t="str">
            <v>Déplacement forfaitaire</v>
          </cell>
        </row>
        <row r="22">
          <cell r="H22">
            <v>21</v>
          </cell>
          <cell r="L22" t="str">
            <v>Location de véhicule</v>
          </cell>
        </row>
        <row r="23">
          <cell r="H23">
            <v>22</v>
          </cell>
          <cell r="L23" t="str">
            <v>Frais taxi brousse</v>
          </cell>
        </row>
        <row r="24">
          <cell r="H24">
            <v>23</v>
          </cell>
          <cell r="L24" t="str">
            <v>Frais de transfert</v>
          </cell>
        </row>
        <row r="25">
          <cell r="H25">
            <v>24</v>
          </cell>
          <cell r="L25" t="str">
            <v>Déplacement par avion</v>
          </cell>
        </row>
        <row r="26">
          <cell r="H26">
            <v>25</v>
          </cell>
          <cell r="L26" t="str">
            <v>Autres</v>
          </cell>
        </row>
        <row r="27">
          <cell r="H27">
            <v>26</v>
          </cell>
        </row>
        <row r="28">
          <cell r="H28">
            <v>27</v>
          </cell>
        </row>
        <row r="29">
          <cell r="H29">
            <v>28</v>
          </cell>
        </row>
        <row r="30">
          <cell r="H30">
            <v>29</v>
          </cell>
        </row>
        <row r="31">
          <cell r="H31">
            <v>30</v>
          </cell>
        </row>
        <row r="32">
          <cell r="H32">
            <v>31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ce"/>
      <sheetName val="mouvement"/>
      <sheetName val="Etat de stock"/>
      <sheetName val="Etat de stock (2)"/>
      <sheetName val="Feuil4"/>
      <sheetName val="Feuil2"/>
    </sheetNames>
    <sheetDataSet>
      <sheetData sheetId="0" refreshError="1"/>
      <sheetData sheetId="1">
        <row r="3">
          <cell r="C3">
            <v>4</v>
          </cell>
          <cell r="E3">
            <v>2</v>
          </cell>
        </row>
        <row r="4">
          <cell r="C4">
            <v>4</v>
          </cell>
          <cell r="E4">
            <v>2</v>
          </cell>
        </row>
        <row r="5">
          <cell r="C5">
            <v>6</v>
          </cell>
          <cell r="E5">
            <v>40</v>
          </cell>
        </row>
        <row r="6">
          <cell r="C6">
            <v>4</v>
          </cell>
          <cell r="E6">
            <v>2</v>
          </cell>
        </row>
        <row r="7">
          <cell r="C7">
            <v>4</v>
          </cell>
          <cell r="E7">
            <v>2</v>
          </cell>
        </row>
        <row r="8">
          <cell r="C8">
            <v>4</v>
          </cell>
          <cell r="E8">
            <v>2</v>
          </cell>
        </row>
        <row r="9">
          <cell r="C9">
            <v>4</v>
          </cell>
          <cell r="E9">
            <v>2</v>
          </cell>
        </row>
        <row r="10">
          <cell r="C10">
            <v>4</v>
          </cell>
          <cell r="E10">
            <v>2</v>
          </cell>
        </row>
        <row r="11">
          <cell r="C11">
            <v>6</v>
          </cell>
          <cell r="E11">
            <v>49</v>
          </cell>
        </row>
        <row r="12">
          <cell r="C12">
            <v>4</v>
          </cell>
          <cell r="E12">
            <v>2</v>
          </cell>
        </row>
        <row r="13">
          <cell r="C13">
            <v>4</v>
          </cell>
          <cell r="E13">
            <v>2</v>
          </cell>
        </row>
        <row r="14">
          <cell r="C14">
            <v>4</v>
          </cell>
          <cell r="E14">
            <v>2</v>
          </cell>
        </row>
        <row r="15">
          <cell r="C15">
            <v>4</v>
          </cell>
          <cell r="E15">
            <v>2</v>
          </cell>
        </row>
        <row r="16">
          <cell r="C16">
            <v>4</v>
          </cell>
          <cell r="E16">
            <v>2</v>
          </cell>
        </row>
        <row r="17">
          <cell r="C17">
            <v>1</v>
          </cell>
          <cell r="E17">
            <v>55</v>
          </cell>
        </row>
        <row r="18">
          <cell r="C18">
            <v>1</v>
          </cell>
          <cell r="E18">
            <v>55</v>
          </cell>
        </row>
        <row r="19">
          <cell r="C19">
            <v>18</v>
          </cell>
          <cell r="E19">
            <v>50</v>
          </cell>
        </row>
        <row r="20">
          <cell r="C20">
            <v>18</v>
          </cell>
          <cell r="E20">
            <v>50</v>
          </cell>
        </row>
        <row r="21">
          <cell r="C21">
            <v>18</v>
          </cell>
          <cell r="E21">
            <v>50</v>
          </cell>
        </row>
        <row r="22">
          <cell r="C22">
            <v>18</v>
          </cell>
          <cell r="E22">
            <v>50</v>
          </cell>
        </row>
        <row r="23">
          <cell r="C23">
            <v>18</v>
          </cell>
          <cell r="E23">
            <v>50</v>
          </cell>
        </row>
        <row r="24">
          <cell r="C24">
            <v>18</v>
          </cell>
          <cell r="E24">
            <v>50</v>
          </cell>
        </row>
        <row r="25">
          <cell r="C25">
            <v>18</v>
          </cell>
          <cell r="E25">
            <v>50</v>
          </cell>
        </row>
        <row r="26">
          <cell r="C26">
            <v>18</v>
          </cell>
          <cell r="E26">
            <v>50</v>
          </cell>
        </row>
        <row r="27">
          <cell r="C27">
            <v>18</v>
          </cell>
          <cell r="E27">
            <v>50</v>
          </cell>
        </row>
        <row r="28">
          <cell r="C28">
            <v>18</v>
          </cell>
          <cell r="E28">
            <v>50</v>
          </cell>
        </row>
        <row r="29">
          <cell r="C29">
            <v>18</v>
          </cell>
          <cell r="E29">
            <v>47</v>
          </cell>
        </row>
        <row r="30">
          <cell r="C30">
            <v>18</v>
          </cell>
          <cell r="E30">
            <v>50</v>
          </cell>
        </row>
        <row r="31">
          <cell r="C31">
            <v>18</v>
          </cell>
          <cell r="E31">
            <v>50</v>
          </cell>
        </row>
        <row r="32">
          <cell r="C32">
            <v>18</v>
          </cell>
          <cell r="E32">
            <v>50</v>
          </cell>
        </row>
        <row r="33">
          <cell r="C33">
            <v>17</v>
          </cell>
          <cell r="E33">
            <v>377</v>
          </cell>
        </row>
        <row r="34">
          <cell r="C34">
            <v>18</v>
          </cell>
          <cell r="E34">
            <v>50</v>
          </cell>
        </row>
        <row r="35">
          <cell r="C35">
            <v>18</v>
          </cell>
          <cell r="E35">
            <v>50</v>
          </cell>
        </row>
        <row r="36">
          <cell r="C36">
            <v>18</v>
          </cell>
          <cell r="E36">
            <v>48</v>
          </cell>
        </row>
        <row r="37">
          <cell r="C37">
            <v>18</v>
          </cell>
          <cell r="E37">
            <v>50</v>
          </cell>
        </row>
        <row r="38">
          <cell r="C38">
            <v>18</v>
          </cell>
          <cell r="E38">
            <v>50</v>
          </cell>
        </row>
        <row r="39">
          <cell r="C39">
            <v>16</v>
          </cell>
          <cell r="E39">
            <v>396</v>
          </cell>
        </row>
        <row r="40">
          <cell r="C40">
            <v>4</v>
          </cell>
          <cell r="E40">
            <v>2</v>
          </cell>
        </row>
        <row r="41">
          <cell r="C41">
            <v>2</v>
          </cell>
          <cell r="E41">
            <v>644</v>
          </cell>
        </row>
        <row r="42">
          <cell r="C42">
            <v>6</v>
          </cell>
          <cell r="E42">
            <v>40</v>
          </cell>
        </row>
        <row r="43">
          <cell r="C43">
            <v>4</v>
          </cell>
          <cell r="E43">
            <v>2</v>
          </cell>
        </row>
        <row r="44">
          <cell r="C44">
            <v>1</v>
          </cell>
          <cell r="E44">
            <v>53</v>
          </cell>
        </row>
        <row r="45">
          <cell r="C45">
            <v>4</v>
          </cell>
          <cell r="E45">
            <v>2</v>
          </cell>
        </row>
        <row r="46">
          <cell r="C46">
            <v>4</v>
          </cell>
          <cell r="E46">
            <v>2</v>
          </cell>
        </row>
        <row r="47">
          <cell r="C47">
            <v>4</v>
          </cell>
          <cell r="E47">
            <v>2</v>
          </cell>
        </row>
        <row r="48">
          <cell r="C48">
            <v>4</v>
          </cell>
          <cell r="E48">
            <v>2</v>
          </cell>
        </row>
        <row r="49">
          <cell r="C49">
            <v>4</v>
          </cell>
          <cell r="E49">
            <v>2</v>
          </cell>
        </row>
        <row r="50">
          <cell r="C50">
            <v>4</v>
          </cell>
          <cell r="E50">
            <v>2</v>
          </cell>
        </row>
        <row r="51">
          <cell r="C51">
            <v>1</v>
          </cell>
          <cell r="E51">
            <v>50</v>
          </cell>
        </row>
        <row r="52">
          <cell r="C52">
            <v>1</v>
          </cell>
          <cell r="E52">
            <v>55</v>
          </cell>
        </row>
        <row r="53">
          <cell r="C53">
            <v>4</v>
          </cell>
          <cell r="E53">
            <v>2</v>
          </cell>
        </row>
        <row r="54">
          <cell r="C54">
            <v>1</v>
          </cell>
          <cell r="E54">
            <v>55</v>
          </cell>
        </row>
        <row r="55">
          <cell r="C55">
            <v>6</v>
          </cell>
          <cell r="E55">
            <v>39</v>
          </cell>
        </row>
        <row r="56">
          <cell r="C56">
            <v>6</v>
          </cell>
          <cell r="E56">
            <v>40</v>
          </cell>
        </row>
        <row r="57">
          <cell r="C57">
            <v>3</v>
          </cell>
          <cell r="E57">
            <v>396</v>
          </cell>
        </row>
        <row r="58">
          <cell r="C58">
            <v>2</v>
          </cell>
          <cell r="E58">
            <v>1</v>
          </cell>
        </row>
        <row r="59">
          <cell r="C59">
            <v>10</v>
          </cell>
          <cell r="E59">
            <v>1</v>
          </cell>
        </row>
        <row r="60">
          <cell r="C60">
            <v>2</v>
          </cell>
          <cell r="E60">
            <v>648</v>
          </cell>
        </row>
        <row r="61">
          <cell r="C61">
            <v>6</v>
          </cell>
          <cell r="E61">
            <v>40</v>
          </cell>
        </row>
        <row r="62">
          <cell r="C62">
            <v>4</v>
          </cell>
          <cell r="E62">
            <v>2</v>
          </cell>
        </row>
        <row r="63">
          <cell r="C63">
            <v>4</v>
          </cell>
          <cell r="E63">
            <v>2</v>
          </cell>
        </row>
        <row r="64">
          <cell r="C64">
            <v>4</v>
          </cell>
          <cell r="E64">
            <v>2</v>
          </cell>
        </row>
        <row r="65">
          <cell r="C65">
            <v>4</v>
          </cell>
          <cell r="E65">
            <v>2</v>
          </cell>
        </row>
        <row r="66">
          <cell r="C66">
            <v>4</v>
          </cell>
          <cell r="E66">
            <v>2</v>
          </cell>
        </row>
        <row r="67">
          <cell r="C67">
            <v>4</v>
          </cell>
          <cell r="E67">
            <v>2</v>
          </cell>
        </row>
        <row r="68">
          <cell r="C68">
            <v>4</v>
          </cell>
          <cell r="E68">
            <v>2</v>
          </cell>
        </row>
        <row r="69">
          <cell r="C69">
            <v>4</v>
          </cell>
          <cell r="E69">
            <v>2</v>
          </cell>
        </row>
        <row r="70">
          <cell r="C70">
            <v>4</v>
          </cell>
          <cell r="E70">
            <v>2</v>
          </cell>
        </row>
        <row r="71">
          <cell r="C71">
            <v>4</v>
          </cell>
          <cell r="E71">
            <v>2</v>
          </cell>
        </row>
        <row r="72">
          <cell r="C72">
            <v>4</v>
          </cell>
          <cell r="E72">
            <v>2</v>
          </cell>
        </row>
        <row r="73">
          <cell r="C73">
            <v>4</v>
          </cell>
          <cell r="E73">
            <v>2</v>
          </cell>
        </row>
        <row r="74">
          <cell r="C74">
            <v>4</v>
          </cell>
          <cell r="E74">
            <v>2</v>
          </cell>
        </row>
        <row r="75">
          <cell r="C75">
            <v>4</v>
          </cell>
          <cell r="E75">
            <v>2</v>
          </cell>
        </row>
        <row r="76">
          <cell r="C76">
            <v>4</v>
          </cell>
          <cell r="E76">
            <v>2</v>
          </cell>
        </row>
        <row r="77">
          <cell r="C77">
            <v>4</v>
          </cell>
          <cell r="E77">
            <v>2</v>
          </cell>
        </row>
        <row r="78">
          <cell r="C78">
            <v>4</v>
          </cell>
          <cell r="E78">
            <v>2</v>
          </cell>
        </row>
        <row r="79">
          <cell r="C79">
            <v>4</v>
          </cell>
          <cell r="E79">
            <v>2</v>
          </cell>
        </row>
        <row r="80">
          <cell r="C80">
            <v>4</v>
          </cell>
          <cell r="E80">
            <v>2</v>
          </cell>
        </row>
        <row r="81">
          <cell r="C81">
            <v>4</v>
          </cell>
          <cell r="E81">
            <v>2</v>
          </cell>
        </row>
        <row r="82">
          <cell r="C82">
            <v>4</v>
          </cell>
          <cell r="E82">
            <v>2</v>
          </cell>
        </row>
        <row r="83">
          <cell r="C83">
            <v>4</v>
          </cell>
          <cell r="E83">
            <v>2</v>
          </cell>
        </row>
        <row r="84">
          <cell r="C84">
            <v>4</v>
          </cell>
          <cell r="E84">
            <v>2</v>
          </cell>
        </row>
        <row r="85">
          <cell r="C85">
            <v>4</v>
          </cell>
          <cell r="E85">
            <v>2</v>
          </cell>
        </row>
        <row r="86">
          <cell r="C86">
            <v>4</v>
          </cell>
          <cell r="E86">
            <v>2</v>
          </cell>
        </row>
        <row r="87">
          <cell r="C87">
            <v>4</v>
          </cell>
          <cell r="E87">
            <v>2</v>
          </cell>
        </row>
        <row r="88">
          <cell r="C88">
            <v>4</v>
          </cell>
          <cell r="E88">
            <v>2</v>
          </cell>
        </row>
        <row r="89">
          <cell r="C89">
            <v>4</v>
          </cell>
          <cell r="E89">
            <v>2</v>
          </cell>
        </row>
        <row r="90">
          <cell r="C90">
            <v>4</v>
          </cell>
          <cell r="E90">
            <v>2</v>
          </cell>
        </row>
        <row r="91">
          <cell r="C91">
            <v>4</v>
          </cell>
          <cell r="E91">
            <v>2</v>
          </cell>
        </row>
        <row r="92">
          <cell r="C92">
            <v>4</v>
          </cell>
          <cell r="E92">
            <v>2</v>
          </cell>
        </row>
        <row r="93">
          <cell r="C93">
            <v>4</v>
          </cell>
          <cell r="E93">
            <v>2</v>
          </cell>
        </row>
        <row r="94">
          <cell r="C94">
            <v>4</v>
          </cell>
          <cell r="E94">
            <v>2</v>
          </cell>
        </row>
        <row r="95">
          <cell r="C95">
            <v>4</v>
          </cell>
          <cell r="E95">
            <v>2</v>
          </cell>
        </row>
        <row r="96">
          <cell r="C96">
            <v>4</v>
          </cell>
          <cell r="E96">
            <v>2</v>
          </cell>
        </row>
        <row r="97">
          <cell r="C97">
            <v>4</v>
          </cell>
          <cell r="E97">
            <v>2</v>
          </cell>
        </row>
        <row r="98">
          <cell r="C98">
            <v>4</v>
          </cell>
          <cell r="E98">
            <v>2</v>
          </cell>
        </row>
        <row r="99">
          <cell r="C99">
            <v>4</v>
          </cell>
          <cell r="E99">
            <v>2</v>
          </cell>
        </row>
        <row r="100">
          <cell r="C100">
            <v>4</v>
          </cell>
          <cell r="E100">
            <v>2</v>
          </cell>
        </row>
        <row r="101">
          <cell r="C101">
            <v>4</v>
          </cell>
          <cell r="E101">
            <v>2</v>
          </cell>
        </row>
        <row r="102">
          <cell r="C102">
            <v>4</v>
          </cell>
          <cell r="E102">
            <v>2</v>
          </cell>
        </row>
        <row r="103">
          <cell r="C103">
            <v>4</v>
          </cell>
          <cell r="E103">
            <v>2</v>
          </cell>
        </row>
        <row r="104">
          <cell r="C104">
            <v>4</v>
          </cell>
          <cell r="E104">
            <v>2</v>
          </cell>
        </row>
        <row r="105">
          <cell r="C105">
            <v>4</v>
          </cell>
          <cell r="E105">
            <v>2</v>
          </cell>
        </row>
        <row r="106">
          <cell r="C106">
            <v>4</v>
          </cell>
          <cell r="E106">
            <v>2</v>
          </cell>
        </row>
        <row r="107">
          <cell r="C107">
            <v>4</v>
          </cell>
          <cell r="E107">
            <v>2</v>
          </cell>
        </row>
        <row r="108">
          <cell r="C108">
            <v>4</v>
          </cell>
          <cell r="E108">
            <v>2</v>
          </cell>
        </row>
        <row r="109">
          <cell r="C109">
            <v>4</v>
          </cell>
          <cell r="E109">
            <v>2</v>
          </cell>
        </row>
        <row r="110">
          <cell r="C110">
            <v>4</v>
          </cell>
          <cell r="E110">
            <v>2</v>
          </cell>
        </row>
        <row r="111">
          <cell r="C111">
            <v>4</v>
          </cell>
          <cell r="E111">
            <v>2</v>
          </cell>
        </row>
        <row r="112">
          <cell r="C112">
            <v>4</v>
          </cell>
          <cell r="E112">
            <v>2</v>
          </cell>
        </row>
        <row r="113">
          <cell r="C113">
            <v>4</v>
          </cell>
          <cell r="E113">
            <v>2</v>
          </cell>
        </row>
        <row r="114">
          <cell r="C114">
            <v>4</v>
          </cell>
          <cell r="E114">
            <v>2</v>
          </cell>
        </row>
        <row r="115">
          <cell r="C115">
            <v>4</v>
          </cell>
          <cell r="E115">
            <v>2</v>
          </cell>
        </row>
        <row r="116">
          <cell r="C116">
            <v>4</v>
          </cell>
          <cell r="E116">
            <v>2</v>
          </cell>
        </row>
        <row r="117">
          <cell r="C117">
            <v>4</v>
          </cell>
          <cell r="E117">
            <v>2</v>
          </cell>
        </row>
        <row r="118">
          <cell r="C118">
            <v>4</v>
          </cell>
          <cell r="E118">
            <v>2</v>
          </cell>
        </row>
        <row r="119">
          <cell r="C119">
            <v>4</v>
          </cell>
          <cell r="E119">
            <v>2</v>
          </cell>
        </row>
        <row r="120">
          <cell r="C120">
            <v>4</v>
          </cell>
          <cell r="E120">
            <v>2</v>
          </cell>
        </row>
        <row r="121">
          <cell r="C121">
            <v>4</v>
          </cell>
          <cell r="E121">
            <v>2</v>
          </cell>
        </row>
        <row r="122">
          <cell r="C122">
            <v>4</v>
          </cell>
          <cell r="E122">
            <v>2</v>
          </cell>
        </row>
        <row r="123">
          <cell r="C123">
            <v>4</v>
          </cell>
          <cell r="E123">
            <v>2</v>
          </cell>
        </row>
        <row r="124">
          <cell r="C124">
            <v>4</v>
          </cell>
          <cell r="E124">
            <v>2</v>
          </cell>
        </row>
        <row r="125">
          <cell r="C125">
            <v>4</v>
          </cell>
          <cell r="E125">
            <v>2</v>
          </cell>
        </row>
        <row r="126">
          <cell r="C126">
            <v>4</v>
          </cell>
          <cell r="E126">
            <v>2</v>
          </cell>
        </row>
        <row r="127">
          <cell r="C127">
            <v>4</v>
          </cell>
          <cell r="E127">
            <v>2</v>
          </cell>
        </row>
        <row r="128">
          <cell r="C128">
            <v>4</v>
          </cell>
          <cell r="E128">
            <v>2</v>
          </cell>
        </row>
        <row r="129">
          <cell r="C129">
            <v>4</v>
          </cell>
          <cell r="E129">
            <v>2</v>
          </cell>
        </row>
        <row r="130">
          <cell r="C130">
            <v>4</v>
          </cell>
          <cell r="E130">
            <v>2</v>
          </cell>
        </row>
        <row r="131">
          <cell r="C131">
            <v>4</v>
          </cell>
          <cell r="E131">
            <v>2</v>
          </cell>
        </row>
        <row r="132">
          <cell r="C132">
            <v>4</v>
          </cell>
          <cell r="E132">
            <v>2</v>
          </cell>
        </row>
        <row r="133">
          <cell r="C133">
            <v>4</v>
          </cell>
          <cell r="E133">
            <v>2</v>
          </cell>
        </row>
        <row r="134">
          <cell r="C134">
            <v>4</v>
          </cell>
          <cell r="E134">
            <v>2</v>
          </cell>
        </row>
        <row r="135">
          <cell r="C135">
            <v>4</v>
          </cell>
          <cell r="E135">
            <v>2</v>
          </cell>
        </row>
        <row r="136">
          <cell r="C136">
            <v>4</v>
          </cell>
          <cell r="E136">
            <v>2</v>
          </cell>
        </row>
        <row r="137">
          <cell r="C137">
            <v>4</v>
          </cell>
          <cell r="E137">
            <v>2</v>
          </cell>
        </row>
        <row r="138">
          <cell r="C138">
            <v>4</v>
          </cell>
          <cell r="E138">
            <v>2</v>
          </cell>
        </row>
        <row r="139">
          <cell r="C139">
            <v>4</v>
          </cell>
          <cell r="E139">
            <v>2</v>
          </cell>
        </row>
        <row r="140">
          <cell r="C140">
            <v>4</v>
          </cell>
          <cell r="E140">
            <v>2</v>
          </cell>
        </row>
        <row r="141">
          <cell r="C141">
            <v>4</v>
          </cell>
          <cell r="E141">
            <v>2</v>
          </cell>
        </row>
        <row r="142">
          <cell r="C142">
            <v>4</v>
          </cell>
          <cell r="E142">
            <v>2</v>
          </cell>
        </row>
        <row r="143">
          <cell r="C143">
            <v>4</v>
          </cell>
          <cell r="E143">
            <v>2</v>
          </cell>
        </row>
        <row r="144">
          <cell r="C144">
            <v>4</v>
          </cell>
          <cell r="E144">
            <v>2</v>
          </cell>
        </row>
        <row r="145">
          <cell r="C145">
            <v>4</v>
          </cell>
          <cell r="E145">
            <v>2</v>
          </cell>
        </row>
        <row r="146">
          <cell r="C146">
            <v>4</v>
          </cell>
          <cell r="E146">
            <v>2</v>
          </cell>
        </row>
        <row r="147">
          <cell r="C147">
            <v>4</v>
          </cell>
          <cell r="E147">
            <v>2</v>
          </cell>
        </row>
        <row r="148">
          <cell r="C148">
            <v>4</v>
          </cell>
          <cell r="E148">
            <v>2</v>
          </cell>
        </row>
        <row r="149">
          <cell r="C149">
            <v>4</v>
          </cell>
          <cell r="E149">
            <v>2</v>
          </cell>
        </row>
        <row r="150">
          <cell r="C150">
            <v>4</v>
          </cell>
          <cell r="E150">
            <v>2</v>
          </cell>
        </row>
        <row r="151">
          <cell r="C151">
            <v>4</v>
          </cell>
          <cell r="E151">
            <v>2</v>
          </cell>
        </row>
        <row r="152">
          <cell r="C152">
            <v>4</v>
          </cell>
          <cell r="E152">
            <v>2</v>
          </cell>
        </row>
        <row r="153">
          <cell r="C153">
            <v>4</v>
          </cell>
          <cell r="E153">
            <v>2</v>
          </cell>
        </row>
        <row r="154">
          <cell r="C154">
            <v>4</v>
          </cell>
          <cell r="E154">
            <v>2</v>
          </cell>
        </row>
        <row r="155">
          <cell r="C155">
            <v>4</v>
          </cell>
          <cell r="E155">
            <v>2</v>
          </cell>
        </row>
        <row r="156">
          <cell r="C156">
            <v>4</v>
          </cell>
          <cell r="E156">
            <v>2</v>
          </cell>
        </row>
        <row r="157">
          <cell r="C157">
            <v>4</v>
          </cell>
          <cell r="E157">
            <v>2</v>
          </cell>
        </row>
        <row r="158">
          <cell r="C158">
            <v>4</v>
          </cell>
          <cell r="E158">
            <v>2</v>
          </cell>
        </row>
        <row r="159">
          <cell r="C159">
            <v>4</v>
          </cell>
          <cell r="E159">
            <v>2</v>
          </cell>
        </row>
        <row r="160">
          <cell r="C160">
            <v>4</v>
          </cell>
          <cell r="E160">
            <v>2</v>
          </cell>
        </row>
        <row r="161">
          <cell r="C161">
            <v>4</v>
          </cell>
          <cell r="E161">
            <v>2</v>
          </cell>
        </row>
        <row r="162">
          <cell r="C162">
            <v>4</v>
          </cell>
          <cell r="E162">
            <v>2</v>
          </cell>
        </row>
        <row r="163">
          <cell r="C163">
            <v>4</v>
          </cell>
          <cell r="E163">
            <v>2</v>
          </cell>
        </row>
        <row r="164">
          <cell r="C164">
            <v>4</v>
          </cell>
          <cell r="E164">
            <v>2</v>
          </cell>
        </row>
        <row r="165">
          <cell r="C165">
            <v>4</v>
          </cell>
          <cell r="E165">
            <v>2</v>
          </cell>
        </row>
        <row r="166">
          <cell r="C166">
            <v>4</v>
          </cell>
          <cell r="E166">
            <v>2</v>
          </cell>
        </row>
        <row r="167">
          <cell r="C167">
            <v>4</v>
          </cell>
          <cell r="E167">
            <v>2</v>
          </cell>
        </row>
        <row r="168">
          <cell r="C168">
            <v>4</v>
          </cell>
          <cell r="E168">
            <v>2</v>
          </cell>
        </row>
        <row r="169">
          <cell r="C169">
            <v>4</v>
          </cell>
          <cell r="E169">
            <v>2</v>
          </cell>
        </row>
        <row r="170">
          <cell r="C170">
            <v>4</v>
          </cell>
          <cell r="E170">
            <v>2</v>
          </cell>
        </row>
        <row r="171">
          <cell r="C171">
            <v>4</v>
          </cell>
          <cell r="E171">
            <v>2</v>
          </cell>
        </row>
        <row r="172">
          <cell r="C172">
            <v>4</v>
          </cell>
          <cell r="E172">
            <v>2</v>
          </cell>
        </row>
        <row r="173">
          <cell r="C173">
            <v>19</v>
          </cell>
          <cell r="E173">
            <v>26</v>
          </cell>
        </row>
        <row r="174">
          <cell r="C174">
            <v>4</v>
          </cell>
          <cell r="E174">
            <v>2</v>
          </cell>
        </row>
        <row r="175">
          <cell r="C175">
            <v>4</v>
          </cell>
          <cell r="E175">
            <v>2</v>
          </cell>
        </row>
        <row r="176">
          <cell r="C176">
            <v>4</v>
          </cell>
          <cell r="E176">
            <v>2</v>
          </cell>
        </row>
        <row r="177">
          <cell r="C177">
            <v>4</v>
          </cell>
          <cell r="E177">
            <v>2</v>
          </cell>
        </row>
        <row r="178">
          <cell r="C178">
            <v>4</v>
          </cell>
          <cell r="E178">
            <v>2</v>
          </cell>
        </row>
        <row r="179">
          <cell r="C179">
            <v>4</v>
          </cell>
          <cell r="E179">
            <v>2</v>
          </cell>
        </row>
        <row r="180">
          <cell r="C180">
            <v>4</v>
          </cell>
          <cell r="E180">
            <v>2</v>
          </cell>
        </row>
        <row r="181">
          <cell r="C181">
            <v>4</v>
          </cell>
          <cell r="E181">
            <v>2</v>
          </cell>
        </row>
        <row r="182">
          <cell r="C182">
            <v>4</v>
          </cell>
          <cell r="E182">
            <v>2</v>
          </cell>
        </row>
        <row r="183">
          <cell r="C183">
            <v>4</v>
          </cell>
          <cell r="E183">
            <v>2</v>
          </cell>
        </row>
        <row r="184">
          <cell r="C184">
            <v>4</v>
          </cell>
          <cell r="E184">
            <v>2</v>
          </cell>
        </row>
        <row r="185">
          <cell r="C185">
            <v>4</v>
          </cell>
          <cell r="E185">
            <v>2</v>
          </cell>
        </row>
        <row r="186">
          <cell r="C186">
            <v>4</v>
          </cell>
          <cell r="E186">
            <v>2</v>
          </cell>
        </row>
        <row r="187">
          <cell r="C187">
            <v>4</v>
          </cell>
          <cell r="E187">
            <v>2</v>
          </cell>
        </row>
        <row r="188">
          <cell r="C188">
            <v>4</v>
          </cell>
          <cell r="E188">
            <v>2</v>
          </cell>
        </row>
        <row r="189">
          <cell r="C189">
            <v>4</v>
          </cell>
          <cell r="E189">
            <v>2</v>
          </cell>
        </row>
        <row r="190">
          <cell r="C190">
            <v>4</v>
          </cell>
          <cell r="E190">
            <v>2</v>
          </cell>
        </row>
        <row r="191">
          <cell r="C191">
            <v>4</v>
          </cell>
          <cell r="E191">
            <v>2</v>
          </cell>
        </row>
        <row r="192">
          <cell r="C192">
            <v>4</v>
          </cell>
          <cell r="E192">
            <v>2</v>
          </cell>
        </row>
        <row r="193">
          <cell r="C193">
            <v>4</v>
          </cell>
          <cell r="E193">
            <v>2</v>
          </cell>
        </row>
        <row r="194">
          <cell r="C194">
            <v>4</v>
          </cell>
          <cell r="E194">
            <v>2</v>
          </cell>
        </row>
        <row r="195">
          <cell r="C195">
            <v>4</v>
          </cell>
          <cell r="E195">
            <v>2</v>
          </cell>
        </row>
        <row r="196">
          <cell r="C196">
            <v>4</v>
          </cell>
          <cell r="E196">
            <v>2</v>
          </cell>
        </row>
        <row r="197">
          <cell r="C197">
            <v>4</v>
          </cell>
          <cell r="E197">
            <v>2</v>
          </cell>
        </row>
        <row r="198">
          <cell r="C198">
            <v>4</v>
          </cell>
          <cell r="E198">
            <v>2</v>
          </cell>
        </row>
        <row r="199">
          <cell r="C199">
            <v>4</v>
          </cell>
          <cell r="E199">
            <v>2</v>
          </cell>
        </row>
        <row r="200">
          <cell r="C200">
            <v>4</v>
          </cell>
          <cell r="E200">
            <v>2</v>
          </cell>
        </row>
        <row r="201">
          <cell r="C201">
            <v>4</v>
          </cell>
          <cell r="E201">
            <v>2</v>
          </cell>
        </row>
        <row r="202">
          <cell r="C202">
            <v>4</v>
          </cell>
          <cell r="E202">
            <v>2</v>
          </cell>
        </row>
        <row r="203">
          <cell r="C203">
            <v>4</v>
          </cell>
          <cell r="E203">
            <v>2</v>
          </cell>
        </row>
        <row r="204">
          <cell r="C204">
            <v>4</v>
          </cell>
          <cell r="E204">
            <v>2</v>
          </cell>
        </row>
        <row r="205">
          <cell r="C205">
            <v>4</v>
          </cell>
          <cell r="E205">
            <v>2</v>
          </cell>
        </row>
        <row r="206">
          <cell r="C206">
            <v>4</v>
          </cell>
          <cell r="E206">
            <v>2</v>
          </cell>
        </row>
        <row r="207">
          <cell r="C207">
            <v>4</v>
          </cell>
          <cell r="E207">
            <v>2</v>
          </cell>
        </row>
        <row r="208">
          <cell r="C208">
            <v>4</v>
          </cell>
          <cell r="E208">
            <v>2</v>
          </cell>
        </row>
        <row r="209">
          <cell r="C209">
            <v>4</v>
          </cell>
          <cell r="E209">
            <v>2</v>
          </cell>
        </row>
        <row r="210">
          <cell r="C210">
            <v>4</v>
          </cell>
          <cell r="E210">
            <v>2</v>
          </cell>
        </row>
        <row r="211">
          <cell r="C211">
            <v>4</v>
          </cell>
          <cell r="E211">
            <v>2</v>
          </cell>
        </row>
        <row r="212">
          <cell r="C212">
            <v>4</v>
          </cell>
          <cell r="E212">
            <v>2</v>
          </cell>
        </row>
        <row r="213">
          <cell r="C213">
            <v>4</v>
          </cell>
          <cell r="E213">
            <v>2</v>
          </cell>
        </row>
        <row r="214">
          <cell r="C214">
            <v>4</v>
          </cell>
          <cell r="E214">
            <v>2</v>
          </cell>
        </row>
        <row r="215">
          <cell r="C215">
            <v>4</v>
          </cell>
          <cell r="E215">
            <v>2</v>
          </cell>
        </row>
        <row r="216">
          <cell r="C216">
            <v>4</v>
          </cell>
          <cell r="E216">
            <v>2</v>
          </cell>
        </row>
        <row r="217">
          <cell r="C217">
            <v>4</v>
          </cell>
          <cell r="E217">
            <v>2</v>
          </cell>
        </row>
        <row r="218">
          <cell r="C218">
            <v>4</v>
          </cell>
          <cell r="E218">
            <v>2</v>
          </cell>
        </row>
        <row r="219">
          <cell r="C219">
            <v>4</v>
          </cell>
          <cell r="E219">
            <v>2</v>
          </cell>
        </row>
        <row r="220">
          <cell r="C220">
            <v>4</v>
          </cell>
          <cell r="E220">
            <v>2</v>
          </cell>
        </row>
        <row r="221">
          <cell r="C221">
            <v>4</v>
          </cell>
          <cell r="E221">
            <v>2</v>
          </cell>
        </row>
        <row r="222">
          <cell r="C222">
            <v>4</v>
          </cell>
          <cell r="E222">
            <v>2</v>
          </cell>
        </row>
        <row r="223">
          <cell r="C223">
            <v>4</v>
          </cell>
          <cell r="E223">
            <v>2</v>
          </cell>
        </row>
        <row r="224">
          <cell r="C224">
            <v>4</v>
          </cell>
          <cell r="E224">
            <v>2</v>
          </cell>
        </row>
        <row r="225">
          <cell r="C225">
            <v>4</v>
          </cell>
          <cell r="E225">
            <v>2</v>
          </cell>
        </row>
        <row r="226">
          <cell r="C226">
            <v>4</v>
          </cell>
          <cell r="E226">
            <v>2</v>
          </cell>
        </row>
        <row r="227">
          <cell r="C227">
            <v>4</v>
          </cell>
          <cell r="E227">
            <v>2</v>
          </cell>
        </row>
        <row r="228">
          <cell r="C228">
            <v>4</v>
          </cell>
          <cell r="E228">
            <v>2</v>
          </cell>
        </row>
        <row r="229">
          <cell r="C229">
            <v>4</v>
          </cell>
          <cell r="E229">
            <v>2</v>
          </cell>
        </row>
        <row r="230">
          <cell r="C230">
            <v>4</v>
          </cell>
          <cell r="E230">
            <v>2</v>
          </cell>
        </row>
        <row r="231">
          <cell r="C231">
            <v>4</v>
          </cell>
          <cell r="E231">
            <v>2</v>
          </cell>
        </row>
        <row r="232">
          <cell r="C232">
            <v>4</v>
          </cell>
          <cell r="E232">
            <v>2</v>
          </cell>
        </row>
        <row r="233">
          <cell r="C233">
            <v>4</v>
          </cell>
          <cell r="E233">
            <v>2</v>
          </cell>
        </row>
        <row r="234">
          <cell r="C234">
            <v>4</v>
          </cell>
          <cell r="E234">
            <v>2</v>
          </cell>
        </row>
        <row r="235">
          <cell r="C235">
            <v>4</v>
          </cell>
          <cell r="E235">
            <v>2</v>
          </cell>
        </row>
        <row r="236">
          <cell r="C236">
            <v>4</v>
          </cell>
          <cell r="E236">
            <v>2</v>
          </cell>
        </row>
        <row r="237">
          <cell r="C237">
            <v>4</v>
          </cell>
          <cell r="E237">
            <v>2</v>
          </cell>
        </row>
        <row r="238">
          <cell r="C238">
            <v>4</v>
          </cell>
          <cell r="E238">
            <v>2</v>
          </cell>
        </row>
        <row r="239">
          <cell r="C239">
            <v>4</v>
          </cell>
          <cell r="E239">
            <v>2</v>
          </cell>
        </row>
        <row r="240">
          <cell r="C240">
            <v>4</v>
          </cell>
          <cell r="E240">
            <v>2</v>
          </cell>
        </row>
        <row r="241">
          <cell r="C241">
            <v>4</v>
          </cell>
          <cell r="E241">
            <v>2</v>
          </cell>
        </row>
        <row r="242">
          <cell r="C242">
            <v>4</v>
          </cell>
          <cell r="E242">
            <v>2</v>
          </cell>
        </row>
        <row r="243">
          <cell r="C243">
            <v>4</v>
          </cell>
          <cell r="E243">
            <v>2</v>
          </cell>
        </row>
        <row r="244">
          <cell r="C244">
            <v>4</v>
          </cell>
          <cell r="E244">
            <v>2</v>
          </cell>
        </row>
        <row r="245">
          <cell r="C245">
            <v>4</v>
          </cell>
          <cell r="E245">
            <v>2</v>
          </cell>
        </row>
        <row r="246">
          <cell r="C246">
            <v>4</v>
          </cell>
          <cell r="E246">
            <v>2</v>
          </cell>
        </row>
        <row r="247">
          <cell r="C247">
            <v>4</v>
          </cell>
          <cell r="E247">
            <v>2</v>
          </cell>
        </row>
        <row r="248">
          <cell r="C248">
            <v>4</v>
          </cell>
          <cell r="E248">
            <v>2</v>
          </cell>
        </row>
        <row r="249">
          <cell r="C249">
            <v>4</v>
          </cell>
          <cell r="E249">
            <v>2</v>
          </cell>
        </row>
        <row r="250">
          <cell r="C250">
            <v>4</v>
          </cell>
          <cell r="E250">
            <v>2</v>
          </cell>
        </row>
        <row r="251">
          <cell r="C251">
            <v>4</v>
          </cell>
          <cell r="E251">
            <v>2</v>
          </cell>
        </row>
        <row r="252">
          <cell r="C252">
            <v>4</v>
          </cell>
          <cell r="E252">
            <v>2</v>
          </cell>
        </row>
        <row r="253">
          <cell r="C253">
            <v>19</v>
          </cell>
          <cell r="E253">
            <v>26</v>
          </cell>
        </row>
        <row r="254">
          <cell r="C254">
            <v>4</v>
          </cell>
          <cell r="E254">
            <v>2</v>
          </cell>
        </row>
        <row r="255">
          <cell r="C255">
            <v>19</v>
          </cell>
          <cell r="E255">
            <v>26</v>
          </cell>
        </row>
        <row r="256">
          <cell r="C256">
            <v>4</v>
          </cell>
          <cell r="E256">
            <v>2</v>
          </cell>
        </row>
        <row r="257">
          <cell r="C257">
            <v>19</v>
          </cell>
          <cell r="E257">
            <v>26</v>
          </cell>
        </row>
        <row r="258">
          <cell r="C258">
            <v>4</v>
          </cell>
          <cell r="E258">
            <v>2</v>
          </cell>
        </row>
        <row r="259">
          <cell r="C259">
            <v>4</v>
          </cell>
          <cell r="E259">
            <v>2</v>
          </cell>
        </row>
        <row r="260">
          <cell r="C260">
            <v>4</v>
          </cell>
          <cell r="E260">
            <v>2</v>
          </cell>
        </row>
        <row r="261">
          <cell r="C261">
            <v>4</v>
          </cell>
          <cell r="E261">
            <v>2</v>
          </cell>
        </row>
        <row r="262">
          <cell r="C262">
            <v>4</v>
          </cell>
          <cell r="E262">
            <v>2</v>
          </cell>
        </row>
        <row r="263">
          <cell r="C263">
            <v>4</v>
          </cell>
          <cell r="E263">
            <v>2</v>
          </cell>
        </row>
        <row r="264">
          <cell r="C264">
            <v>4</v>
          </cell>
          <cell r="E264">
            <v>2</v>
          </cell>
        </row>
        <row r="265">
          <cell r="C265">
            <v>4</v>
          </cell>
          <cell r="E265">
            <v>2</v>
          </cell>
        </row>
        <row r="266">
          <cell r="C266">
            <v>4</v>
          </cell>
          <cell r="E266">
            <v>2</v>
          </cell>
        </row>
        <row r="267">
          <cell r="C267">
            <v>4</v>
          </cell>
          <cell r="E267">
            <v>2</v>
          </cell>
        </row>
        <row r="268">
          <cell r="C268">
            <v>4</v>
          </cell>
          <cell r="E268">
            <v>2</v>
          </cell>
        </row>
        <row r="269">
          <cell r="C269">
            <v>4</v>
          </cell>
          <cell r="E269">
            <v>2</v>
          </cell>
        </row>
        <row r="270">
          <cell r="C270">
            <v>4</v>
          </cell>
          <cell r="E270">
            <v>2</v>
          </cell>
        </row>
        <row r="271">
          <cell r="C271">
            <v>4</v>
          </cell>
          <cell r="E271">
            <v>2</v>
          </cell>
        </row>
        <row r="272">
          <cell r="C272">
            <v>4</v>
          </cell>
          <cell r="E272">
            <v>2</v>
          </cell>
        </row>
        <row r="273">
          <cell r="C273">
            <v>4</v>
          </cell>
          <cell r="E273">
            <v>2</v>
          </cell>
        </row>
        <row r="274">
          <cell r="C274">
            <v>4</v>
          </cell>
          <cell r="E274">
            <v>2</v>
          </cell>
        </row>
        <row r="275">
          <cell r="C275">
            <v>4</v>
          </cell>
          <cell r="E275">
            <v>2</v>
          </cell>
        </row>
        <row r="276">
          <cell r="C276">
            <v>4</v>
          </cell>
          <cell r="E276">
            <v>2</v>
          </cell>
        </row>
        <row r="277">
          <cell r="C277">
            <v>4</v>
          </cell>
          <cell r="E277">
            <v>2</v>
          </cell>
        </row>
        <row r="278">
          <cell r="C278">
            <v>4</v>
          </cell>
          <cell r="E278">
            <v>2</v>
          </cell>
        </row>
        <row r="279">
          <cell r="C279">
            <v>4</v>
          </cell>
          <cell r="E279">
            <v>2</v>
          </cell>
        </row>
        <row r="280">
          <cell r="C280">
            <v>4</v>
          </cell>
          <cell r="E280">
            <v>2</v>
          </cell>
        </row>
        <row r="281">
          <cell r="C281">
            <v>4</v>
          </cell>
          <cell r="E281">
            <v>2</v>
          </cell>
        </row>
        <row r="282">
          <cell r="C282">
            <v>4</v>
          </cell>
          <cell r="E282">
            <v>2</v>
          </cell>
        </row>
        <row r="283">
          <cell r="C283">
            <v>4</v>
          </cell>
          <cell r="E283">
            <v>2</v>
          </cell>
        </row>
        <row r="284">
          <cell r="C284">
            <v>4</v>
          </cell>
          <cell r="E284">
            <v>2</v>
          </cell>
        </row>
        <row r="285">
          <cell r="C285">
            <v>4</v>
          </cell>
          <cell r="E285">
            <v>2</v>
          </cell>
        </row>
        <row r="286">
          <cell r="C286">
            <v>4</v>
          </cell>
          <cell r="E286">
            <v>2</v>
          </cell>
        </row>
        <row r="287">
          <cell r="C287">
            <v>4</v>
          </cell>
          <cell r="E287">
            <v>2</v>
          </cell>
        </row>
        <row r="288">
          <cell r="C288">
            <v>4</v>
          </cell>
          <cell r="E288">
            <v>2</v>
          </cell>
        </row>
        <row r="289">
          <cell r="C289">
            <v>4</v>
          </cell>
          <cell r="E289">
            <v>2</v>
          </cell>
        </row>
        <row r="290">
          <cell r="C290">
            <v>4</v>
          </cell>
          <cell r="E290">
            <v>2</v>
          </cell>
        </row>
        <row r="291">
          <cell r="C291">
            <v>4</v>
          </cell>
          <cell r="E291">
            <v>2</v>
          </cell>
        </row>
        <row r="292">
          <cell r="C292">
            <v>4</v>
          </cell>
          <cell r="E292">
            <v>2</v>
          </cell>
        </row>
        <row r="293">
          <cell r="C293">
            <v>4</v>
          </cell>
          <cell r="E293">
            <v>2</v>
          </cell>
        </row>
        <row r="294">
          <cell r="C294">
            <v>4</v>
          </cell>
          <cell r="E294">
            <v>2</v>
          </cell>
        </row>
        <row r="295">
          <cell r="C295">
            <v>4</v>
          </cell>
          <cell r="E295">
            <v>2</v>
          </cell>
        </row>
        <row r="296">
          <cell r="C296">
            <v>4</v>
          </cell>
          <cell r="E296">
            <v>2</v>
          </cell>
        </row>
        <row r="297">
          <cell r="C297">
            <v>4</v>
          </cell>
          <cell r="E297">
            <v>2</v>
          </cell>
        </row>
        <row r="298">
          <cell r="C298">
            <v>4</v>
          </cell>
          <cell r="E298">
            <v>2</v>
          </cell>
        </row>
        <row r="299">
          <cell r="C299">
            <v>4</v>
          </cell>
          <cell r="E299">
            <v>2</v>
          </cell>
        </row>
        <row r="300">
          <cell r="C300">
            <v>4</v>
          </cell>
          <cell r="E300">
            <v>2</v>
          </cell>
        </row>
        <row r="301">
          <cell r="C301">
            <v>4</v>
          </cell>
          <cell r="E301">
            <v>2</v>
          </cell>
        </row>
        <row r="302">
          <cell r="C302">
            <v>4</v>
          </cell>
          <cell r="E302">
            <v>2</v>
          </cell>
        </row>
        <row r="303">
          <cell r="C303">
            <v>4</v>
          </cell>
          <cell r="E303">
            <v>2</v>
          </cell>
        </row>
        <row r="304">
          <cell r="C304">
            <v>4</v>
          </cell>
          <cell r="E304">
            <v>2</v>
          </cell>
        </row>
        <row r="305">
          <cell r="C305">
            <v>4</v>
          </cell>
          <cell r="E305">
            <v>2</v>
          </cell>
        </row>
        <row r="306">
          <cell r="C306">
            <v>19</v>
          </cell>
          <cell r="E306">
            <v>26</v>
          </cell>
        </row>
        <row r="307">
          <cell r="C307">
            <v>4</v>
          </cell>
          <cell r="E307">
            <v>2</v>
          </cell>
        </row>
        <row r="308">
          <cell r="C308">
            <v>19</v>
          </cell>
          <cell r="E308">
            <v>26</v>
          </cell>
        </row>
        <row r="309">
          <cell r="C309">
            <v>4</v>
          </cell>
          <cell r="E309">
            <v>2</v>
          </cell>
        </row>
        <row r="310">
          <cell r="C310">
            <v>19</v>
          </cell>
          <cell r="E310">
            <v>26</v>
          </cell>
        </row>
        <row r="311">
          <cell r="C311">
            <v>4</v>
          </cell>
          <cell r="E311">
            <v>2</v>
          </cell>
        </row>
        <row r="312">
          <cell r="C312">
            <v>19</v>
          </cell>
          <cell r="E312">
            <v>26</v>
          </cell>
        </row>
        <row r="313">
          <cell r="C313">
            <v>4</v>
          </cell>
          <cell r="E313">
            <v>2</v>
          </cell>
        </row>
        <row r="314">
          <cell r="C314">
            <v>19</v>
          </cell>
          <cell r="E314">
            <v>26</v>
          </cell>
        </row>
        <row r="315">
          <cell r="C315">
            <v>4</v>
          </cell>
          <cell r="E315">
            <v>2</v>
          </cell>
        </row>
        <row r="316">
          <cell r="C316">
            <v>19</v>
          </cell>
          <cell r="E316">
            <v>26</v>
          </cell>
        </row>
        <row r="317">
          <cell r="C317">
            <v>4</v>
          </cell>
          <cell r="E317">
            <v>2</v>
          </cell>
        </row>
        <row r="318">
          <cell r="C318">
            <v>19</v>
          </cell>
          <cell r="E318">
            <v>26</v>
          </cell>
        </row>
        <row r="319">
          <cell r="C319">
            <v>16</v>
          </cell>
          <cell r="E319">
            <v>388</v>
          </cell>
        </row>
        <row r="320">
          <cell r="C320">
            <v>4</v>
          </cell>
          <cell r="E320">
            <v>2</v>
          </cell>
        </row>
        <row r="321">
          <cell r="C321">
            <v>19</v>
          </cell>
          <cell r="E321">
            <v>26</v>
          </cell>
        </row>
        <row r="322">
          <cell r="C322">
            <v>4</v>
          </cell>
          <cell r="E322">
            <v>2</v>
          </cell>
        </row>
        <row r="323">
          <cell r="C323">
            <v>19</v>
          </cell>
          <cell r="E323">
            <v>26</v>
          </cell>
        </row>
        <row r="324">
          <cell r="C324">
            <v>4</v>
          </cell>
          <cell r="E324">
            <v>2</v>
          </cell>
        </row>
        <row r="325">
          <cell r="C325">
            <v>19</v>
          </cell>
          <cell r="E325">
            <v>26</v>
          </cell>
        </row>
        <row r="326">
          <cell r="C326">
            <v>4</v>
          </cell>
          <cell r="E326">
            <v>2</v>
          </cell>
        </row>
        <row r="327">
          <cell r="C327">
            <v>19</v>
          </cell>
          <cell r="E327">
            <v>26</v>
          </cell>
        </row>
        <row r="328">
          <cell r="C328">
            <v>4</v>
          </cell>
          <cell r="E328">
            <v>2</v>
          </cell>
        </row>
        <row r="329">
          <cell r="C329">
            <v>19</v>
          </cell>
          <cell r="E329">
            <v>26</v>
          </cell>
        </row>
        <row r="330">
          <cell r="C330">
            <v>4</v>
          </cell>
          <cell r="E330">
            <v>2</v>
          </cell>
        </row>
        <row r="331">
          <cell r="C331">
            <v>19</v>
          </cell>
          <cell r="E331">
            <v>26</v>
          </cell>
        </row>
        <row r="332">
          <cell r="C332">
            <v>4</v>
          </cell>
          <cell r="E332">
            <v>2</v>
          </cell>
        </row>
        <row r="333">
          <cell r="C333">
            <v>19</v>
          </cell>
          <cell r="E333">
            <v>22</v>
          </cell>
        </row>
        <row r="334">
          <cell r="C334">
            <v>4</v>
          </cell>
          <cell r="E334">
            <v>2</v>
          </cell>
        </row>
        <row r="335">
          <cell r="C335">
            <v>19</v>
          </cell>
          <cell r="E335">
            <v>26</v>
          </cell>
        </row>
        <row r="336">
          <cell r="C336">
            <v>4</v>
          </cell>
          <cell r="E336">
            <v>2</v>
          </cell>
        </row>
        <row r="337">
          <cell r="C337">
            <v>19</v>
          </cell>
          <cell r="E337">
            <v>26</v>
          </cell>
        </row>
        <row r="338">
          <cell r="C338">
            <v>4</v>
          </cell>
          <cell r="E338">
            <v>2</v>
          </cell>
        </row>
        <row r="339">
          <cell r="C339">
            <v>19</v>
          </cell>
          <cell r="E339">
            <v>26</v>
          </cell>
        </row>
        <row r="340">
          <cell r="C340">
            <v>12</v>
          </cell>
          <cell r="E340">
            <v>63</v>
          </cell>
        </row>
        <row r="341">
          <cell r="C341">
            <v>12</v>
          </cell>
          <cell r="E341">
            <v>63</v>
          </cell>
        </row>
        <row r="342">
          <cell r="C342">
            <v>4</v>
          </cell>
          <cell r="E342">
            <v>2</v>
          </cell>
        </row>
        <row r="343">
          <cell r="C343">
            <v>19</v>
          </cell>
          <cell r="E343">
            <v>26</v>
          </cell>
        </row>
        <row r="344">
          <cell r="C344">
            <v>4</v>
          </cell>
          <cell r="E344">
            <v>2</v>
          </cell>
        </row>
        <row r="345">
          <cell r="C345">
            <v>13</v>
          </cell>
          <cell r="E345">
            <v>1019</v>
          </cell>
        </row>
        <row r="346">
          <cell r="C346">
            <v>4</v>
          </cell>
          <cell r="E346">
            <v>2</v>
          </cell>
        </row>
        <row r="347">
          <cell r="C347">
            <v>19</v>
          </cell>
          <cell r="E347">
            <v>26</v>
          </cell>
        </row>
        <row r="348">
          <cell r="C348">
            <v>4</v>
          </cell>
          <cell r="E348">
            <v>2</v>
          </cell>
        </row>
        <row r="349">
          <cell r="C349">
            <v>19</v>
          </cell>
          <cell r="E349">
            <v>26</v>
          </cell>
        </row>
        <row r="350">
          <cell r="C350">
            <v>4</v>
          </cell>
          <cell r="E350">
            <v>2</v>
          </cell>
        </row>
        <row r="351">
          <cell r="C351">
            <v>19</v>
          </cell>
          <cell r="E351">
            <v>26</v>
          </cell>
        </row>
        <row r="352">
          <cell r="C352">
            <v>12</v>
          </cell>
          <cell r="E352">
            <v>63</v>
          </cell>
        </row>
        <row r="353">
          <cell r="C353">
            <v>12</v>
          </cell>
          <cell r="E353">
            <v>63</v>
          </cell>
        </row>
        <row r="354">
          <cell r="C354">
            <v>17</v>
          </cell>
          <cell r="E354">
            <v>377</v>
          </cell>
        </row>
        <row r="355">
          <cell r="C355">
            <v>12</v>
          </cell>
          <cell r="E355">
            <v>63</v>
          </cell>
        </row>
        <row r="356">
          <cell r="C356">
            <v>12</v>
          </cell>
          <cell r="E356">
            <v>63</v>
          </cell>
        </row>
        <row r="357">
          <cell r="C357">
            <v>20</v>
          </cell>
          <cell r="E357">
            <v>53</v>
          </cell>
        </row>
        <row r="358">
          <cell r="C358">
            <v>12</v>
          </cell>
          <cell r="E358">
            <v>63</v>
          </cell>
        </row>
        <row r="359">
          <cell r="C359">
            <v>20</v>
          </cell>
          <cell r="E359">
            <v>54</v>
          </cell>
        </row>
        <row r="360">
          <cell r="C360">
            <v>17</v>
          </cell>
          <cell r="E360">
            <v>377</v>
          </cell>
        </row>
        <row r="361">
          <cell r="C361">
            <v>12</v>
          </cell>
          <cell r="E361">
            <v>63</v>
          </cell>
        </row>
        <row r="362">
          <cell r="C362">
            <v>18</v>
          </cell>
          <cell r="E362">
            <v>50</v>
          </cell>
        </row>
        <row r="363">
          <cell r="C363">
            <v>8</v>
          </cell>
          <cell r="E363">
            <v>300</v>
          </cell>
        </row>
        <row r="364">
          <cell r="C364">
            <v>8</v>
          </cell>
          <cell r="E364">
            <v>336</v>
          </cell>
        </row>
        <row r="365">
          <cell r="C365">
            <v>15</v>
          </cell>
          <cell r="E365">
            <v>50</v>
          </cell>
        </row>
        <row r="366">
          <cell r="C366">
            <v>18</v>
          </cell>
          <cell r="E366">
            <v>50</v>
          </cell>
        </row>
        <row r="367">
          <cell r="C367">
            <v>15</v>
          </cell>
          <cell r="E367">
            <v>50</v>
          </cell>
        </row>
        <row r="368">
          <cell r="C368">
            <v>15</v>
          </cell>
          <cell r="E368">
            <v>50</v>
          </cell>
        </row>
        <row r="369">
          <cell r="C369">
            <v>15</v>
          </cell>
          <cell r="E369">
            <v>50</v>
          </cell>
        </row>
        <row r="370">
          <cell r="C370">
            <v>10</v>
          </cell>
          <cell r="E370">
            <v>309</v>
          </cell>
        </row>
        <row r="371">
          <cell r="C371">
            <v>18</v>
          </cell>
          <cell r="E371">
            <v>50</v>
          </cell>
        </row>
        <row r="372">
          <cell r="C372">
            <v>3</v>
          </cell>
          <cell r="E372">
            <v>396</v>
          </cell>
        </row>
        <row r="373">
          <cell r="C373">
            <v>20</v>
          </cell>
          <cell r="E373">
            <v>54</v>
          </cell>
        </row>
        <row r="374">
          <cell r="C374">
            <v>20</v>
          </cell>
          <cell r="E374">
            <v>54</v>
          </cell>
        </row>
        <row r="375">
          <cell r="C375">
            <v>15</v>
          </cell>
          <cell r="E375">
            <v>64</v>
          </cell>
        </row>
        <row r="376">
          <cell r="C376">
            <v>20</v>
          </cell>
          <cell r="E376">
            <v>54</v>
          </cell>
        </row>
        <row r="377">
          <cell r="C377">
            <v>8</v>
          </cell>
          <cell r="E377">
            <v>300</v>
          </cell>
        </row>
        <row r="378">
          <cell r="C378">
            <v>15</v>
          </cell>
          <cell r="E378">
            <v>50</v>
          </cell>
        </row>
        <row r="379">
          <cell r="C379">
            <v>15</v>
          </cell>
          <cell r="E379">
            <v>50</v>
          </cell>
        </row>
        <row r="380">
          <cell r="C380">
            <v>11</v>
          </cell>
          <cell r="E380">
            <v>339</v>
          </cell>
        </row>
        <row r="381">
          <cell r="C381">
            <v>9</v>
          </cell>
          <cell r="E381">
            <v>463</v>
          </cell>
        </row>
        <row r="382">
          <cell r="C382">
            <v>15</v>
          </cell>
          <cell r="E382">
            <v>50</v>
          </cell>
        </row>
        <row r="383">
          <cell r="C383">
            <v>15</v>
          </cell>
          <cell r="E383">
            <v>50</v>
          </cell>
        </row>
        <row r="384">
          <cell r="C384">
            <v>15</v>
          </cell>
          <cell r="E384">
            <v>50</v>
          </cell>
        </row>
        <row r="385">
          <cell r="C385">
            <v>15</v>
          </cell>
          <cell r="E385">
            <v>50</v>
          </cell>
        </row>
        <row r="386">
          <cell r="C386">
            <v>15</v>
          </cell>
          <cell r="E386">
            <v>50</v>
          </cell>
        </row>
        <row r="387">
          <cell r="C387">
            <v>8</v>
          </cell>
          <cell r="E387">
            <v>299</v>
          </cell>
        </row>
        <row r="388">
          <cell r="C388">
            <v>15</v>
          </cell>
          <cell r="E388">
            <v>50</v>
          </cell>
        </row>
        <row r="389">
          <cell r="C389">
            <v>18</v>
          </cell>
          <cell r="E389">
            <v>50</v>
          </cell>
        </row>
        <row r="390">
          <cell r="C390">
            <v>20</v>
          </cell>
          <cell r="E390">
            <v>54</v>
          </cell>
        </row>
        <row r="391">
          <cell r="C391">
            <v>20</v>
          </cell>
          <cell r="E391">
            <v>54</v>
          </cell>
        </row>
        <row r="392">
          <cell r="C392">
            <v>15</v>
          </cell>
          <cell r="E392">
            <v>63</v>
          </cell>
        </row>
        <row r="393">
          <cell r="C393">
            <v>20</v>
          </cell>
          <cell r="E393">
            <v>54</v>
          </cell>
        </row>
        <row r="394">
          <cell r="C394">
            <v>18</v>
          </cell>
          <cell r="E394">
            <v>50</v>
          </cell>
        </row>
        <row r="395">
          <cell r="C395">
            <v>12</v>
          </cell>
          <cell r="E395">
            <v>63</v>
          </cell>
        </row>
        <row r="396">
          <cell r="C396">
            <v>15</v>
          </cell>
          <cell r="E396">
            <v>50</v>
          </cell>
        </row>
        <row r="397">
          <cell r="C397">
            <v>6</v>
          </cell>
          <cell r="E397">
            <v>40</v>
          </cell>
        </row>
        <row r="398">
          <cell r="C398">
            <v>6</v>
          </cell>
          <cell r="E398">
            <v>40</v>
          </cell>
        </row>
        <row r="399">
          <cell r="C399">
            <v>12</v>
          </cell>
          <cell r="E399">
            <v>63</v>
          </cell>
        </row>
        <row r="400">
          <cell r="C400">
            <v>12</v>
          </cell>
          <cell r="E400">
            <v>63</v>
          </cell>
        </row>
        <row r="401">
          <cell r="C401">
            <v>20</v>
          </cell>
          <cell r="E401">
            <v>54</v>
          </cell>
        </row>
        <row r="402">
          <cell r="C402">
            <v>12</v>
          </cell>
          <cell r="E402">
            <v>63</v>
          </cell>
        </row>
        <row r="403">
          <cell r="C403">
            <v>20</v>
          </cell>
          <cell r="E403">
            <v>54</v>
          </cell>
        </row>
        <row r="404">
          <cell r="C404">
            <v>12</v>
          </cell>
          <cell r="E404">
            <v>63</v>
          </cell>
        </row>
        <row r="405">
          <cell r="C405">
            <v>12</v>
          </cell>
          <cell r="E405">
            <v>63</v>
          </cell>
        </row>
        <row r="406">
          <cell r="C406">
            <v>20</v>
          </cell>
          <cell r="E406">
            <v>54</v>
          </cell>
        </row>
        <row r="407">
          <cell r="C407">
            <v>20</v>
          </cell>
          <cell r="E407">
            <v>54</v>
          </cell>
        </row>
        <row r="408">
          <cell r="C408">
            <v>20</v>
          </cell>
          <cell r="E408">
            <v>54</v>
          </cell>
        </row>
        <row r="409">
          <cell r="C409">
            <v>20</v>
          </cell>
          <cell r="E409">
            <v>54</v>
          </cell>
        </row>
        <row r="410">
          <cell r="C410">
            <v>20</v>
          </cell>
          <cell r="E410">
            <v>54</v>
          </cell>
        </row>
        <row r="411">
          <cell r="C411">
            <v>20</v>
          </cell>
          <cell r="E411">
            <v>54</v>
          </cell>
        </row>
        <row r="412">
          <cell r="C412">
            <v>12</v>
          </cell>
          <cell r="E412">
            <v>63</v>
          </cell>
        </row>
        <row r="413">
          <cell r="C413">
            <v>20</v>
          </cell>
          <cell r="E413">
            <v>53</v>
          </cell>
        </row>
        <row r="414">
          <cell r="C414">
            <v>4</v>
          </cell>
          <cell r="E414">
            <v>2</v>
          </cell>
        </row>
        <row r="415">
          <cell r="C415">
            <v>19</v>
          </cell>
          <cell r="E415">
            <v>26</v>
          </cell>
        </row>
        <row r="416">
          <cell r="C416">
            <v>12</v>
          </cell>
          <cell r="E416">
            <v>63</v>
          </cell>
        </row>
        <row r="417">
          <cell r="C417">
            <v>20</v>
          </cell>
          <cell r="E417">
            <v>54</v>
          </cell>
        </row>
        <row r="418">
          <cell r="C418">
            <v>20</v>
          </cell>
          <cell r="E418">
            <v>54</v>
          </cell>
        </row>
        <row r="419">
          <cell r="C419">
            <v>20</v>
          </cell>
          <cell r="E419">
            <v>54</v>
          </cell>
        </row>
        <row r="420">
          <cell r="C420">
            <v>15</v>
          </cell>
          <cell r="E420">
            <v>50</v>
          </cell>
        </row>
        <row r="421">
          <cell r="C421">
            <v>20</v>
          </cell>
          <cell r="E421">
            <v>54</v>
          </cell>
        </row>
        <row r="422">
          <cell r="C422">
            <v>12</v>
          </cell>
          <cell r="E422">
            <v>63</v>
          </cell>
        </row>
        <row r="423">
          <cell r="C423">
            <v>20</v>
          </cell>
          <cell r="E423">
            <v>54</v>
          </cell>
        </row>
        <row r="424">
          <cell r="C424">
            <v>12</v>
          </cell>
          <cell r="E424">
            <v>63</v>
          </cell>
        </row>
        <row r="425">
          <cell r="C425">
            <v>20</v>
          </cell>
          <cell r="E425">
            <v>54</v>
          </cell>
        </row>
        <row r="426">
          <cell r="C426">
            <v>12</v>
          </cell>
          <cell r="E426">
            <v>63</v>
          </cell>
        </row>
        <row r="427">
          <cell r="C427">
            <v>12</v>
          </cell>
          <cell r="E427">
            <v>63</v>
          </cell>
        </row>
        <row r="428">
          <cell r="C428">
            <v>15</v>
          </cell>
          <cell r="E428">
            <v>50</v>
          </cell>
        </row>
        <row r="429">
          <cell r="C429">
            <v>14</v>
          </cell>
          <cell r="E429">
            <v>326</v>
          </cell>
        </row>
        <row r="430">
          <cell r="C430">
            <v>14</v>
          </cell>
          <cell r="E430">
            <v>331</v>
          </cell>
        </row>
        <row r="431">
          <cell r="C431">
            <v>9</v>
          </cell>
          <cell r="E431">
            <v>408</v>
          </cell>
        </row>
        <row r="432">
          <cell r="C432">
            <v>7</v>
          </cell>
          <cell r="E432">
            <v>525</v>
          </cell>
        </row>
        <row r="433">
          <cell r="C433">
            <v>10</v>
          </cell>
          <cell r="E433">
            <v>310</v>
          </cell>
        </row>
        <row r="434">
          <cell r="C434">
            <v>11</v>
          </cell>
          <cell r="E434">
            <v>340</v>
          </cell>
        </row>
        <row r="435">
          <cell r="C435">
            <v>9</v>
          </cell>
          <cell r="E435">
            <v>400</v>
          </cell>
        </row>
        <row r="436">
          <cell r="C436">
            <v>9</v>
          </cell>
          <cell r="E436">
            <v>400</v>
          </cell>
        </row>
        <row r="437">
          <cell r="C437">
            <v>11</v>
          </cell>
          <cell r="E437">
            <v>357</v>
          </cell>
        </row>
        <row r="438">
          <cell r="C438">
            <v>4</v>
          </cell>
          <cell r="E438">
            <v>1</v>
          </cell>
        </row>
        <row r="439">
          <cell r="C439">
            <v>5</v>
          </cell>
          <cell r="E439">
            <v>1052</v>
          </cell>
        </row>
      </sheetData>
      <sheetData sheetId="2"/>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CUEIL"/>
      <sheetName val="FORMULAIRE_BUDGET_SAGE"/>
      <sheetName val="LISTE_ACTIVITES"/>
      <sheetName val="BUDGET_PREVISIONNEL"/>
      <sheetName val="CENTRALISATION_BUDGETS"/>
      <sheetName val="BUDGETISATIONS_FINIES"/>
      <sheetName val="JOURNAL DE BANQUE"/>
      <sheetName val="SAISIE_DONNEES"/>
      <sheetName val="VERIFICATION_PJ"/>
      <sheetName val="JOURNAL_DEPENSE"/>
      <sheetName val="RAPPORT FINANCIER"/>
      <sheetName val="SUIVI FONDS ACTIVITÉS"/>
      <sheetName val="DASHBOARD"/>
      <sheetName val="PARAMETRES"/>
      <sheetName val="DISTANCES_DISTRICTS"/>
      <sheetName val="LISTES"/>
      <sheetName val="CHECKLIST_PJ"/>
      <sheetName val="CONTROLE_PRESENCE"/>
      <sheetName val="RAPPROCHEMENT BANCAIRE"/>
      <sheetName val="SUIVI FONDS VIRÉS"/>
      <sheetName val="GESTION_BUDGETS"/>
      <sheetName val="BUDGET_ACCORDE_MODIFIE"/>
      <sheetName val="FORMULAIRE_BANQUE_SAGE"/>
      <sheetName val="FORMULAIRE_DEPENSE_PJ_SAGE"/>
      <sheetName val="NOMBRES_LETTR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A2" t="str">
            <v>RESTAURATION / ORGANISATION</v>
          </cell>
          <cell r="C2" t="str">
            <v>Budget prévisionnel</v>
          </cell>
          <cell r="D2" t="str">
            <v>Oui</v>
          </cell>
          <cell r="H2">
            <v>1</v>
          </cell>
          <cell r="L2" t="str">
            <v>Eau minérale</v>
          </cell>
          <cell r="M2" t="str">
            <v>SUB_RESTAURATION</v>
          </cell>
          <cell r="N2" t="str">
            <v>Eau minérale</v>
          </cell>
          <cell r="R2" t="str">
            <v>DELAI DE ROUTE</v>
          </cell>
          <cell r="S2" t="str">
            <v>Délai de route</v>
          </cell>
        </row>
        <row r="3">
          <cell r="A3" t="str">
            <v>FOURNITURES</v>
          </cell>
          <cell r="C3" t="str">
            <v>Journal de banque</v>
          </cell>
          <cell r="D3" t="str">
            <v>Non</v>
          </cell>
          <cell r="H3">
            <v>2</v>
          </cell>
          <cell r="L3" t="str">
            <v>Déjeuner</v>
          </cell>
          <cell r="M3" t="str">
            <v>SUB_RESTAURATION</v>
          </cell>
          <cell r="N3" t="str">
            <v>Déjeuner</v>
          </cell>
          <cell r="R3" t="str">
            <v>PENDANT ACTIVITÉ</v>
          </cell>
          <cell r="S3" t="str">
            <v>Pendant activité</v>
          </cell>
        </row>
        <row r="4">
          <cell r="A4" t="str">
            <v>INDEMNITÉS DES MISSIONNAIRES OU PARTICIPANTS</v>
          </cell>
          <cell r="C4" t="str">
            <v>Journal de dépense</v>
          </cell>
          <cell r="D4" t="str">
            <v>Non applicable</v>
          </cell>
          <cell r="H4">
            <v>3</v>
          </cell>
          <cell r="L4" t="str">
            <v>Pause café</v>
          </cell>
          <cell r="M4" t="str">
            <v>SUB_RESTAURATION</v>
          </cell>
          <cell r="N4" t="str">
            <v>Pause café</v>
          </cell>
          <cell r="R4" t="str">
            <v>CHAUFFEUR - DELAI DE ROUTE</v>
          </cell>
          <cell r="S4" t="str">
            <v>CHAUFFEUR - DELAI DE ROUTE</v>
          </cell>
        </row>
        <row r="5">
          <cell r="A5" t="str">
            <v>DÉPLACEMENTS DES MISSIONNAIRES OU PARTICIPANTS</v>
          </cell>
          <cell r="C5" t="str">
            <v>Vérification de PJ</v>
          </cell>
          <cell r="H5">
            <v>4</v>
          </cell>
          <cell r="L5" t="str">
            <v>Location de salle équipée</v>
          </cell>
          <cell r="N5" t="str">
            <v>Dépôt</v>
          </cell>
          <cell r="R5" t="str">
            <v>CHAUFFEUR - PENDANT ACTIVITÉ</v>
          </cell>
          <cell r="S5" t="str">
            <v>CHAUFFEUR - PENDANT ACTIVITÉ</v>
          </cell>
        </row>
        <row r="6">
          <cell r="A6" t="str">
            <v>AUTRES</v>
          </cell>
          <cell r="H6">
            <v>5</v>
          </cell>
          <cell r="N6" t="str">
            <v>Retrait</v>
          </cell>
        </row>
        <row r="7">
          <cell r="A7" t="str">
            <v>COUVERTURE MÉDIATIQUE</v>
          </cell>
          <cell r="H7">
            <v>6</v>
          </cell>
          <cell r="N7" t="str">
            <v>Autre</v>
          </cell>
        </row>
        <row r="8">
          <cell r="A8" t="str">
            <v>MULTIPLICATION DE DOCUMENT/VISUEL</v>
          </cell>
          <cell r="H8">
            <v>7</v>
          </cell>
        </row>
        <row r="9">
          <cell r="H9">
            <v>8</v>
          </cell>
        </row>
        <row r="10">
          <cell r="H10">
            <v>9</v>
          </cell>
        </row>
        <row r="11">
          <cell r="H11">
            <v>10</v>
          </cell>
        </row>
        <row r="12">
          <cell r="H12">
            <v>11</v>
          </cell>
        </row>
        <row r="13">
          <cell r="H13">
            <v>12</v>
          </cell>
        </row>
        <row r="14">
          <cell r="H14">
            <v>13</v>
          </cell>
        </row>
        <row r="15">
          <cell r="H15">
            <v>14</v>
          </cell>
        </row>
        <row r="16">
          <cell r="H16">
            <v>15</v>
          </cell>
        </row>
        <row r="17">
          <cell r="H17">
            <v>16</v>
          </cell>
        </row>
        <row r="18">
          <cell r="H18">
            <v>17</v>
          </cell>
        </row>
        <row r="19">
          <cell r="H19">
            <v>18</v>
          </cell>
        </row>
        <row r="20">
          <cell r="H20">
            <v>19</v>
          </cell>
        </row>
        <row r="21">
          <cell r="H21">
            <v>20</v>
          </cell>
        </row>
        <row r="22">
          <cell r="H22">
            <v>21</v>
          </cell>
        </row>
        <row r="23">
          <cell r="H23">
            <v>22</v>
          </cell>
        </row>
        <row r="24">
          <cell r="H24">
            <v>23</v>
          </cell>
        </row>
        <row r="25">
          <cell r="H25">
            <v>24</v>
          </cell>
        </row>
        <row r="26">
          <cell r="H26">
            <v>25</v>
          </cell>
        </row>
        <row r="27">
          <cell r="H27">
            <v>26</v>
          </cell>
        </row>
        <row r="28">
          <cell r="H28">
            <v>27</v>
          </cell>
        </row>
        <row r="29">
          <cell r="H29">
            <v>28</v>
          </cell>
        </row>
        <row r="30">
          <cell r="H30">
            <v>29</v>
          </cell>
        </row>
        <row r="31">
          <cell r="H31">
            <v>30</v>
          </cell>
        </row>
        <row r="32">
          <cell r="H32">
            <v>31</v>
          </cell>
        </row>
      </sheetData>
      <sheetData sheetId="16"/>
      <sheetData sheetId="17"/>
      <sheetData sheetId="18"/>
      <sheetData sheetId="19"/>
      <sheetData sheetId="20"/>
      <sheetData sheetId="21"/>
      <sheetData sheetId="22"/>
      <sheetData sheetId="23"/>
      <sheetData sheetId="2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éfinitions"/>
      <sheetName val="Pauldisme_Données financières"/>
      <sheetName val="Annexe 1"/>
      <sheetName val="Annexe 2"/>
      <sheetName val="Annexe 3"/>
      <sheetName val="Feuil1"/>
      <sheetName val="Feuil2"/>
      <sheetName val="Pauldisme_Données_financières"/>
      <sheetName val="Annexe_1"/>
      <sheetName val="Annexe_2"/>
      <sheetName val="Annexe_3"/>
      <sheetName val="Pauldisme_Données_financières1"/>
      <sheetName val="Annexe_11"/>
      <sheetName val="Annexe_21"/>
      <sheetName val="Annexe_31"/>
    </sheetNames>
    <sheetDataSet>
      <sheetData sheetId="0">
        <row r="38">
          <cell r="B38" t="str">
            <v>Merci de sélectionner …</v>
          </cell>
        </row>
        <row r="39">
          <cell r="B39" t="str">
            <v>Prévention</v>
          </cell>
        </row>
        <row r="40">
          <cell r="B40" t="str">
            <v>Traitement</v>
          </cell>
        </row>
        <row r="41">
          <cell r="B41" t="str">
            <v>Contexte favorable</v>
          </cell>
        </row>
        <row r="42">
          <cell r="B42" t="str">
            <v xml:space="preserve">HSS - Renforcement des systèmes de santé </v>
          </cell>
        </row>
      </sheetData>
      <sheetData sheetId="1"/>
      <sheetData sheetId="2"/>
      <sheetData sheetId="3"/>
      <sheetData sheetId="4"/>
      <sheetData sheetId="5" refreshError="1"/>
      <sheetData sheetId="6" refreshError="1"/>
      <sheetData sheetId="7"/>
      <sheetData sheetId="8"/>
      <sheetData sheetId="9"/>
      <sheetData sheetId="10"/>
      <sheetData sheetId="11"/>
      <sheetData sheetId="12"/>
      <sheetData sheetId="13"/>
      <sheetData sheetId="1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s"/>
      <sheetName val="Budget summary UGP_GFR7"/>
      <sheetName val="Budget_summary_UGP_GFR7"/>
      <sheetName val="Budget_summary_UGP_GFR71"/>
    </sheetNames>
    <sheetDataSet>
      <sheetData sheetId="0">
        <row r="127">
          <cell r="B127" t="str">
            <v>Please Select…</v>
          </cell>
        </row>
        <row r="128">
          <cell r="B128" t="str">
            <v>HIV:Prevention</v>
          </cell>
        </row>
        <row r="129">
          <cell r="B129" t="str">
            <v>HIV:Treatment</v>
          </cell>
        </row>
        <row r="130">
          <cell r="B130" t="str">
            <v>HIV:Care and Support</v>
          </cell>
        </row>
        <row r="131">
          <cell r="B131" t="str">
            <v>HIV:TB/HIV Collaborative Activities</v>
          </cell>
        </row>
        <row r="132">
          <cell r="B132" t="str">
            <v>HIV:Supportive Environment</v>
          </cell>
        </row>
        <row r="133">
          <cell r="B133" t="str">
            <v>HIV:Health Systems Strengthening (HSS)</v>
          </cell>
        </row>
        <row r="134">
          <cell r="B134" t="str">
            <v>HIV_TB: TB Detection</v>
          </cell>
        </row>
        <row r="135">
          <cell r="B135" t="str">
            <v>HIV_TB: TB Treatment</v>
          </cell>
        </row>
        <row r="136">
          <cell r="B136" t="str">
            <v>HIV_TB: Collaborative Activities</v>
          </cell>
        </row>
        <row r="137">
          <cell r="B137" t="str">
            <v>HIV_TB: Supportive Environment</v>
          </cell>
        </row>
        <row r="138">
          <cell r="B138" t="str">
            <v>HIV_TB: Health Systems Strengthening (HSS)</v>
          </cell>
        </row>
        <row r="139">
          <cell r="B139" t="str">
            <v>Mal: Prevention</v>
          </cell>
        </row>
        <row r="140">
          <cell r="B140" t="str">
            <v>Mal: Treatment</v>
          </cell>
        </row>
        <row r="141">
          <cell r="B141" t="str">
            <v>Mal: Supportive Environment</v>
          </cell>
        </row>
        <row r="142">
          <cell r="B142" t="str">
            <v>Mal: Health Systems Strengthening (HSS)</v>
          </cell>
        </row>
        <row r="143">
          <cell r="B143" t="str">
            <v>TB Detection</v>
          </cell>
        </row>
        <row r="144">
          <cell r="B144" t="str">
            <v>TB Treatment</v>
          </cell>
        </row>
        <row r="145">
          <cell r="B145" t="str">
            <v>TB/HIV Collaborative Activities</v>
          </cell>
        </row>
        <row r="146">
          <cell r="B146" t="str">
            <v>TB: Supportive Environment</v>
          </cell>
        </row>
        <row r="147">
          <cell r="B147" t="str">
            <v>TB: Health Systems Strengthening (HSS)</v>
          </cell>
        </row>
        <row r="148">
          <cell r="B148" t="str">
            <v>HSS: Health Systems Strengthening (HSS)</v>
          </cell>
        </row>
        <row r="149">
          <cell r="B149" t="str">
            <v>HSS: Supportive Environment</v>
          </cell>
        </row>
      </sheetData>
      <sheetData sheetId="1"/>
      <sheetData sheetId="2"/>
      <sheetData sheetId="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Prog_data"/>
      <sheetName val="IAC"/>
      <sheetName val="vaccinations"/>
      <sheetName val="surveillance"/>
      <sheetName val="LogMobSoc"/>
      <sheetName val="stock_district"/>
      <sheetName val="Inventory"/>
      <sheetName val="Rpt_month"/>
      <sheetName val="Translation"/>
      <sheetName val="Rpt_trim"/>
      <sheetName val="Rpt_month IAC"/>
      <sheetName val="IAC_MENS"/>
      <sheetName val="Compl_Prompt"/>
      <sheetName val="Temperatures"/>
      <sheetName val="Indicators"/>
      <sheetName val="CAT"/>
      <sheetName val="Class"/>
      <sheetName val="Couv_1"/>
      <sheetName val="RED"/>
      <sheetName val="Couv_2"/>
      <sheetName val="Grf_performances"/>
      <sheetName val="Grf_dispo"/>
      <sheetName val="Vac_1"/>
      <sheetName val="Vac_2"/>
      <sheetName val="Stocks"/>
      <sheetName val="Supply"/>
      <sheetName val="Bundling"/>
      <sheetName val="Utilisation"/>
      <sheetName val="Wastage"/>
      <sheetName val="Qte_issued"/>
      <sheetName val="VVM"/>
      <sheetName val="Frozen"/>
      <sheetName val="Expiry"/>
      <sheetName val="Country_data"/>
      <sheetName val="Sheet2"/>
      <sheetName val="Feuil1"/>
    </sheetNames>
    <sheetDataSet>
      <sheetData sheetId="0" refreshError="1"/>
      <sheetData sheetId="1" refreshError="1"/>
      <sheetData sheetId="2" refreshError="1">
        <row r="7">
          <cell r="B7" t="str">
            <v>Districts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Assainissement"/>
      <sheetName val=" Cactus rouge jardin scolaire"/>
      <sheetName val=" mare artificiel"/>
      <sheetName val=" Reboisement (2)"/>
      <sheetName val=" piste"/>
      <sheetName val="syntese fkt"/>
      <sheetName val="vct_00b plan distribution"/>
      <sheetName val="vct_01 presence"/>
      <sheetName val="Correction quantitaf agex final"/>
    </sheetNames>
    <sheetDataSet>
      <sheetData sheetId="0">
        <row r="23">
          <cell r="F23">
            <v>3000</v>
          </cell>
        </row>
      </sheetData>
      <sheetData sheetId="1">
        <row r="23">
          <cell r="F23">
            <v>33370</v>
          </cell>
        </row>
      </sheetData>
      <sheetData sheetId="2">
        <row r="22">
          <cell r="F22">
            <v>3600</v>
          </cell>
        </row>
      </sheetData>
      <sheetData sheetId="3">
        <row r="17">
          <cell r="F17">
            <v>25600</v>
          </cell>
        </row>
      </sheetData>
      <sheetData sheetId="4">
        <row r="18">
          <cell r="F18">
            <v>15000</v>
          </cell>
        </row>
      </sheetData>
      <sheetData sheetId="5"/>
      <sheetData sheetId="6"/>
      <sheetData sheetId="7"/>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
      <sheetName val="Mgmt and Admin"/>
      <sheetName val="Sch 3 - Staff breakdown"/>
      <sheetName val="data summary"/>
      <sheetName val="budget fin dec 14"/>
      <sheetName val="Budget total"/>
      <sheetName val="Sheet6"/>
      <sheetName val="Sheet3"/>
    </sheetNames>
    <sheetDataSet>
      <sheetData sheetId="0"/>
      <sheetData sheetId="1"/>
      <sheetData sheetId="2"/>
      <sheetData sheetId="3"/>
      <sheetData sheetId="4"/>
      <sheetData sheetId="5"/>
      <sheetData sheetId="6"/>
      <sheetData sheetId="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_oct14"/>
      <sheetName val="Variables-Normes"/>
      <sheetName val="8. Récapitulatif"/>
      <sheetName val="IMPORTANT"/>
      <sheetName val="Recap_SDSP"/>
      <sheetName val="Feuil1"/>
      <sheetName val="Coût_SDSP"/>
      <sheetName val="6.Coûts opérationnels"/>
      <sheetName val="Macrobudget"/>
      <sheetName val="Région_recap"/>
      <sheetName val="Région"/>
      <sheetName val="Coût_région"/>
      <sheetName val="Région_recap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HIV Performance Framework"/>
      <sheetName val="SDAs_impact_datasources"/>
    </sheetNames>
    <sheetDataSet>
      <sheetData sheetId="0"/>
      <sheetData sheetId="1"/>
      <sheetData sheetId="2">
        <row r="2">
          <cell r="A2" t="str">
            <v>BCC - Mass media</v>
          </cell>
        </row>
        <row r="3">
          <cell r="A3" t="str">
            <v>BCC - community outreach and schools</v>
          </cell>
        </row>
        <row r="4">
          <cell r="A4" t="str">
            <v xml:space="preserve">Condom </v>
          </cell>
        </row>
        <row r="5">
          <cell r="A5" t="str">
            <v>Testing and Counseling</v>
          </cell>
        </row>
        <row r="6">
          <cell r="A6" t="str">
            <v>PMTCT</v>
          </cell>
        </row>
        <row r="7">
          <cell r="A7" t="str">
            <v>Post-exposure prophylaxis (PEP)</v>
          </cell>
        </row>
        <row r="8">
          <cell r="A8" t="str">
            <v>STI diagnosis and treatment</v>
          </cell>
        </row>
        <row r="9">
          <cell r="A9" t="str">
            <v>Blood safety and universal precaution</v>
          </cell>
        </row>
        <row r="10">
          <cell r="A10" t="str">
            <v>Antiretroviral treatment (ARV) and monitoring</v>
          </cell>
        </row>
        <row r="11">
          <cell r="A11" t="str">
            <v>Prophylaxis and treatment for opportunistic infections</v>
          </cell>
        </row>
        <row r="12">
          <cell r="A12" t="str">
            <v>Care and support for the chronically ill</v>
          </cell>
        </row>
        <row r="13">
          <cell r="A13" t="str">
            <v>Support for orphans and vulnerable children</v>
          </cell>
        </row>
        <row r="14">
          <cell r="A14" t="str">
            <v>TB/HIV</v>
          </cell>
        </row>
        <row r="15">
          <cell r="A15" t="str">
            <v>Policy development including workplace policy</v>
          </cell>
        </row>
        <row r="16">
          <cell r="A16" t="str">
            <v xml:space="preserve">Strengthening of civil society and institutional capacity building </v>
          </cell>
        </row>
        <row r="17">
          <cell r="A17" t="str">
            <v>Stigma reduction in all settings</v>
          </cell>
        </row>
        <row r="18">
          <cell r="A18" t="str">
            <v>HSS: Service delivery</v>
          </cell>
        </row>
        <row r="19">
          <cell r="A19" t="str">
            <v>HSS: Health Workforce</v>
          </cell>
        </row>
        <row r="20">
          <cell r="A20" t="str">
            <v>HSS: Medical Products, vaccines and technology</v>
          </cell>
        </row>
        <row r="21">
          <cell r="A21" t="str">
            <v>HSS: Financing</v>
          </cell>
        </row>
        <row r="22">
          <cell r="A22" t="str">
            <v>HSS: Leadership and Governance</v>
          </cell>
        </row>
        <row r="23">
          <cell r="A23" t="str">
            <v xml:space="preserve">HSS: Information system </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Page"/>
      <sheetName val="P&amp;L Summary"/>
      <sheetName val="GF Title Sheet"/>
      <sheetName val="GF General Assumptions"/>
      <sheetName val="GF Detailed Assumptions"/>
      <sheetName val="Budget summary GF"/>
      <sheetName val="GF Summary"/>
      <sheetName val="SDA 1. ITN"/>
      <sheetName val="SDA 2. MIP"/>
      <sheetName val="SDA 3. Planification"/>
    </sheetNames>
    <sheetDataSet>
      <sheetData sheetId="0" refreshError="1">
        <row r="33">
          <cell r="A33">
            <v>1.05</v>
          </cell>
        </row>
        <row r="34">
          <cell r="A34">
            <v>1.1025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_ 1"/>
      <sheetName val="CAT 2"/>
      <sheetName val="CAT 4"/>
      <sheetName val="CAT 5"/>
      <sheetName val="CAT 6"/>
      <sheetName val="CAT 7"/>
      <sheetName val="RECAP."/>
      <sheetName val="RAP.BANQUE _IDA"/>
      <sheetName val="LETTRE_IDA"/>
      <sheetName val="Vérification"/>
      <sheetName val="RAP.BANQUE _ACS"/>
      <sheetName val="LETTRE_ACS"/>
      <sheetName val="ETA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Narratif"/>
      <sheetName val="Instructions vf"/>
      <sheetName val="Listes"/>
      <sheetName val="Sous-activités "/>
      <sheetName val="canevas de Budgétisation"/>
      <sheetName val="Canevas PTA 2019 CENTRAL SSSD"/>
      <sheetName val="Canevas de Suivi"/>
      <sheetName val="Tableau des besoins"/>
      <sheetName val="Budget de l'Etat"/>
      <sheetName val="PCOP"/>
      <sheetName val="Feuil1"/>
      <sheetName val="BUDGESTSATION SSSD"/>
      <sheetName val="Feui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CUEIL"/>
      <sheetName val="FORMULAIRE_BUDGET_SAGE"/>
      <sheetName val="MODE_EMPLOI_FINAL"/>
      <sheetName val="CONTROL_ARCHIVAGE"/>
      <sheetName val="MODE_EMPLOI_ARCHIVAGE"/>
      <sheetName val="MODE_D_EMPLOI"/>
      <sheetName val="LISTE_ACTIVITES"/>
      <sheetName val="BUDGET_PREVISIONNEL"/>
      <sheetName val="CENTRALISATION_BUDGETS"/>
      <sheetName val="BUDGETISATIONS_FINIES"/>
      <sheetName val="JOURNAL DE BANQUE"/>
      <sheetName val="SAISIE_DONNEES"/>
      <sheetName val="VERIFICATION_PJ"/>
      <sheetName val="JOURNAL_DEPENSE"/>
      <sheetName val="RAPPORT FINANCIER"/>
      <sheetName val="SUIVI FONDS ACTIVITÉS"/>
      <sheetName val="DASHBOARD"/>
      <sheetName val="DISTANCES_DISTRICTS"/>
      <sheetName val="LISTES"/>
      <sheetName val="WORKFLOW"/>
      <sheetName val="CHECKLIST_PJ"/>
      <sheetName val="CONTROLE_PRESENCE"/>
      <sheetName val="RAPPROCHEMENT BANCAIRE"/>
      <sheetName val="SUIVI FONDS VIRÉS"/>
      <sheetName val="GESTION_BUDGETS"/>
      <sheetName val="ARCHIVE_BUDGETS"/>
      <sheetName val="ARCHIVE_RAPPORTS"/>
      <sheetName val="COMPILATION_PAR_CODE_BUDGET"/>
      <sheetName val="SELECTION_BUDGET"/>
      <sheetName val="SELECTION_RAPPORT"/>
      <sheetName val="EXPORTS_BUDGETS_FINIS"/>
      <sheetName val="NOUVEAU_BUDGET"/>
      <sheetName val="BUDGET_ACCORDE_MODIFIE"/>
      <sheetName val="FORMULAIRE_BUDGET"/>
      <sheetName val="FORMULAIRE_PJ_DEPENSE"/>
      <sheetName val="GESTION_UTILISATEURS"/>
      <sheetName val="FORMULAIRE_BANQUE_SAGE"/>
      <sheetName val="FORMULAIRE_DEPENSE_PJ_SAGE"/>
      <sheetName val="FORMULAIRE_RAPPORT_SAGE"/>
      <sheetName val="BASE_CALCUL_CARBURANT"/>
      <sheetName val="BASE_CALCUL_INDEMNITES"/>
      <sheetName val="BASE_CALCUL_RESTAURATION"/>
      <sheetName val="BASE_PJ_REQUISES"/>
      <sheetName val="LISTE_RUBRIQU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2">
          <cell r="A2" t="str">
            <v>RESTAURATION</v>
          </cell>
          <cell r="C2" t="str">
            <v>Budget prévisionnel</v>
          </cell>
          <cell r="D2" t="str">
            <v>Oui</v>
          </cell>
          <cell r="M2" t="str">
            <v>Eau minérale</v>
          </cell>
        </row>
        <row r="3">
          <cell r="A3" t="str">
            <v>FOURNITURE</v>
          </cell>
          <cell r="C3" t="str">
            <v>Journal de banque</v>
          </cell>
          <cell r="D3" t="str">
            <v>Non</v>
          </cell>
          <cell r="M3" t="str">
            <v>Déjeuner</v>
          </cell>
        </row>
        <row r="4">
          <cell r="A4" t="str">
            <v>INDEMNITE DES MISSIONNAIRES</v>
          </cell>
          <cell r="C4" t="str">
            <v>Journal de dépense</v>
          </cell>
          <cell r="D4" t="str">
            <v>Non applicable</v>
          </cell>
          <cell r="M4" t="str">
            <v>Pause café</v>
          </cell>
        </row>
        <row r="5">
          <cell r="A5" t="str">
            <v>DEPLACEMENT DES MISSIONNAIRES</v>
          </cell>
          <cell r="C5" t="str">
            <v>Vérification de PJ</v>
          </cell>
          <cell r="M5" t="str">
            <v>Dépôt</v>
          </cell>
        </row>
        <row r="6">
          <cell r="A6" t="str">
            <v>AUTRES</v>
          </cell>
          <cell r="M6" t="str">
            <v>Retrait</v>
          </cell>
        </row>
        <row r="7">
          <cell r="A7" t="str">
            <v>COUVERTURE MÉDIATIQUE</v>
          </cell>
          <cell r="M7" t="str">
            <v>Autre</v>
          </cell>
        </row>
        <row r="8">
          <cell r="A8" t="str">
            <v>MULTIPLICATION DE DOCUMENT/VISUEL</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4B3EDE-4A5D-488F-93B9-9823CA074024}" name="T_PJ_REGLES" displayName="T_PJ_REGLES" ref="A24:H95" totalsRowShown="0">
  <autoFilter ref="A24:H95" xr:uid="{00000000-0009-0000-0100-000001000000}"/>
  <tableColumns count="8">
    <tableColumn id="1" xr3:uid="{00000000-0010-0000-0000-000001000000}" name="RUBRIQUE"/>
    <tableColumn id="2" xr3:uid="{00000000-0010-0000-0000-000002000000}" name="SOUS-RUBRIQUE"/>
    <tableColumn id="3" xr3:uid="{00000000-0010-0000-0000-000003000000}" name="PJ REQUISE"/>
    <tableColumn id="4" xr3:uid="{00000000-0010-0000-0000-000004000000}" name="OBLIGATOIRE"/>
    <tableColumn id="5" xr3:uid="{00000000-0010-0000-0000-000005000000}" name="RÈGLE DE DATE"/>
    <tableColumn id="6" xr3:uid="{00000000-0010-0000-0000-000006000000}" name="TYPE DE CONTRÔLE"/>
    <tableColumn id="7" xr3:uid="{00000000-0010-0000-0000-000007000000}" name="REMARQUE"/>
    <tableColumn id="8" xr3:uid="{00000000-0010-0000-0000-000008000000}" name="ACTIF"/>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598AF9-9907-4142-9C5A-50A0CF1C3C24}" name="TarifsTable" displayName="TarifsTable" ref="B1:H37">
  <autoFilter ref="B1:H37" xr:uid="{00000000-0009-0000-0100-000001000000}"/>
  <tableColumns count="7">
    <tableColumn id="1" xr3:uid="{AB545E8D-A642-453D-BA61-DA3156B9251E}" name="Ligne budgétaire"/>
    <tableColumn id="2" xr3:uid="{DA86410B-C36E-4B61-9149-E2E3779D957A}" name="Type activité"/>
    <tableColumn id="3" xr3:uid="{20C743EC-1862-42FE-B694-A86784B1D9B8}" name="Unité"/>
    <tableColumn id="4" xr3:uid="{96AE7552-6C9E-4446-9C42-C7BC5585FE62}" name="Zone"/>
    <tableColumn id="5" xr3:uid="{9AE37E8F-09E2-4613-912E-8A739799C97E}" name="Tarif (Ar)"/>
    <tableColumn id="6" xr3:uid="{3DEEF646-5992-4E3A-BEA1-258564D33283}" name="Actif"/>
    <tableColumn id="7" xr3:uid="{C5A113D8-F55E-47EE-A165-F5B5E2894008}" name="Observation"/>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BudgetTable" displayName="BudgetTable" ref="A1:K101" totalsRowShown="0">
  <tableColumns count="11">
    <tableColumn id="1" xr3:uid="{00000000-0010-0000-0200-000001000000}" name="Code activité"/>
    <tableColumn id="2" xr3:uid="{00000000-0010-0000-0200-000002000000}" name="Activité">
      <calculatedColumnFormula>+IFERROR(VLOOKUP(A2,'LISTES ACTIVITES'!$A$2:$B$14,2,FALSE()),"")</calculatedColumnFormula>
    </tableColumn>
    <tableColumn id="3" xr3:uid="{00000000-0010-0000-0200-000003000000}" name="Date début prévue"/>
    <tableColumn id="4" xr3:uid="{00000000-0010-0000-0200-000004000000}" name="Date fin prévue"/>
    <tableColumn id="5" xr3:uid="{00000000-0010-0000-0200-000005000000}" name="Ligne budgétaire"/>
    <tableColumn id="6" xr3:uid="{00000000-0010-0000-0200-000006000000}" name="Unité"/>
    <tableColumn id="7" xr3:uid="{00000000-0010-0000-0200-000007000000}" name="Quantité prévue"/>
    <tableColumn id="11" xr3:uid="{0B4CC0FB-276C-422E-93CC-2A06C8BDA8C3}" name="Nombre de jour"/>
    <tableColumn id="8" xr3:uid="{00000000-0010-0000-0200-000008000000}" name="Taux / Montant unitaire (Ar)"/>
    <tableColumn id="9" xr3:uid="{00000000-0010-0000-0200-000009000000}" name="Montant alloué (Ar)"/>
    <tableColumn id="10" xr3:uid="{00000000-0010-0000-0200-00000A000000}" name="Observation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rolePJTable" displayName="ControlePJTable" ref="A1:V301" totalsRowShown="0">
  <tableColumns count="22">
    <tableColumn id="1" xr3:uid="{00000000-0010-0000-0000-000001000000}" name="N°"/>
    <tableColumn id="2" xr3:uid="{00000000-0010-0000-0000-000002000000}" name="Code activité"/>
    <tableColumn id="3" xr3:uid="{00000000-0010-0000-0000-000003000000}" name="Activité" dataDxfId="14">
      <calculatedColumnFormula>+IFERROR(VLOOKUP(ControlePJTable[[#This Row],[Code activité]],'LISTES ACTIVITES'!$A$1:$B$38,2,FALSE()),"")</calculatedColumnFormula>
    </tableColumn>
    <tableColumn id="4" xr3:uid="{00000000-0010-0000-0000-000004000000}" name="Date début activité"/>
    <tableColumn id="5" xr3:uid="{00000000-0010-0000-0000-000005000000}" name="Date fin activité"/>
    <tableColumn id="6" xr3:uid="{00000000-0010-0000-0000-000006000000}" name="Date PJ"/>
    <tableColumn id="7" xr3:uid="{00000000-0010-0000-0000-000007000000}" name="Ligne budgétaire"/>
    <tableColumn id="8" xr3:uid="{00000000-0010-0000-0000-000008000000}" name="Bénéficiaire / Fournisseur"/>
    <tableColumn id="9" xr3:uid="{00000000-0010-0000-0000-000009000000}" name="Type de PJ"/>
    <tableColumn id="10" xr3:uid="{00000000-0010-0000-0000-00000A000000}" name="Montant alloué (Ar)"/>
    <tableColumn id="11" xr3:uid="{00000000-0010-0000-0000-00000B000000}" name="Montant payé (Ar)"/>
    <tableColumn id="12" xr3:uid="{00000000-0010-0000-0000-00000C000000}" name="Montant PJ (Ar)"/>
    <tableColumn id="13" xr3:uid="{00000000-0010-0000-0000-00000D000000}" name="Écart Budget (Ar)"/>
    <tableColumn id="14" xr3:uid="{00000000-0010-0000-0000-00000E000000}" name="Écart PJ (Ar)"/>
    <tableColumn id="15" xr3:uid="{00000000-0010-0000-0000-00000F000000}" name="PJ reçue"/>
    <tableColumn id="16" xr3:uid="{00000000-0010-0000-0000-000010000000}" name="PJ conforme"/>
    <tableColumn id="17" xr3:uid="{00000000-0010-0000-0000-000011000000}" name="Date PJ cohérente ?">
      <calculatedColumnFormula>IF(OR(D2="",E2="",F2=""),"",IF(AND(F2&gt;=D2,E2&lt;=F2),"Oui","Non"))</calculatedColumnFormula>
    </tableColumn>
    <tableColumn id="18" xr3:uid="{00000000-0010-0000-0000-000012000000}" name="Montant contrôlées (Ar)"/>
    <tableColumn id="19" xr3:uid="{00000000-0010-0000-0000-000013000000}" name="Budget indemnités disponible (Ar)"/>
    <tableColumn id="20" xr3:uid="{00000000-0010-0000-0000-000014000000}" name="Contrôle présence/indemnité"/>
    <tableColumn id="21" xr3:uid="{00000000-0010-0000-0000-000015000000}" name="Observation"/>
    <tableColumn id="22" xr3:uid="{00000000-0010-0000-0000-000016000000}" name="Statut fina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esenceTable" displayName="PresenceTable" ref="A1:T501" totalsRowShown="0">
  <tableColumns count="20">
    <tableColumn id="1" xr3:uid="{00000000-0010-0000-0100-000001000000}" name="N°"/>
    <tableColumn id="2" xr3:uid="{00000000-0010-0000-0100-000002000000}" name="Code activité"/>
    <tableColumn id="3" xr3:uid="{00000000-0010-0000-0100-000003000000}" name="Participant"/>
    <tableColumn id="4" xr3:uid="{00000000-0010-0000-0100-000004000000}" name="Fonction / Structure"/>
    <tableColumn id="5" xr3:uid="{00000000-0010-0000-0100-000005000000}" name="Date activité"/>
    <tableColumn id="20" xr3:uid="{06679879-FA0C-41B3-95BA-5D2204B2B062}" name="Présence" dataDxfId="13"/>
    <tableColumn id="19" xr3:uid="{1B5A1E41-13FC-49D0-9B25-2A6476F2EC37}" name="Présence2" dataDxfId="12"/>
    <tableColumn id="18" xr3:uid="{447CC22D-C0FA-4D53-B580-FB0EB897B7A4}" name="Présence3" dataDxfId="11"/>
    <tableColumn id="17" xr3:uid="{0C9412AE-CFF3-4190-835B-2F2347EB7FED}" name="Présence4" dataDxfId="10"/>
    <tableColumn id="6" xr3:uid="{00000000-0010-0000-0100-000006000000}" name="Présence5"/>
    <tableColumn id="7" xr3:uid="{00000000-0010-0000-0100-000007000000}" name="Signature / preuve"/>
    <tableColumn id="8" xr3:uid="{00000000-0010-0000-0100-000008000000}" name="Taux journalier prévu (Ar)"/>
    <tableColumn id="9" xr3:uid="{00000000-0010-0000-0100-000009000000}" name="Indemnité théorique (Ar)">
      <calculatedColumnFormula>+COUNTIF(F2:J2,"Présent")*L2</calculatedColumnFormula>
    </tableColumn>
    <tableColumn id="10" xr3:uid="{00000000-0010-0000-0100-00000A000000}" name="Indemnité reçue (Ar)"/>
    <tableColumn id="11" xr3:uid="{00000000-0010-0000-0100-00000B000000}" name="Écart indemnité (Ar)"/>
    <tableColumn id="12" xr3:uid="{00000000-0010-0000-0100-00000C000000}" name="Date dans période ?"/>
    <tableColumn id="13" xr3:uid="{00000000-0010-0000-0100-00000D000000}" name="Présence justifie paiement ?"/>
    <tableColumn id="14" xr3:uid="{00000000-0010-0000-0100-00000E000000}" name="Montant conforme ?"/>
    <tableColumn id="15" xr3:uid="{00000000-0010-0000-0100-00000F000000}" name="Résultat contrôle"/>
    <tableColumn id="16" xr3:uid="{00000000-0010-0000-0100-000010000000}" name="Observ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FB74A-4355-47EF-AF70-D9FA5C4E0543}">
  <sheetPr>
    <tabColor rgb="FF70AD47"/>
  </sheetPr>
  <dimension ref="A1:H103"/>
  <sheetViews>
    <sheetView tabSelected="1" zoomScaleNormal="100" workbookViewId="0">
      <pane ySplit="3" topLeftCell="A96" activePane="bottomLeft" state="frozen"/>
      <selection pane="bottomLeft" activeCell="B27" sqref="B27"/>
    </sheetView>
  </sheetViews>
  <sheetFormatPr baseColWidth="10" defaultColWidth="8" defaultRowHeight="14.25" customHeight="1"/>
  <cols>
    <col min="1" max="1" width="28.796875" style="234" customWidth="1"/>
    <col min="2" max="3" width="34.19921875" style="234" customWidth="1"/>
    <col min="4" max="4" width="32.59765625" style="234" customWidth="1"/>
    <col min="5" max="5" width="31.5" style="234" customWidth="1"/>
    <col min="6" max="6" width="18" style="234" customWidth="1"/>
    <col min="7" max="7" width="27" style="234" customWidth="1"/>
    <col min="8" max="8" width="10.796875" style="234" customWidth="1"/>
    <col min="9" max="16384" width="8" style="234"/>
  </cols>
  <sheetData>
    <row r="1" spans="1:8" ht="21" customHeight="1">
      <c r="A1" s="307" t="s">
        <v>598</v>
      </c>
      <c r="B1" s="263"/>
      <c r="C1" s="263"/>
      <c r="D1" s="263"/>
      <c r="E1" s="263"/>
      <c r="F1" s="263"/>
      <c r="G1" s="263"/>
      <c r="H1" s="263"/>
    </row>
    <row r="2" spans="1:8" ht="14.25" customHeight="1">
      <c r="A2" s="306" t="s">
        <v>597</v>
      </c>
      <c r="B2" s="263"/>
      <c r="C2" s="263"/>
      <c r="D2" s="263"/>
      <c r="E2" s="263"/>
      <c r="F2" s="263"/>
      <c r="G2" s="263"/>
      <c r="H2" s="263"/>
    </row>
    <row r="4" spans="1:8" ht="14.25" customHeight="1">
      <c r="A4" s="315" t="s">
        <v>596</v>
      </c>
      <c r="B4" s="314" t="s">
        <v>608</v>
      </c>
      <c r="D4" s="292" t="s">
        <v>595</v>
      </c>
      <c r="E4" s="263"/>
      <c r="G4" s="292" t="s">
        <v>594</v>
      </c>
      <c r="H4" s="263"/>
    </row>
    <row r="5" spans="1:8" ht="14.25" customHeight="1">
      <c r="A5" s="234" t="s">
        <v>599</v>
      </c>
      <c r="B5" s="234">
        <v>200000</v>
      </c>
      <c r="D5" s="234" t="s">
        <v>592</v>
      </c>
      <c r="E5" s="234">
        <v>500000</v>
      </c>
      <c r="G5" s="234" t="s">
        <v>591</v>
      </c>
      <c r="H5" s="234">
        <v>90</v>
      </c>
    </row>
    <row r="6" spans="1:8" ht="14.25" customHeight="1">
      <c r="A6" s="234" t="s">
        <v>600</v>
      </c>
      <c r="B6" s="234">
        <v>150000</v>
      </c>
      <c r="D6" s="234" t="s">
        <v>590</v>
      </c>
      <c r="E6" s="234">
        <v>150000</v>
      </c>
      <c r="G6" s="234" t="s">
        <v>589</v>
      </c>
      <c r="H6" s="234">
        <v>180</v>
      </c>
    </row>
    <row r="7" spans="1:8" ht="14.25" customHeight="1">
      <c r="A7" s="234" t="s">
        <v>601</v>
      </c>
      <c r="B7" s="234">
        <v>60000</v>
      </c>
      <c r="D7" s="234" t="s">
        <v>588</v>
      </c>
      <c r="E7" s="234">
        <v>50000</v>
      </c>
      <c r="G7" s="234" t="s">
        <v>587</v>
      </c>
      <c r="H7" s="234">
        <v>15</v>
      </c>
    </row>
    <row r="8" spans="1:8" ht="14.25" customHeight="1">
      <c r="A8" s="311" t="s">
        <v>593</v>
      </c>
      <c r="B8" s="312" t="s">
        <v>602</v>
      </c>
      <c r="D8" s="234" t="s">
        <v>586</v>
      </c>
      <c r="E8" s="234">
        <v>50000</v>
      </c>
      <c r="G8" s="234" t="s">
        <v>585</v>
      </c>
      <c r="H8" s="234">
        <v>30</v>
      </c>
    </row>
    <row r="9" spans="1:8" ht="40.799999999999997" customHeight="1">
      <c r="A9" s="303" t="s">
        <v>607</v>
      </c>
      <c r="B9" s="234">
        <v>0.6</v>
      </c>
    </row>
    <row r="10" spans="1:8" ht="28.8">
      <c r="A10" s="303" t="s">
        <v>605</v>
      </c>
      <c r="B10" s="234">
        <v>1</v>
      </c>
      <c r="D10" s="292" t="s">
        <v>578</v>
      </c>
      <c r="E10" s="263"/>
      <c r="G10" s="305" t="s">
        <v>56</v>
      </c>
      <c r="H10" s="305" t="s">
        <v>584</v>
      </c>
    </row>
    <row r="11" spans="1:8" ht="43.2">
      <c r="A11" s="303" t="s">
        <v>603</v>
      </c>
      <c r="B11" s="234">
        <v>0.85</v>
      </c>
      <c r="D11" s="234" t="s">
        <v>574</v>
      </c>
      <c r="E11" s="234">
        <v>50000</v>
      </c>
      <c r="G11" s="234" t="s">
        <v>583</v>
      </c>
      <c r="H11" s="234" t="s">
        <v>582</v>
      </c>
    </row>
    <row r="12" spans="1:8" ht="28.8" customHeight="1">
      <c r="A12" s="303" t="s">
        <v>604</v>
      </c>
      <c r="B12" s="234">
        <v>1</v>
      </c>
      <c r="D12" s="234" t="s">
        <v>570</v>
      </c>
      <c r="E12" s="234">
        <v>30000</v>
      </c>
      <c r="G12" s="234" t="s">
        <v>581</v>
      </c>
      <c r="H12" s="234" t="s">
        <v>580</v>
      </c>
    </row>
    <row r="13" spans="1:8" ht="14.25" customHeight="1">
      <c r="D13" s="234" t="s">
        <v>568</v>
      </c>
      <c r="E13" s="234">
        <v>20000</v>
      </c>
      <c r="G13" s="234" t="s">
        <v>577</v>
      </c>
      <c r="H13" s="234" t="s">
        <v>576</v>
      </c>
    </row>
    <row r="14" spans="1:8" ht="14.25" customHeight="1">
      <c r="A14" s="313" t="s">
        <v>579</v>
      </c>
      <c r="B14" s="314" t="s">
        <v>606</v>
      </c>
      <c r="G14" s="234" t="s">
        <v>573</v>
      </c>
      <c r="H14" s="234" t="s">
        <v>572</v>
      </c>
    </row>
    <row r="15" spans="1:8" ht="14.25" customHeight="1">
      <c r="A15" s="234" t="s">
        <v>565</v>
      </c>
      <c r="B15" s="234">
        <v>0.05</v>
      </c>
    </row>
    <row r="16" spans="1:8" ht="14.25" customHeight="1">
      <c r="A16" s="234" t="s">
        <v>564</v>
      </c>
      <c r="B16" s="234">
        <v>0.1</v>
      </c>
      <c r="G16" s="292" t="s">
        <v>567</v>
      </c>
      <c r="H16" s="263"/>
    </row>
    <row r="17" spans="1:8" ht="14.25" customHeight="1">
      <c r="A17" s="234" t="s">
        <v>575</v>
      </c>
      <c r="B17" s="234">
        <v>0.15</v>
      </c>
      <c r="G17" s="234" t="s">
        <v>266</v>
      </c>
    </row>
    <row r="18" spans="1:8" ht="14.25" customHeight="1">
      <c r="A18" s="234" t="s">
        <v>571</v>
      </c>
      <c r="B18" s="234">
        <v>0.17</v>
      </c>
      <c r="G18" s="234" t="s">
        <v>502</v>
      </c>
    </row>
    <row r="19" spans="1:8" ht="14.25" customHeight="1">
      <c r="A19" s="234" t="s">
        <v>569</v>
      </c>
      <c r="B19" s="234">
        <v>0.17</v>
      </c>
      <c r="G19" s="234" t="s">
        <v>504</v>
      </c>
    </row>
    <row r="20" spans="1:8" ht="14.25" customHeight="1">
      <c r="A20" s="234" t="s">
        <v>566</v>
      </c>
      <c r="B20" s="234">
        <v>0.25</v>
      </c>
      <c r="G20" s="234" t="s">
        <v>503</v>
      </c>
    </row>
    <row r="21" spans="1:8" ht="14.4">
      <c r="D21" s="304" t="s">
        <v>563</v>
      </c>
      <c r="E21" s="303" t="s">
        <v>562</v>
      </c>
      <c r="G21" s="234" t="s">
        <v>113</v>
      </c>
    </row>
    <row r="23" spans="1:8" ht="14.25" customHeight="1">
      <c r="A23" s="292" t="s">
        <v>609</v>
      </c>
      <c r="B23" s="263"/>
      <c r="C23" s="263"/>
      <c r="D23" s="263"/>
      <c r="E23" s="263"/>
      <c r="F23" s="263"/>
      <c r="G23" s="263"/>
      <c r="H23" s="263"/>
    </row>
    <row r="24" spans="1:8" ht="14.25" customHeight="1">
      <c r="A24" s="302" t="s">
        <v>142</v>
      </c>
      <c r="B24" s="302" t="s">
        <v>561</v>
      </c>
      <c r="C24" s="302" t="s">
        <v>560</v>
      </c>
      <c r="D24" s="302" t="s">
        <v>559</v>
      </c>
      <c r="E24" s="302" t="s">
        <v>558</v>
      </c>
      <c r="F24" s="302" t="s">
        <v>557</v>
      </c>
      <c r="G24" s="302" t="s">
        <v>556</v>
      </c>
      <c r="H24" s="302" t="s">
        <v>555</v>
      </c>
    </row>
    <row r="25" spans="1:8" ht="14.25" customHeight="1">
      <c r="A25" s="301" t="s">
        <v>498</v>
      </c>
      <c r="B25" s="293"/>
      <c r="C25" s="301" t="s">
        <v>552</v>
      </c>
      <c r="D25" s="293" t="s">
        <v>512</v>
      </c>
      <c r="E25" s="293" t="s">
        <v>521</v>
      </c>
      <c r="F25" s="293" t="s">
        <v>277</v>
      </c>
      <c r="G25" s="293"/>
      <c r="H25" s="293" t="s">
        <v>512</v>
      </c>
    </row>
    <row r="26" spans="1:8" ht="28.5" customHeight="1">
      <c r="A26" s="301" t="s">
        <v>498</v>
      </c>
      <c r="B26" s="293"/>
      <c r="C26" s="301" t="s">
        <v>551</v>
      </c>
      <c r="D26" s="293" t="s">
        <v>512</v>
      </c>
      <c r="E26" s="293" t="s">
        <v>550</v>
      </c>
      <c r="F26" s="293" t="s">
        <v>277</v>
      </c>
      <c r="G26" s="293"/>
      <c r="H26" s="293" t="s">
        <v>512</v>
      </c>
    </row>
    <row r="27" spans="1:8" ht="28.5" customHeight="1">
      <c r="A27" s="301" t="s">
        <v>498</v>
      </c>
      <c r="B27" s="293"/>
      <c r="C27" s="301" t="s">
        <v>549</v>
      </c>
      <c r="D27" s="293" t="s">
        <v>512</v>
      </c>
      <c r="E27" s="293" t="s">
        <v>548</v>
      </c>
      <c r="F27" s="293" t="s">
        <v>277</v>
      </c>
      <c r="G27" s="293"/>
      <c r="H27" s="293" t="s">
        <v>512</v>
      </c>
    </row>
    <row r="28" spans="1:8" ht="14.25" customHeight="1">
      <c r="A28" s="301" t="s">
        <v>498</v>
      </c>
      <c r="B28" s="293"/>
      <c r="C28" s="301" t="s">
        <v>547</v>
      </c>
      <c r="D28" s="293" t="s">
        <v>512</v>
      </c>
      <c r="E28" s="293" t="s">
        <v>546</v>
      </c>
      <c r="F28" s="293" t="s">
        <v>277</v>
      </c>
      <c r="G28" s="293"/>
      <c r="H28" s="293" t="s">
        <v>512</v>
      </c>
    </row>
    <row r="29" spans="1:8" ht="14.25" customHeight="1">
      <c r="A29" s="301" t="s">
        <v>498</v>
      </c>
      <c r="B29" s="293"/>
      <c r="C29" s="301" t="s">
        <v>545</v>
      </c>
      <c r="D29" s="293" t="s">
        <v>512</v>
      </c>
      <c r="E29" s="293" t="s">
        <v>527</v>
      </c>
      <c r="F29" s="293" t="s">
        <v>277</v>
      </c>
      <c r="G29" s="293"/>
      <c r="H29" s="293" t="s">
        <v>512</v>
      </c>
    </row>
    <row r="30" spans="1:8" ht="14.25" customHeight="1">
      <c r="A30" s="301" t="s">
        <v>498</v>
      </c>
      <c r="B30" s="293"/>
      <c r="C30" s="301" t="s">
        <v>544</v>
      </c>
      <c r="D30" s="293" t="s">
        <v>512</v>
      </c>
      <c r="E30" s="293" t="s">
        <v>527</v>
      </c>
      <c r="F30" s="293" t="s">
        <v>277</v>
      </c>
      <c r="G30" s="293"/>
      <c r="H30" s="293" t="s">
        <v>512</v>
      </c>
    </row>
    <row r="31" spans="1:8" ht="14.25" customHeight="1">
      <c r="A31" s="301" t="s">
        <v>498</v>
      </c>
      <c r="B31" s="293"/>
      <c r="C31" s="301" t="s">
        <v>543</v>
      </c>
      <c r="D31" s="293" t="s">
        <v>512</v>
      </c>
      <c r="E31" s="293" t="s">
        <v>527</v>
      </c>
      <c r="F31" s="293" t="s">
        <v>277</v>
      </c>
      <c r="G31" s="293"/>
      <c r="H31" s="293" t="s">
        <v>512</v>
      </c>
    </row>
    <row r="32" spans="1:8" ht="14.25" customHeight="1">
      <c r="A32" s="301" t="s">
        <v>498</v>
      </c>
      <c r="B32" s="293"/>
      <c r="C32" s="301" t="s">
        <v>542</v>
      </c>
      <c r="D32" s="293" t="s">
        <v>512</v>
      </c>
      <c r="E32" s="293" t="s">
        <v>527</v>
      </c>
      <c r="F32" s="293" t="s">
        <v>277</v>
      </c>
      <c r="G32" s="293"/>
      <c r="H32" s="293" t="s">
        <v>512</v>
      </c>
    </row>
    <row r="33" spans="1:8" ht="14.25" customHeight="1">
      <c r="A33" s="301" t="s">
        <v>498</v>
      </c>
      <c r="B33" s="293"/>
      <c r="C33" s="301" t="s">
        <v>537</v>
      </c>
      <c r="D33" s="293" t="s">
        <v>512</v>
      </c>
      <c r="E33" s="293" t="s">
        <v>148</v>
      </c>
      <c r="F33" s="293" t="s">
        <v>277</v>
      </c>
      <c r="G33" s="293"/>
      <c r="H33" s="293" t="s">
        <v>512</v>
      </c>
    </row>
    <row r="34" spans="1:8" ht="14.25" customHeight="1">
      <c r="A34" s="300" t="s">
        <v>499</v>
      </c>
      <c r="B34" s="293"/>
      <c r="C34" s="300" t="s">
        <v>552</v>
      </c>
      <c r="D34" s="293" t="s">
        <v>512</v>
      </c>
      <c r="E34" s="293" t="s">
        <v>521</v>
      </c>
      <c r="F34" s="293" t="s">
        <v>277</v>
      </c>
      <c r="G34" s="293"/>
      <c r="H34" s="293" t="s">
        <v>512</v>
      </c>
    </row>
    <row r="35" spans="1:8" ht="28.5" customHeight="1">
      <c r="A35" s="300" t="s">
        <v>499</v>
      </c>
      <c r="B35" s="293"/>
      <c r="C35" s="300" t="s">
        <v>551</v>
      </c>
      <c r="D35" s="293" t="s">
        <v>512</v>
      </c>
      <c r="E35" s="293" t="s">
        <v>550</v>
      </c>
      <c r="F35" s="293" t="s">
        <v>277</v>
      </c>
      <c r="G35" s="293"/>
      <c r="H35" s="293" t="s">
        <v>512</v>
      </c>
    </row>
    <row r="36" spans="1:8" ht="28.5" customHeight="1">
      <c r="A36" s="300" t="s">
        <v>499</v>
      </c>
      <c r="B36" s="293"/>
      <c r="C36" s="300" t="s">
        <v>549</v>
      </c>
      <c r="D36" s="293" t="s">
        <v>512</v>
      </c>
      <c r="E36" s="293" t="s">
        <v>548</v>
      </c>
      <c r="F36" s="293" t="s">
        <v>277</v>
      </c>
      <c r="G36" s="293"/>
      <c r="H36" s="293" t="s">
        <v>512</v>
      </c>
    </row>
    <row r="37" spans="1:8" ht="14.25" customHeight="1">
      <c r="A37" s="300" t="s">
        <v>499</v>
      </c>
      <c r="B37" s="293"/>
      <c r="C37" s="300" t="s">
        <v>547</v>
      </c>
      <c r="D37" s="293" t="s">
        <v>512</v>
      </c>
      <c r="E37" s="293" t="s">
        <v>546</v>
      </c>
      <c r="F37" s="293" t="s">
        <v>277</v>
      </c>
      <c r="G37" s="293"/>
      <c r="H37" s="293" t="s">
        <v>512</v>
      </c>
    </row>
    <row r="38" spans="1:8" ht="14.25" customHeight="1">
      <c r="A38" s="300" t="s">
        <v>499</v>
      </c>
      <c r="B38" s="293"/>
      <c r="C38" s="300" t="s">
        <v>545</v>
      </c>
      <c r="D38" s="293" t="s">
        <v>512</v>
      </c>
      <c r="E38" s="293" t="s">
        <v>527</v>
      </c>
      <c r="F38" s="293" t="s">
        <v>277</v>
      </c>
      <c r="G38" s="293"/>
      <c r="H38" s="293" t="s">
        <v>512</v>
      </c>
    </row>
    <row r="39" spans="1:8" ht="14.25" customHeight="1">
      <c r="A39" s="300" t="s">
        <v>499</v>
      </c>
      <c r="B39" s="293"/>
      <c r="C39" s="300" t="s">
        <v>544</v>
      </c>
      <c r="D39" s="293" t="s">
        <v>512</v>
      </c>
      <c r="E39" s="293" t="s">
        <v>527</v>
      </c>
      <c r="F39" s="293" t="s">
        <v>277</v>
      </c>
      <c r="G39" s="293"/>
      <c r="H39" s="293" t="s">
        <v>512</v>
      </c>
    </row>
    <row r="40" spans="1:8" ht="14.25" customHeight="1">
      <c r="A40" s="300" t="s">
        <v>499</v>
      </c>
      <c r="B40" s="293"/>
      <c r="C40" s="300" t="s">
        <v>543</v>
      </c>
      <c r="D40" s="293" t="s">
        <v>512</v>
      </c>
      <c r="E40" s="293" t="s">
        <v>527</v>
      </c>
      <c r="F40" s="293" t="s">
        <v>277</v>
      </c>
      <c r="G40" s="293"/>
      <c r="H40" s="293" t="s">
        <v>512</v>
      </c>
    </row>
    <row r="41" spans="1:8" ht="14.25" customHeight="1">
      <c r="A41" s="300" t="s">
        <v>499</v>
      </c>
      <c r="B41" s="293"/>
      <c r="C41" s="300" t="s">
        <v>542</v>
      </c>
      <c r="D41" s="293" t="s">
        <v>512</v>
      </c>
      <c r="E41" s="293" t="s">
        <v>527</v>
      </c>
      <c r="F41" s="293" t="s">
        <v>277</v>
      </c>
      <c r="G41" s="293"/>
      <c r="H41" s="293" t="s">
        <v>512</v>
      </c>
    </row>
    <row r="42" spans="1:8" ht="14.25" customHeight="1">
      <c r="A42" s="300" t="s">
        <v>499</v>
      </c>
      <c r="B42" s="293"/>
      <c r="C42" s="300" t="s">
        <v>554</v>
      </c>
      <c r="D42" s="293" t="s">
        <v>512</v>
      </c>
      <c r="E42" s="293" t="s">
        <v>148</v>
      </c>
      <c r="F42" s="293" t="s">
        <v>277</v>
      </c>
      <c r="G42" s="293"/>
      <c r="H42" s="293" t="s">
        <v>512</v>
      </c>
    </row>
    <row r="43" spans="1:8" ht="14.25" customHeight="1">
      <c r="A43" s="299" t="s">
        <v>184</v>
      </c>
      <c r="B43" s="293"/>
      <c r="C43" s="299" t="s">
        <v>552</v>
      </c>
      <c r="D43" s="293" t="s">
        <v>512</v>
      </c>
      <c r="E43" s="293" t="s">
        <v>521</v>
      </c>
      <c r="F43" s="293" t="s">
        <v>277</v>
      </c>
      <c r="G43" s="293"/>
      <c r="H43" s="293" t="s">
        <v>512</v>
      </c>
    </row>
    <row r="44" spans="1:8" ht="28.5" customHeight="1">
      <c r="A44" s="299" t="s">
        <v>184</v>
      </c>
      <c r="B44" s="293"/>
      <c r="C44" s="299" t="s">
        <v>551</v>
      </c>
      <c r="D44" s="293" t="s">
        <v>512</v>
      </c>
      <c r="E44" s="293" t="s">
        <v>550</v>
      </c>
      <c r="F44" s="293" t="s">
        <v>277</v>
      </c>
      <c r="G44" s="293"/>
      <c r="H44" s="293" t="s">
        <v>512</v>
      </c>
    </row>
    <row r="45" spans="1:8" ht="28.5" customHeight="1">
      <c r="A45" s="299" t="s">
        <v>184</v>
      </c>
      <c r="B45" s="293"/>
      <c r="C45" s="299" t="s">
        <v>549</v>
      </c>
      <c r="D45" s="293" t="s">
        <v>512</v>
      </c>
      <c r="E45" s="293" t="s">
        <v>548</v>
      </c>
      <c r="F45" s="293" t="s">
        <v>277</v>
      </c>
      <c r="G45" s="293"/>
      <c r="H45" s="293" t="s">
        <v>512</v>
      </c>
    </row>
    <row r="46" spans="1:8" ht="14.25" customHeight="1">
      <c r="A46" s="299" t="s">
        <v>184</v>
      </c>
      <c r="B46" s="293"/>
      <c r="C46" s="299" t="s">
        <v>547</v>
      </c>
      <c r="D46" s="293" t="s">
        <v>512</v>
      </c>
      <c r="E46" s="293" t="s">
        <v>546</v>
      </c>
      <c r="F46" s="293" t="s">
        <v>277</v>
      </c>
      <c r="G46" s="293"/>
      <c r="H46" s="293" t="s">
        <v>512</v>
      </c>
    </row>
    <row r="47" spans="1:8" ht="14.25" customHeight="1">
      <c r="A47" s="299" t="s">
        <v>184</v>
      </c>
      <c r="B47" s="293"/>
      <c r="C47" s="299" t="s">
        <v>545</v>
      </c>
      <c r="D47" s="293" t="s">
        <v>512</v>
      </c>
      <c r="E47" s="293" t="s">
        <v>527</v>
      </c>
      <c r="F47" s="293" t="s">
        <v>277</v>
      </c>
      <c r="G47" s="293"/>
      <c r="H47" s="293" t="s">
        <v>512</v>
      </c>
    </row>
    <row r="48" spans="1:8" ht="14.25" customHeight="1">
      <c r="A48" s="299" t="s">
        <v>184</v>
      </c>
      <c r="B48" s="293"/>
      <c r="C48" s="299" t="s">
        <v>544</v>
      </c>
      <c r="D48" s="293" t="s">
        <v>512</v>
      </c>
      <c r="E48" s="293" t="s">
        <v>527</v>
      </c>
      <c r="F48" s="293" t="s">
        <v>277</v>
      </c>
      <c r="G48" s="293"/>
      <c r="H48" s="293" t="s">
        <v>512</v>
      </c>
    </row>
    <row r="49" spans="1:8" ht="14.25" customHeight="1">
      <c r="A49" s="299" t="s">
        <v>184</v>
      </c>
      <c r="B49" s="293"/>
      <c r="C49" s="299" t="s">
        <v>543</v>
      </c>
      <c r="D49" s="293" t="s">
        <v>512</v>
      </c>
      <c r="E49" s="293" t="s">
        <v>527</v>
      </c>
      <c r="F49" s="293" t="s">
        <v>277</v>
      </c>
      <c r="G49" s="293"/>
      <c r="H49" s="293" t="s">
        <v>512</v>
      </c>
    </row>
    <row r="50" spans="1:8" ht="14.25" customHeight="1">
      <c r="A50" s="299" t="s">
        <v>184</v>
      </c>
      <c r="B50" s="293"/>
      <c r="C50" s="299" t="s">
        <v>542</v>
      </c>
      <c r="D50" s="293" t="s">
        <v>512</v>
      </c>
      <c r="E50" s="293" t="s">
        <v>527</v>
      </c>
      <c r="F50" s="293" t="s">
        <v>277</v>
      </c>
      <c r="G50" s="293"/>
      <c r="H50" s="293" t="s">
        <v>512</v>
      </c>
    </row>
    <row r="51" spans="1:8" ht="14.25" customHeight="1">
      <c r="A51" s="299" t="s">
        <v>184</v>
      </c>
      <c r="B51" s="293"/>
      <c r="C51" s="299" t="s">
        <v>554</v>
      </c>
      <c r="D51" s="293" t="s">
        <v>512</v>
      </c>
      <c r="E51" s="293" t="s">
        <v>148</v>
      </c>
      <c r="F51" s="293" t="s">
        <v>277</v>
      </c>
      <c r="G51" s="293"/>
      <c r="H51" s="293" t="s">
        <v>512</v>
      </c>
    </row>
    <row r="52" spans="1:8" ht="14.25" customHeight="1">
      <c r="A52" s="298" t="s">
        <v>114</v>
      </c>
      <c r="B52" s="293"/>
      <c r="C52" s="298" t="s">
        <v>552</v>
      </c>
      <c r="D52" s="293" t="s">
        <v>512</v>
      </c>
      <c r="E52" s="293" t="s">
        <v>521</v>
      </c>
      <c r="F52" s="293" t="s">
        <v>277</v>
      </c>
      <c r="G52" s="293"/>
      <c r="H52" s="293" t="s">
        <v>512</v>
      </c>
    </row>
    <row r="53" spans="1:8" ht="28.5" customHeight="1">
      <c r="A53" s="298" t="s">
        <v>114</v>
      </c>
      <c r="B53" s="293"/>
      <c r="C53" s="298" t="s">
        <v>551</v>
      </c>
      <c r="D53" s="293" t="s">
        <v>512</v>
      </c>
      <c r="E53" s="293" t="s">
        <v>550</v>
      </c>
      <c r="F53" s="293" t="s">
        <v>277</v>
      </c>
      <c r="G53" s="293"/>
      <c r="H53" s="293" t="s">
        <v>512</v>
      </c>
    </row>
    <row r="54" spans="1:8" ht="28.5" customHeight="1">
      <c r="A54" s="298" t="s">
        <v>114</v>
      </c>
      <c r="B54" s="293"/>
      <c r="C54" s="298" t="s">
        <v>549</v>
      </c>
      <c r="D54" s="293" t="s">
        <v>512</v>
      </c>
      <c r="E54" s="293" t="s">
        <v>548</v>
      </c>
      <c r="F54" s="293" t="s">
        <v>277</v>
      </c>
      <c r="G54" s="293"/>
      <c r="H54" s="293" t="s">
        <v>512</v>
      </c>
    </row>
    <row r="55" spans="1:8" ht="14.25" customHeight="1">
      <c r="A55" s="298" t="s">
        <v>114</v>
      </c>
      <c r="B55" s="293"/>
      <c r="C55" s="298" t="s">
        <v>547</v>
      </c>
      <c r="D55" s="293" t="s">
        <v>512</v>
      </c>
      <c r="E55" s="293" t="s">
        <v>546</v>
      </c>
      <c r="F55" s="293" t="s">
        <v>277</v>
      </c>
      <c r="G55" s="293"/>
      <c r="H55" s="293" t="s">
        <v>512</v>
      </c>
    </row>
    <row r="56" spans="1:8" ht="14.25" customHeight="1">
      <c r="A56" s="298" t="s">
        <v>114</v>
      </c>
      <c r="B56" s="293"/>
      <c r="C56" s="298" t="s">
        <v>545</v>
      </c>
      <c r="D56" s="293" t="s">
        <v>512</v>
      </c>
      <c r="E56" s="293" t="s">
        <v>527</v>
      </c>
      <c r="F56" s="293" t="s">
        <v>277</v>
      </c>
      <c r="G56" s="293"/>
      <c r="H56" s="293" t="s">
        <v>512</v>
      </c>
    </row>
    <row r="57" spans="1:8" ht="14.25" customHeight="1">
      <c r="A57" s="298" t="s">
        <v>114</v>
      </c>
      <c r="B57" s="293"/>
      <c r="C57" s="298" t="s">
        <v>544</v>
      </c>
      <c r="D57" s="293" t="s">
        <v>512</v>
      </c>
      <c r="E57" s="293" t="s">
        <v>527</v>
      </c>
      <c r="F57" s="293" t="s">
        <v>277</v>
      </c>
      <c r="G57" s="293"/>
      <c r="H57" s="293" t="s">
        <v>512</v>
      </c>
    </row>
    <row r="58" spans="1:8" ht="14.25" customHeight="1">
      <c r="A58" s="298" t="s">
        <v>114</v>
      </c>
      <c r="B58" s="293"/>
      <c r="C58" s="298" t="s">
        <v>543</v>
      </c>
      <c r="D58" s="293" t="s">
        <v>512</v>
      </c>
      <c r="E58" s="293" t="s">
        <v>527</v>
      </c>
      <c r="F58" s="293" t="s">
        <v>277</v>
      </c>
      <c r="G58" s="293"/>
      <c r="H58" s="293" t="s">
        <v>512</v>
      </c>
    </row>
    <row r="59" spans="1:8" ht="14.25" customHeight="1">
      <c r="A59" s="298" t="s">
        <v>114</v>
      </c>
      <c r="B59" s="293"/>
      <c r="C59" s="298" t="s">
        <v>542</v>
      </c>
      <c r="D59" s="293" t="s">
        <v>512</v>
      </c>
      <c r="E59" s="293" t="s">
        <v>527</v>
      </c>
      <c r="F59" s="293" t="s">
        <v>277</v>
      </c>
      <c r="G59" s="293"/>
      <c r="H59" s="293" t="s">
        <v>512</v>
      </c>
    </row>
    <row r="60" spans="1:8" ht="14.25" customHeight="1">
      <c r="A60" s="298" t="s">
        <v>114</v>
      </c>
      <c r="B60" s="293"/>
      <c r="C60" s="298" t="s">
        <v>553</v>
      </c>
      <c r="D60" s="293" t="s">
        <v>512</v>
      </c>
      <c r="E60" s="293" t="s">
        <v>523</v>
      </c>
      <c r="F60" s="293" t="s">
        <v>277</v>
      </c>
      <c r="G60" s="293"/>
      <c r="H60" s="293" t="s">
        <v>512</v>
      </c>
    </row>
    <row r="61" spans="1:8" ht="28.5" customHeight="1">
      <c r="A61" s="297" t="s">
        <v>115</v>
      </c>
      <c r="B61" s="293"/>
      <c r="C61" s="297" t="s">
        <v>552</v>
      </c>
      <c r="D61" s="293" t="s">
        <v>512</v>
      </c>
      <c r="E61" s="293" t="s">
        <v>521</v>
      </c>
      <c r="F61" s="293" t="s">
        <v>277</v>
      </c>
      <c r="G61" s="293"/>
      <c r="H61" s="293" t="s">
        <v>512</v>
      </c>
    </row>
    <row r="62" spans="1:8" ht="28.5" customHeight="1">
      <c r="A62" s="297" t="s">
        <v>115</v>
      </c>
      <c r="B62" s="293"/>
      <c r="C62" s="297" t="s">
        <v>551</v>
      </c>
      <c r="D62" s="293" t="s">
        <v>512</v>
      </c>
      <c r="E62" s="293" t="s">
        <v>550</v>
      </c>
      <c r="F62" s="293" t="s">
        <v>277</v>
      </c>
      <c r="G62" s="293"/>
      <c r="H62" s="293" t="s">
        <v>512</v>
      </c>
    </row>
    <row r="63" spans="1:8" ht="28.5" customHeight="1">
      <c r="A63" s="297" t="s">
        <v>115</v>
      </c>
      <c r="B63" s="293"/>
      <c r="C63" s="297" t="s">
        <v>549</v>
      </c>
      <c r="D63" s="293" t="s">
        <v>512</v>
      </c>
      <c r="E63" s="293" t="s">
        <v>548</v>
      </c>
      <c r="F63" s="293" t="s">
        <v>277</v>
      </c>
      <c r="G63" s="293"/>
      <c r="H63" s="293" t="s">
        <v>512</v>
      </c>
    </row>
    <row r="64" spans="1:8" ht="28.5" customHeight="1">
      <c r="A64" s="297" t="s">
        <v>115</v>
      </c>
      <c r="B64" s="293"/>
      <c r="C64" s="297" t="s">
        <v>547</v>
      </c>
      <c r="D64" s="293" t="s">
        <v>512</v>
      </c>
      <c r="E64" s="293" t="s">
        <v>546</v>
      </c>
      <c r="F64" s="293" t="s">
        <v>277</v>
      </c>
      <c r="G64" s="293"/>
      <c r="H64" s="293" t="s">
        <v>512</v>
      </c>
    </row>
    <row r="65" spans="1:8" ht="28.5" customHeight="1">
      <c r="A65" s="297" t="s">
        <v>115</v>
      </c>
      <c r="B65" s="293"/>
      <c r="C65" s="297" t="s">
        <v>545</v>
      </c>
      <c r="D65" s="293" t="s">
        <v>512</v>
      </c>
      <c r="E65" s="293" t="s">
        <v>527</v>
      </c>
      <c r="F65" s="293" t="s">
        <v>277</v>
      </c>
      <c r="G65" s="293"/>
      <c r="H65" s="293" t="s">
        <v>512</v>
      </c>
    </row>
    <row r="66" spans="1:8" ht="28.5" customHeight="1">
      <c r="A66" s="297" t="s">
        <v>115</v>
      </c>
      <c r="B66" s="293"/>
      <c r="C66" s="297" t="s">
        <v>544</v>
      </c>
      <c r="D66" s="293" t="s">
        <v>512</v>
      </c>
      <c r="E66" s="293" t="s">
        <v>527</v>
      </c>
      <c r="F66" s="293" t="s">
        <v>277</v>
      </c>
      <c r="G66" s="293"/>
      <c r="H66" s="293" t="s">
        <v>512</v>
      </c>
    </row>
    <row r="67" spans="1:8" ht="28.5" customHeight="1">
      <c r="A67" s="297" t="s">
        <v>115</v>
      </c>
      <c r="B67" s="293"/>
      <c r="C67" s="297" t="s">
        <v>543</v>
      </c>
      <c r="D67" s="293" t="s">
        <v>512</v>
      </c>
      <c r="E67" s="293" t="s">
        <v>527</v>
      </c>
      <c r="F67" s="293" t="s">
        <v>277</v>
      </c>
      <c r="G67" s="293"/>
      <c r="H67" s="293" t="s">
        <v>512</v>
      </c>
    </row>
    <row r="68" spans="1:8" ht="28.5" customHeight="1">
      <c r="A68" s="297" t="s">
        <v>115</v>
      </c>
      <c r="B68" s="293"/>
      <c r="C68" s="297" t="s">
        <v>542</v>
      </c>
      <c r="D68" s="293" t="s">
        <v>512</v>
      </c>
      <c r="E68" s="293" t="s">
        <v>527</v>
      </c>
      <c r="F68" s="293" t="s">
        <v>277</v>
      </c>
      <c r="G68" s="293"/>
      <c r="H68" s="293" t="s">
        <v>512</v>
      </c>
    </row>
    <row r="69" spans="1:8" ht="28.5" customHeight="1">
      <c r="A69" s="293" t="s">
        <v>536</v>
      </c>
      <c r="B69" s="293" t="s">
        <v>541</v>
      </c>
      <c r="C69" s="293" t="s">
        <v>522</v>
      </c>
      <c r="D69" s="293" t="s">
        <v>512</v>
      </c>
      <c r="E69" s="293" t="s">
        <v>521</v>
      </c>
      <c r="F69" s="293" t="s">
        <v>277</v>
      </c>
      <c r="G69" s="293"/>
      <c r="H69" s="293" t="s">
        <v>512</v>
      </c>
    </row>
    <row r="70" spans="1:8" ht="28.5" customHeight="1">
      <c r="A70" s="293" t="s">
        <v>536</v>
      </c>
      <c r="B70" s="293" t="s">
        <v>541</v>
      </c>
      <c r="C70" s="293" t="s">
        <v>537</v>
      </c>
      <c r="D70" s="293" t="s">
        <v>512</v>
      </c>
      <c r="E70" s="293" t="s">
        <v>148</v>
      </c>
      <c r="F70" s="293" t="s">
        <v>277</v>
      </c>
      <c r="G70" s="293"/>
      <c r="H70" s="293" t="s">
        <v>512</v>
      </c>
    </row>
    <row r="71" spans="1:8" ht="28.5" customHeight="1">
      <c r="A71" s="293" t="s">
        <v>536</v>
      </c>
      <c r="B71" s="293" t="s">
        <v>541</v>
      </c>
      <c r="C71" s="293" t="s">
        <v>528</v>
      </c>
      <c r="D71" s="293" t="s">
        <v>512</v>
      </c>
      <c r="E71" s="293" t="s">
        <v>527</v>
      </c>
      <c r="F71" s="293" t="s">
        <v>277</v>
      </c>
      <c r="G71" s="293"/>
      <c r="H71" s="293" t="s">
        <v>512</v>
      </c>
    </row>
    <row r="72" spans="1:8" ht="28.5" customHeight="1">
      <c r="A72" s="293" t="s">
        <v>536</v>
      </c>
      <c r="B72" s="293" t="s">
        <v>540</v>
      </c>
      <c r="C72" s="293" t="s">
        <v>522</v>
      </c>
      <c r="D72" s="293" t="s">
        <v>512</v>
      </c>
      <c r="E72" s="293" t="s">
        <v>521</v>
      </c>
      <c r="F72" s="293" t="s">
        <v>277</v>
      </c>
      <c r="G72" s="293"/>
      <c r="H72" s="293" t="s">
        <v>512</v>
      </c>
    </row>
    <row r="73" spans="1:8" ht="28.5" customHeight="1">
      <c r="A73" s="293" t="s">
        <v>536</v>
      </c>
      <c r="B73" s="293" t="s">
        <v>540</v>
      </c>
      <c r="C73" s="293" t="s">
        <v>537</v>
      </c>
      <c r="D73" s="293" t="s">
        <v>512</v>
      </c>
      <c r="E73" s="293" t="s">
        <v>148</v>
      </c>
      <c r="F73" s="293" t="s">
        <v>277</v>
      </c>
      <c r="G73" s="293"/>
      <c r="H73" s="293" t="s">
        <v>512</v>
      </c>
    </row>
    <row r="74" spans="1:8" ht="28.5" customHeight="1">
      <c r="A74" s="293" t="s">
        <v>536</v>
      </c>
      <c r="B74" s="293" t="s">
        <v>540</v>
      </c>
      <c r="C74" s="293" t="s">
        <v>528</v>
      </c>
      <c r="D74" s="293" t="s">
        <v>512</v>
      </c>
      <c r="E74" s="293" t="s">
        <v>527</v>
      </c>
      <c r="F74" s="293" t="s">
        <v>277</v>
      </c>
      <c r="G74" s="293"/>
      <c r="H74" s="293" t="s">
        <v>512</v>
      </c>
    </row>
    <row r="75" spans="1:8" ht="14.25" customHeight="1">
      <c r="A75" s="296" t="s">
        <v>536</v>
      </c>
      <c r="B75" s="293" t="s">
        <v>539</v>
      </c>
      <c r="C75" s="296" t="s">
        <v>522</v>
      </c>
      <c r="D75" s="293" t="s">
        <v>512</v>
      </c>
      <c r="E75" s="293" t="s">
        <v>521</v>
      </c>
      <c r="F75" s="293" t="s">
        <v>277</v>
      </c>
      <c r="G75" s="293"/>
      <c r="H75" s="293" t="s">
        <v>512</v>
      </c>
    </row>
    <row r="76" spans="1:8" ht="14.25" customHeight="1">
      <c r="A76" s="296" t="s">
        <v>536</v>
      </c>
      <c r="B76" s="293" t="s">
        <v>539</v>
      </c>
      <c r="C76" s="296" t="s">
        <v>537</v>
      </c>
      <c r="D76" s="293" t="s">
        <v>512</v>
      </c>
      <c r="E76" s="293" t="s">
        <v>148</v>
      </c>
      <c r="F76" s="293" t="s">
        <v>277</v>
      </c>
      <c r="G76" s="293"/>
      <c r="H76" s="293" t="s">
        <v>512</v>
      </c>
    </row>
    <row r="77" spans="1:8" ht="14.25" customHeight="1">
      <c r="A77" s="296" t="s">
        <v>536</v>
      </c>
      <c r="B77" s="293" t="s">
        <v>539</v>
      </c>
      <c r="C77" s="296" t="s">
        <v>528</v>
      </c>
      <c r="D77" s="293" t="s">
        <v>512</v>
      </c>
      <c r="E77" s="293" t="s">
        <v>527</v>
      </c>
      <c r="F77" s="293" t="s">
        <v>277</v>
      </c>
      <c r="G77" s="293"/>
      <c r="H77" s="293" t="s">
        <v>512</v>
      </c>
    </row>
    <row r="78" spans="1:8" ht="14.25" customHeight="1">
      <c r="A78" s="295" t="s">
        <v>536</v>
      </c>
      <c r="B78" s="293" t="s">
        <v>538</v>
      </c>
      <c r="C78" s="293" t="s">
        <v>522</v>
      </c>
      <c r="D78" s="293" t="s">
        <v>512</v>
      </c>
      <c r="E78" s="293" t="s">
        <v>521</v>
      </c>
      <c r="F78" s="293" t="s">
        <v>277</v>
      </c>
      <c r="G78" s="293"/>
      <c r="H78" s="293" t="s">
        <v>512</v>
      </c>
    </row>
    <row r="79" spans="1:8" ht="14.25" customHeight="1">
      <c r="A79" s="295" t="s">
        <v>536</v>
      </c>
      <c r="B79" s="293" t="s">
        <v>538</v>
      </c>
      <c r="C79" s="293" t="s">
        <v>537</v>
      </c>
      <c r="D79" s="293" t="s">
        <v>512</v>
      </c>
      <c r="E79" s="293" t="s">
        <v>148</v>
      </c>
      <c r="F79" s="293" t="s">
        <v>277</v>
      </c>
      <c r="G79" s="293"/>
      <c r="H79" s="293" t="s">
        <v>512</v>
      </c>
    </row>
    <row r="80" spans="1:8" ht="14.25" customHeight="1">
      <c r="A80" s="295" t="s">
        <v>536</v>
      </c>
      <c r="B80" s="293" t="s">
        <v>538</v>
      </c>
      <c r="C80" s="293" t="s">
        <v>528</v>
      </c>
      <c r="D80" s="293" t="s">
        <v>512</v>
      </c>
      <c r="E80" s="293" t="s">
        <v>527</v>
      </c>
      <c r="F80" s="293" t="s">
        <v>277</v>
      </c>
      <c r="G80" s="293"/>
      <c r="H80" s="293" t="s">
        <v>512</v>
      </c>
    </row>
    <row r="81" spans="1:8" ht="14.25" customHeight="1">
      <c r="A81" s="295" t="s">
        <v>536</v>
      </c>
      <c r="B81" s="293" t="s">
        <v>535</v>
      </c>
      <c r="C81" s="293" t="s">
        <v>522</v>
      </c>
      <c r="D81" s="293" t="s">
        <v>512</v>
      </c>
      <c r="E81" s="293" t="s">
        <v>521</v>
      </c>
      <c r="F81" s="293" t="s">
        <v>277</v>
      </c>
      <c r="G81" s="293"/>
      <c r="H81" s="293" t="s">
        <v>512</v>
      </c>
    </row>
    <row r="82" spans="1:8" ht="14.25" customHeight="1">
      <c r="A82" s="295" t="s">
        <v>536</v>
      </c>
      <c r="B82" s="293" t="s">
        <v>535</v>
      </c>
      <c r="C82" s="293" t="s">
        <v>537</v>
      </c>
      <c r="D82" s="293" t="s">
        <v>512</v>
      </c>
      <c r="E82" s="293" t="s">
        <v>148</v>
      </c>
      <c r="F82" s="293" t="s">
        <v>277</v>
      </c>
      <c r="G82" s="293"/>
      <c r="H82" s="293" t="s">
        <v>512</v>
      </c>
    </row>
    <row r="83" spans="1:8" ht="14.25" customHeight="1">
      <c r="A83" s="295" t="s">
        <v>536</v>
      </c>
      <c r="B83" s="293" t="s">
        <v>535</v>
      </c>
      <c r="C83" s="293" t="s">
        <v>528</v>
      </c>
      <c r="D83" s="293" t="s">
        <v>512</v>
      </c>
      <c r="E83" s="293" t="s">
        <v>527</v>
      </c>
      <c r="F83" s="293" t="s">
        <v>277</v>
      </c>
      <c r="G83" s="293"/>
      <c r="H83" s="293" t="s">
        <v>512</v>
      </c>
    </row>
    <row r="84" spans="1:8" ht="14.25" customHeight="1">
      <c r="A84" s="308" t="s">
        <v>204</v>
      </c>
      <c r="B84" s="308"/>
      <c r="C84" s="308" t="s">
        <v>534</v>
      </c>
      <c r="D84" s="293" t="s">
        <v>512</v>
      </c>
      <c r="E84" s="293" t="s">
        <v>523</v>
      </c>
      <c r="F84" s="293" t="s">
        <v>277</v>
      </c>
      <c r="G84" s="293"/>
      <c r="H84" s="293" t="s">
        <v>512</v>
      </c>
    </row>
    <row r="85" spans="1:8" ht="14.25" customHeight="1">
      <c r="A85" s="308" t="s">
        <v>204</v>
      </c>
      <c r="B85" s="308"/>
      <c r="C85" s="308" t="s">
        <v>524</v>
      </c>
      <c r="D85" s="293" t="s">
        <v>512</v>
      </c>
      <c r="E85" s="293" t="s">
        <v>523</v>
      </c>
      <c r="F85" s="293" t="s">
        <v>277</v>
      </c>
      <c r="G85" s="293"/>
      <c r="H85" s="293" t="s">
        <v>512</v>
      </c>
    </row>
    <row r="86" spans="1:8" ht="14.25" customHeight="1">
      <c r="A86" s="308" t="s">
        <v>204</v>
      </c>
      <c r="B86" s="308"/>
      <c r="C86" s="308" t="s">
        <v>528</v>
      </c>
      <c r="D86" s="293" t="s">
        <v>512</v>
      </c>
      <c r="E86" s="293" t="s">
        <v>527</v>
      </c>
      <c r="F86" s="293" t="s">
        <v>277</v>
      </c>
      <c r="G86" s="293"/>
      <c r="H86" s="293" t="s">
        <v>512</v>
      </c>
    </row>
    <row r="87" spans="1:8" ht="14.25" customHeight="1">
      <c r="A87" s="294" t="s">
        <v>520</v>
      </c>
      <c r="B87" s="294" t="s">
        <v>533</v>
      </c>
      <c r="C87" s="294" t="s">
        <v>532</v>
      </c>
      <c r="D87" s="293" t="s">
        <v>512</v>
      </c>
      <c r="E87" s="293" t="s">
        <v>523</v>
      </c>
      <c r="F87" s="293" t="s">
        <v>277</v>
      </c>
      <c r="G87" s="293"/>
      <c r="H87" s="293" t="s">
        <v>512</v>
      </c>
    </row>
    <row r="88" spans="1:8" ht="14.25" customHeight="1">
      <c r="A88" s="294" t="s">
        <v>520</v>
      </c>
      <c r="B88" s="294" t="s">
        <v>531</v>
      </c>
      <c r="C88" s="294" t="s">
        <v>530</v>
      </c>
      <c r="D88" s="293" t="s">
        <v>512</v>
      </c>
      <c r="E88" s="293" t="s">
        <v>523</v>
      </c>
      <c r="F88" s="293" t="s">
        <v>277</v>
      </c>
      <c r="G88" s="293"/>
      <c r="H88" s="293" t="s">
        <v>512</v>
      </c>
    </row>
    <row r="89" spans="1:8" ht="14.25" customHeight="1">
      <c r="A89" s="310" t="s">
        <v>520</v>
      </c>
      <c r="B89" s="310" t="s">
        <v>529</v>
      </c>
      <c r="C89" s="310" t="s">
        <v>537</v>
      </c>
      <c r="D89" s="293" t="s">
        <v>512</v>
      </c>
      <c r="E89" s="293" t="s">
        <v>521</v>
      </c>
      <c r="F89" s="293" t="s">
        <v>277</v>
      </c>
      <c r="G89" s="293"/>
      <c r="H89" s="293" t="s">
        <v>512</v>
      </c>
    </row>
    <row r="90" spans="1:8" ht="14.25" customHeight="1">
      <c r="A90" s="310" t="s">
        <v>520</v>
      </c>
      <c r="B90" s="310" t="s">
        <v>529</v>
      </c>
      <c r="C90" s="310" t="s">
        <v>528</v>
      </c>
      <c r="D90" s="293" t="s">
        <v>512</v>
      </c>
      <c r="E90" s="293" t="s">
        <v>527</v>
      </c>
      <c r="F90" s="293" t="s">
        <v>277</v>
      </c>
      <c r="G90" s="293"/>
      <c r="H90" s="293" t="s">
        <v>512</v>
      </c>
    </row>
    <row r="91" spans="1:8" ht="14.25" customHeight="1">
      <c r="A91" s="309" t="s">
        <v>520</v>
      </c>
      <c r="B91" s="309" t="s">
        <v>525</v>
      </c>
      <c r="C91" s="309" t="s">
        <v>526</v>
      </c>
      <c r="D91" s="293" t="s">
        <v>512</v>
      </c>
      <c r="E91" s="293" t="s">
        <v>521</v>
      </c>
      <c r="F91" s="293" t="s">
        <v>277</v>
      </c>
      <c r="G91" s="293"/>
      <c r="H91" s="293" t="s">
        <v>512</v>
      </c>
    </row>
    <row r="92" spans="1:8" ht="14.25" customHeight="1">
      <c r="A92" s="309" t="s">
        <v>520</v>
      </c>
      <c r="B92" s="309" t="s">
        <v>525</v>
      </c>
      <c r="C92" s="309" t="s">
        <v>524</v>
      </c>
      <c r="D92" s="293" t="s">
        <v>512</v>
      </c>
      <c r="E92" s="293" t="s">
        <v>523</v>
      </c>
      <c r="F92" s="293" t="s">
        <v>277</v>
      </c>
      <c r="G92" s="293"/>
      <c r="H92" s="293" t="s">
        <v>512</v>
      </c>
    </row>
    <row r="93" spans="1:8" ht="14.25" customHeight="1">
      <c r="A93" s="294" t="s">
        <v>520</v>
      </c>
      <c r="B93" s="294" t="s">
        <v>519</v>
      </c>
      <c r="C93" s="294" t="s">
        <v>522</v>
      </c>
      <c r="D93" s="293" t="s">
        <v>512</v>
      </c>
      <c r="E93" s="293" t="s">
        <v>521</v>
      </c>
      <c r="F93" s="293" t="s">
        <v>277</v>
      </c>
      <c r="G93" s="293"/>
      <c r="H93" s="293" t="s">
        <v>512</v>
      </c>
    </row>
    <row r="94" spans="1:8" ht="14.25" customHeight="1">
      <c r="A94" s="294" t="s">
        <v>520</v>
      </c>
      <c r="B94" s="294" t="s">
        <v>519</v>
      </c>
      <c r="C94" s="294" t="s">
        <v>518</v>
      </c>
      <c r="D94" s="293" t="s">
        <v>512</v>
      </c>
      <c r="E94" s="293" t="s">
        <v>517</v>
      </c>
      <c r="F94" s="293" t="s">
        <v>277</v>
      </c>
      <c r="G94" s="293"/>
      <c r="H94" s="293" t="s">
        <v>512</v>
      </c>
    </row>
    <row r="95" spans="1:8" ht="14.25" customHeight="1">
      <c r="A95" s="293" t="s">
        <v>113</v>
      </c>
      <c r="B95" s="293"/>
      <c r="C95" s="293" t="s">
        <v>516</v>
      </c>
      <c r="D95" s="293" t="s">
        <v>512</v>
      </c>
      <c r="E95" s="293" t="s">
        <v>515</v>
      </c>
      <c r="F95" s="293" t="s">
        <v>514</v>
      </c>
      <c r="G95" s="293" t="s">
        <v>513</v>
      </c>
      <c r="H95" s="293" t="s">
        <v>512</v>
      </c>
    </row>
    <row r="98" spans="1:8" ht="14.25" customHeight="1">
      <c r="A98" s="292" t="s">
        <v>511</v>
      </c>
      <c r="B98" s="263"/>
      <c r="C98" s="263"/>
      <c r="D98" s="263"/>
      <c r="E98" s="263"/>
      <c r="F98" s="263"/>
      <c r="G98" s="263"/>
      <c r="H98" s="263"/>
    </row>
    <row r="99" spans="1:8" ht="14.25" customHeight="1">
      <c r="A99" s="263" t="s">
        <v>510</v>
      </c>
      <c r="B99" s="263"/>
      <c r="C99" s="263"/>
      <c r="D99" s="263"/>
      <c r="E99" s="263"/>
      <c r="F99" s="263"/>
      <c r="G99" s="263"/>
      <c r="H99" s="263"/>
    </row>
    <row r="100" spans="1:8" ht="14.25" customHeight="1">
      <c r="A100" s="263" t="s">
        <v>509</v>
      </c>
      <c r="B100" s="263"/>
      <c r="C100" s="263"/>
      <c r="D100" s="263"/>
      <c r="E100" s="263"/>
      <c r="F100" s="263"/>
      <c r="G100" s="263"/>
      <c r="H100" s="263"/>
    </row>
    <row r="101" spans="1:8" ht="14.25" customHeight="1">
      <c r="A101" s="263" t="s">
        <v>508</v>
      </c>
      <c r="B101" s="263"/>
      <c r="C101" s="263"/>
      <c r="D101" s="263"/>
      <c r="E101" s="263"/>
      <c r="F101" s="263"/>
      <c r="G101" s="263"/>
      <c r="H101" s="263"/>
    </row>
    <row r="102" spans="1:8" ht="14.25" customHeight="1">
      <c r="A102" s="234" t="s">
        <v>507</v>
      </c>
    </row>
    <row r="103" spans="1:8" ht="14.25" customHeight="1">
      <c r="A103" s="234" t="s">
        <v>506</v>
      </c>
    </row>
  </sheetData>
  <mergeCells count="11">
    <mergeCell ref="A100:H100"/>
    <mergeCell ref="A101:H101"/>
    <mergeCell ref="A2:H2"/>
    <mergeCell ref="A99:H99"/>
    <mergeCell ref="A98:H98"/>
    <mergeCell ref="D4:E4"/>
    <mergeCell ref="A1:H1"/>
    <mergeCell ref="A23:H23"/>
    <mergeCell ref="G16:H16"/>
    <mergeCell ref="D10:E10"/>
    <mergeCell ref="G4:H4"/>
  </mergeCell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E60A9-55BA-4C5F-AC24-D31D7DB619A3}">
  <dimension ref="B1:H23"/>
  <sheetViews>
    <sheetView showGridLines="0" topLeftCell="A5" workbookViewId="0">
      <selection activeCell="B6" sqref="B6:C8"/>
    </sheetView>
  </sheetViews>
  <sheetFormatPr baseColWidth="10" defaultColWidth="8" defaultRowHeight="14.4"/>
  <cols>
    <col min="1" max="1" width="8" style="216"/>
    <col min="2" max="8" width="17.09765625" style="216" customWidth="1"/>
    <col min="9" max="16384" width="8" style="216"/>
  </cols>
  <sheetData>
    <row r="1" spans="2:8" ht="24" customHeight="1"/>
    <row r="2" spans="2:8" ht="30" customHeight="1">
      <c r="B2" s="264" t="s">
        <v>303</v>
      </c>
      <c r="C2" s="263"/>
      <c r="D2" s="263"/>
      <c r="E2" s="263"/>
      <c r="F2" s="263"/>
      <c r="G2" s="263"/>
      <c r="H2" s="263"/>
    </row>
    <row r="3" spans="2:8" ht="30" customHeight="1">
      <c r="B3" s="263"/>
      <c r="C3" s="263"/>
      <c r="D3" s="263"/>
      <c r="E3" s="263"/>
      <c r="F3" s="263"/>
      <c r="G3" s="263"/>
      <c r="H3" s="263"/>
    </row>
    <row r="4" spans="2:8" ht="24" customHeight="1">
      <c r="B4" s="265" t="s">
        <v>304</v>
      </c>
      <c r="C4" s="263"/>
      <c r="D4" s="263"/>
      <c r="E4" s="263"/>
      <c r="F4" s="263"/>
      <c r="G4" s="263"/>
      <c r="H4" s="263"/>
    </row>
    <row r="5" spans="2:8" ht="24" customHeight="1"/>
    <row r="6" spans="2:8" ht="24" customHeight="1">
      <c r="B6" s="262" t="s">
        <v>305</v>
      </c>
      <c r="C6" s="263"/>
      <c r="E6" s="262" t="s">
        <v>306</v>
      </c>
      <c r="F6" s="263"/>
      <c r="G6" s="262" t="s">
        <v>307</v>
      </c>
      <c r="H6" s="263"/>
    </row>
    <row r="7" spans="2:8" ht="24" customHeight="1">
      <c r="B7" s="263"/>
      <c r="C7" s="263"/>
      <c r="E7" s="263"/>
      <c r="F7" s="263"/>
      <c r="G7" s="263"/>
      <c r="H7" s="263"/>
    </row>
    <row r="8" spans="2:8" ht="24" customHeight="1">
      <c r="B8" s="263"/>
      <c r="C8" s="263"/>
      <c r="E8" s="263"/>
      <c r="F8" s="263"/>
      <c r="G8" s="263"/>
      <c r="H8" s="263"/>
    </row>
    <row r="9" spans="2:8" ht="24" customHeight="1"/>
    <row r="10" spans="2:8" ht="24" customHeight="1">
      <c r="B10" s="262" t="s">
        <v>308</v>
      </c>
      <c r="C10" s="263"/>
      <c r="E10" s="262" t="s">
        <v>309</v>
      </c>
      <c r="F10" s="263"/>
      <c r="G10" s="262" t="s">
        <v>310</v>
      </c>
      <c r="H10" s="263"/>
    </row>
    <row r="11" spans="2:8" ht="24" customHeight="1">
      <c r="B11" s="263"/>
      <c r="C11" s="263"/>
      <c r="E11" s="263"/>
      <c r="F11" s="263"/>
      <c r="G11" s="263"/>
      <c r="H11" s="263"/>
    </row>
    <row r="12" spans="2:8" ht="24" customHeight="1">
      <c r="B12" s="263"/>
      <c r="C12" s="263"/>
      <c r="E12" s="263"/>
      <c r="F12" s="263"/>
      <c r="G12" s="263"/>
      <c r="H12" s="263"/>
    </row>
    <row r="13" spans="2:8" ht="24" customHeight="1"/>
    <row r="14" spans="2:8" ht="24" customHeight="1">
      <c r="B14" s="262" t="s">
        <v>311</v>
      </c>
      <c r="C14" s="263"/>
      <c r="E14" s="262" t="s">
        <v>312</v>
      </c>
      <c r="F14" s="263"/>
      <c r="G14" s="262" t="s">
        <v>313</v>
      </c>
      <c r="H14" s="263"/>
    </row>
    <row r="15" spans="2:8" ht="24" customHeight="1">
      <c r="B15" s="263"/>
      <c r="C15" s="263"/>
      <c r="E15" s="263"/>
      <c r="F15" s="263"/>
      <c r="G15" s="263"/>
      <c r="H15" s="263"/>
    </row>
    <row r="16" spans="2:8" ht="24" customHeight="1">
      <c r="B16" s="263"/>
      <c r="C16" s="263"/>
      <c r="E16" s="263"/>
      <c r="F16" s="263"/>
      <c r="G16" s="263"/>
      <c r="H16" s="263"/>
    </row>
    <row r="17" spans="2:8" ht="24" customHeight="1"/>
    <row r="18" spans="2:8" ht="24" customHeight="1">
      <c r="B18" s="262" t="s">
        <v>314</v>
      </c>
      <c r="C18" s="263"/>
      <c r="E18" s="262" t="s">
        <v>315</v>
      </c>
      <c r="F18" s="263"/>
      <c r="G18" s="262" t="s">
        <v>316</v>
      </c>
      <c r="H18" s="263"/>
    </row>
    <row r="19" spans="2:8" ht="24" customHeight="1">
      <c r="B19" s="263"/>
      <c r="C19" s="263"/>
      <c r="E19" s="263"/>
      <c r="F19" s="263"/>
      <c r="G19" s="263"/>
      <c r="H19" s="263"/>
    </row>
    <row r="20" spans="2:8" ht="24" customHeight="1">
      <c r="B20" s="263"/>
      <c r="C20" s="263"/>
      <c r="E20" s="263"/>
      <c r="F20" s="263"/>
      <c r="G20" s="263"/>
      <c r="H20" s="263"/>
    </row>
    <row r="21" spans="2:8" ht="24" customHeight="1"/>
    <row r="22" spans="2:8" ht="24" customHeight="1">
      <c r="B22" s="266" t="s">
        <v>317</v>
      </c>
      <c r="C22" s="263"/>
      <c r="D22" s="263"/>
      <c r="E22" s="263"/>
      <c r="F22" s="263"/>
      <c r="G22" s="263"/>
      <c r="H22" s="263"/>
    </row>
    <row r="23" spans="2:8" ht="24" customHeight="1">
      <c r="B23" s="263"/>
      <c r="C23" s="263"/>
      <c r="D23" s="263"/>
      <c r="E23" s="263"/>
      <c r="F23" s="263"/>
      <c r="G23" s="263"/>
      <c r="H23" s="263"/>
    </row>
  </sheetData>
  <mergeCells count="15">
    <mergeCell ref="B22:H23"/>
    <mergeCell ref="B14:C16"/>
    <mergeCell ref="E14:F16"/>
    <mergeCell ref="G14:H16"/>
    <mergeCell ref="B18:C20"/>
    <mergeCell ref="E18:F20"/>
    <mergeCell ref="G18:H20"/>
    <mergeCell ref="B10:C12"/>
    <mergeCell ref="E10:F12"/>
    <mergeCell ref="G10:H12"/>
    <mergeCell ref="B2:H3"/>
    <mergeCell ref="B4:H4"/>
    <mergeCell ref="B6:C8"/>
    <mergeCell ref="E6:F8"/>
    <mergeCell ref="G6:H8"/>
  </mergeCells>
  <hyperlinks>
    <hyperlink ref="B6" location="'FORMULAIRE_BUDGET_SAGE'!A1" display="📋 BUDGET" xr:uid="{589E9E61-E582-4C43-84F1-1289DB29F85B}"/>
    <hyperlink ref="E6" location="'BUDGET_ACCORDE_MODIFIE'!A1" display="💰 BUDGET ACCORDÉ" xr:uid="{8B53D508-8DF0-4961-9F49-7085FA80A00D}"/>
    <hyperlink ref="G6" location="'SUIVI FONDS ACTIVITÉS'!A1" display="💵 FONDS / ACTIVITÉS" xr:uid="{A891099A-1E46-4B13-B953-77ADDC77777E}"/>
    <hyperlink ref="B10" location="'FORMULAIRE_DEPENSE_PJ_SAGE'!A1" display="🧾 DÉPENSES / PJ" xr:uid="{5498B32A-6762-4291-BA6E-731E7E21F9E3}"/>
    <hyperlink ref="E10" location="'VERIFICATION_PJ'!A1" display="✓ CONTRÔLE PJ" xr:uid="{2F144104-DB9E-4C94-B040-709896970AF9}"/>
    <hyperlink ref="G10" location="'RAPPORT FINANCIER'!A1" display="📑 RAPPORT FINANCIER" xr:uid="{899CEDD4-CEFA-4BBE-8D07-8595F2FEA040}"/>
    <hyperlink ref="B14" location="'JOURNAL DE BANQUE'!A1" display="🏦 JOURNAL DE BANQUE" xr:uid="{10AA49BE-ED2F-4FAB-A6B7-79343CDD3036}"/>
    <hyperlink ref="E14" location="'RAPPROCHEMENT BANCAIRE'!A1" display="🔄 RAPPROCHEMENT" xr:uid="{7038D562-7B8A-4C80-A3B4-12B26F8CE3CA}"/>
    <hyperlink ref="G14" location="'DASHBOARD'!A1" display="📊 TABLEAU DE BORD" xr:uid="{658A8245-2FE7-4FED-BC52-95E72B1547C3}"/>
    <hyperlink ref="B18" location="'PARAMETRES'!A1" display="⚙ PARAMÈTRES" xr:uid="{6183F1D0-C00F-42EE-8441-35F3B533AF0A}"/>
    <hyperlink ref="E18" location="'DISTANCES_DISTRICTS'!A1" display="📍 DISTANCES" xr:uid="{5FB5FF7F-24D8-47ED-8244-6CABBFDBFA73}"/>
    <hyperlink ref="G18" location="'LISTES'!A1" display="🗂 LISTES" xr:uid="{4553EDC2-4E7D-4B58-82F8-A51B82BA44AC}"/>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6EE5E-083E-4545-992D-B5CD0DC948FA}">
  <dimension ref="A1:H74"/>
  <sheetViews>
    <sheetView showGridLines="0" topLeftCell="A40" workbookViewId="0">
      <selection activeCell="G48" sqref="G48"/>
    </sheetView>
  </sheetViews>
  <sheetFormatPr baseColWidth="10" defaultColWidth="8.796875" defaultRowHeight="13.8"/>
  <cols>
    <col min="1" max="1" width="6" style="11" customWidth="1"/>
    <col min="2" max="2" width="34" style="11" customWidth="1"/>
    <col min="3" max="3" width="20" style="11" customWidth="1"/>
    <col min="4" max="4" width="13" style="11" customWidth="1"/>
    <col min="5" max="5" width="16" style="11" customWidth="1"/>
    <col min="6" max="7" width="20" style="11" customWidth="1"/>
    <col min="8" max="8" width="42" style="11" customWidth="1"/>
    <col min="9" max="16384" width="8.796875" style="11"/>
  </cols>
  <sheetData>
    <row r="1" spans="1:8">
      <c r="A1" s="267" t="s">
        <v>213</v>
      </c>
      <c r="B1" s="268"/>
      <c r="C1" s="268"/>
      <c r="D1" s="268"/>
      <c r="E1" s="268"/>
      <c r="F1" s="268"/>
      <c r="G1" s="268"/>
      <c r="H1" s="268"/>
    </row>
    <row r="2" spans="1:8">
      <c r="A2" s="12"/>
      <c r="B2" s="12"/>
      <c r="C2" s="12"/>
      <c r="D2" s="12"/>
      <c r="E2" s="12"/>
      <c r="F2" s="12"/>
      <c r="G2" s="12"/>
      <c r="H2" s="12"/>
    </row>
    <row r="3" spans="1:8">
      <c r="B3" s="17" t="s">
        <v>188</v>
      </c>
      <c r="C3" s="18" t="s">
        <v>200</v>
      </c>
      <c r="D3" s="12"/>
      <c r="E3" s="12"/>
      <c r="F3" s="12"/>
      <c r="G3" s="12"/>
      <c r="H3" s="12"/>
    </row>
    <row r="4" spans="1:8">
      <c r="B4" s="17" t="s">
        <v>1</v>
      </c>
      <c r="C4" s="18"/>
      <c r="D4" s="12"/>
      <c r="E4" s="12"/>
      <c r="F4" s="12"/>
      <c r="G4" s="12"/>
      <c r="H4" s="12"/>
    </row>
    <row r="5" spans="1:8">
      <c r="B5" s="17" t="s">
        <v>128</v>
      </c>
      <c r="C5" s="18"/>
      <c r="D5" s="12"/>
      <c r="E5" s="12"/>
      <c r="F5" s="12"/>
      <c r="G5" s="12"/>
      <c r="H5" s="12"/>
    </row>
    <row r="6" spans="1:8">
      <c r="B6" s="17" t="s">
        <v>214</v>
      </c>
      <c r="C6" s="19"/>
      <c r="D6" s="12"/>
      <c r="E6" s="12"/>
      <c r="F6" s="12"/>
      <c r="G6" s="12"/>
      <c r="H6" s="12"/>
    </row>
    <row r="7" spans="1:8">
      <c r="B7" s="17" t="s">
        <v>215</v>
      </c>
      <c r="C7" s="19"/>
      <c r="D7" s="12"/>
      <c r="E7" s="12"/>
      <c r="F7" s="12"/>
      <c r="G7" s="12"/>
      <c r="H7" s="12"/>
    </row>
    <row r="8" spans="1:8">
      <c r="B8" s="17" t="s">
        <v>216</v>
      </c>
      <c r="C8" s="18"/>
      <c r="D8" s="12"/>
      <c r="E8" s="12"/>
      <c r="F8" s="12"/>
      <c r="G8" s="12"/>
      <c r="H8" s="12"/>
    </row>
    <row r="9" spans="1:8">
      <c r="B9" s="17" t="s">
        <v>217</v>
      </c>
      <c r="C9" s="18"/>
      <c r="D9" s="12"/>
      <c r="E9" s="12"/>
      <c r="F9" s="12"/>
      <c r="G9" s="12"/>
      <c r="H9" s="12"/>
    </row>
    <row r="10" spans="1:8">
      <c r="B10" s="17" t="s">
        <v>218</v>
      </c>
      <c r="C10" s="18"/>
      <c r="D10" s="12"/>
      <c r="E10" s="12"/>
      <c r="F10" s="12"/>
      <c r="G10" s="12"/>
      <c r="H10" s="12"/>
    </row>
    <row r="11" spans="1:8">
      <c r="B11" s="17" t="s">
        <v>219</v>
      </c>
      <c r="C11" s="18"/>
      <c r="D11" s="12"/>
      <c r="E11" s="12"/>
      <c r="F11" s="12"/>
      <c r="G11" s="12"/>
      <c r="H11" s="12"/>
    </row>
    <row r="12" spans="1:8">
      <c r="B12" s="17" t="s">
        <v>220</v>
      </c>
      <c r="C12" s="18"/>
      <c r="D12" s="12"/>
      <c r="E12" s="12"/>
      <c r="F12" s="12"/>
      <c r="G12" s="12"/>
      <c r="H12" s="12"/>
    </row>
    <row r="13" spans="1:8">
      <c r="B13" s="17" t="s">
        <v>221</v>
      </c>
      <c r="C13" s="18"/>
      <c r="D13" s="12"/>
      <c r="E13" s="12"/>
      <c r="F13" s="12"/>
      <c r="G13" s="12"/>
      <c r="H13" s="12"/>
    </row>
    <row r="14" spans="1:8">
      <c r="B14" s="17" t="s">
        <v>222</v>
      </c>
      <c r="C14" s="18"/>
      <c r="D14" s="12"/>
      <c r="E14" s="12"/>
      <c r="F14" s="12"/>
      <c r="G14" s="12"/>
      <c r="H14" s="12"/>
    </row>
    <row r="15" spans="1:8">
      <c r="B15" s="17"/>
      <c r="C15" s="18"/>
      <c r="D15" s="12"/>
      <c r="E15" s="12"/>
      <c r="F15" s="12"/>
      <c r="G15" s="12"/>
      <c r="H15" s="12"/>
    </row>
    <row r="16" spans="1:8">
      <c r="A16" s="12"/>
      <c r="B16" s="12"/>
      <c r="C16" s="12"/>
      <c r="D16" s="12"/>
      <c r="E16" s="12"/>
      <c r="F16" s="12"/>
      <c r="G16" s="12"/>
      <c r="H16" s="12"/>
    </row>
    <row r="17" spans="1:8">
      <c r="A17" s="12"/>
      <c r="B17" s="12"/>
      <c r="C17" s="12"/>
      <c r="D17" s="12"/>
      <c r="E17" s="12"/>
      <c r="F17" s="12"/>
      <c r="G17" s="12"/>
      <c r="H17" s="12"/>
    </row>
    <row r="18" spans="1:8" ht="31.95" customHeight="1">
      <c r="A18" s="10"/>
      <c r="B18" s="10" t="s">
        <v>142</v>
      </c>
      <c r="C18" s="10" t="s">
        <v>480</v>
      </c>
      <c r="D18" s="10" t="s">
        <v>474</v>
      </c>
      <c r="E18" s="10" t="s">
        <v>471</v>
      </c>
      <c r="F18" s="10" t="s">
        <v>470</v>
      </c>
      <c r="G18" s="10" t="s">
        <v>224</v>
      </c>
      <c r="H18" s="10"/>
    </row>
    <row r="19" spans="1:8">
      <c r="A19" s="10">
        <v>1</v>
      </c>
      <c r="B19" s="10" t="s">
        <v>192</v>
      </c>
      <c r="C19" s="18"/>
      <c r="D19" s="18"/>
      <c r="G19" s="20"/>
      <c r="H19" s="18"/>
    </row>
    <row r="20" spans="1:8">
      <c r="A20" s="18" t="s">
        <v>463</v>
      </c>
      <c r="B20" s="254" t="s">
        <v>147</v>
      </c>
      <c r="C20" s="11" t="s">
        <v>41</v>
      </c>
      <c r="D20" s="18">
        <v>21</v>
      </c>
      <c r="E20" s="18">
        <f>+DISTANCES_DISTRICTS!J4</f>
        <v>2</v>
      </c>
      <c r="F20" s="237">
        <f>+REFERENTIEL_TARIFS!F2</f>
        <v>200000</v>
      </c>
      <c r="G20" s="20">
        <f>+D20*E20*F20</f>
        <v>8400000</v>
      </c>
      <c r="H20" s="238" t="s">
        <v>477</v>
      </c>
    </row>
    <row r="21" spans="1:8">
      <c r="A21" s="18" t="s">
        <v>464</v>
      </c>
      <c r="B21" t="s">
        <v>145</v>
      </c>
      <c r="C21" s="11" t="s">
        <v>41</v>
      </c>
      <c r="D21" s="18"/>
      <c r="E21" s="18"/>
      <c r="F21" s="20"/>
      <c r="G21" s="20"/>
      <c r="H21" s="18"/>
    </row>
    <row r="22" spans="1:8">
      <c r="A22" s="18" t="s">
        <v>464</v>
      </c>
      <c r="B22" t="s">
        <v>481</v>
      </c>
      <c r="C22" s="11" t="s">
        <v>41</v>
      </c>
      <c r="D22" s="18"/>
      <c r="E22" s="18"/>
      <c r="F22" s="20"/>
      <c r="G22" s="20"/>
      <c r="H22" s="18"/>
    </row>
    <row r="23" spans="1:8">
      <c r="A23" s="18"/>
      <c r="B23" s="245" t="s">
        <v>144</v>
      </c>
      <c r="C23" s="11" t="s">
        <v>41</v>
      </c>
      <c r="D23" s="18">
        <v>1</v>
      </c>
      <c r="E23" s="18">
        <f>+E20+E27</f>
        <v>4</v>
      </c>
      <c r="F23" s="237">
        <f>+F20</f>
        <v>200000</v>
      </c>
      <c r="G23" s="20"/>
      <c r="H23" s="18" t="s">
        <v>482</v>
      </c>
    </row>
    <row r="24" spans="1:8" ht="27.6">
      <c r="A24" s="18"/>
      <c r="B24" s="245"/>
      <c r="D24" s="18"/>
      <c r="E24" s="18"/>
      <c r="F24" s="237" t="s">
        <v>494</v>
      </c>
      <c r="G24" s="237">
        <f>+SUM(G20:G23)</f>
        <v>8400000</v>
      </c>
      <c r="H24" s="18"/>
    </row>
    <row r="25" spans="1:8">
      <c r="A25" s="18" t="s">
        <v>468</v>
      </c>
      <c r="B25" s="254" t="s">
        <v>469</v>
      </c>
      <c r="C25" s="11" t="s">
        <v>41</v>
      </c>
      <c r="D25" s="18"/>
      <c r="E25" s="18"/>
      <c r="F25" s="20"/>
      <c r="G25" s="20"/>
      <c r="H25" s="18"/>
    </row>
    <row r="26" spans="1:8">
      <c r="A26" s="18"/>
      <c r="B26" t="s">
        <v>145</v>
      </c>
      <c r="C26" s="11" t="s">
        <v>41</v>
      </c>
      <c r="D26" s="18">
        <v>21</v>
      </c>
      <c r="E26" s="18">
        <f>+E19</f>
        <v>0</v>
      </c>
      <c r="F26" s="237">
        <f>+F20-(F20*15%)</f>
        <v>170000</v>
      </c>
      <c r="G26" s="20">
        <f>+D26*E26*F26</f>
        <v>0</v>
      </c>
      <c r="H26" s="18" t="s">
        <v>475</v>
      </c>
    </row>
    <row r="27" spans="1:8" ht="27.6">
      <c r="A27" s="18"/>
      <c r="B27" t="s">
        <v>481</v>
      </c>
      <c r="C27" s="11" t="s">
        <v>41</v>
      </c>
      <c r="D27" s="18">
        <v>21</v>
      </c>
      <c r="E27" s="18">
        <f>+E20</f>
        <v>2</v>
      </c>
      <c r="F27" s="237">
        <f>+F20</f>
        <v>200000</v>
      </c>
      <c r="G27" s="20">
        <f>+D27*E27*F27</f>
        <v>8400000</v>
      </c>
      <c r="H27" s="18" t="s">
        <v>476</v>
      </c>
    </row>
    <row r="28" spans="1:8" ht="27.6">
      <c r="A28" s="18"/>
      <c r="B28"/>
      <c r="D28" s="235"/>
      <c r="E28" s="235"/>
      <c r="F28" s="237" t="s">
        <v>495</v>
      </c>
      <c r="G28" s="237">
        <f>SUM(G26:G27)</f>
        <v>8400000</v>
      </c>
      <c r="H28" s="18"/>
    </row>
    <row r="29" spans="1:8">
      <c r="A29" s="18"/>
      <c r="B29" s="270" t="s">
        <v>493</v>
      </c>
      <c r="C29" s="271"/>
      <c r="D29" s="255"/>
      <c r="E29" s="255"/>
      <c r="F29" s="255"/>
      <c r="G29" s="256">
        <f>+G28+G24</f>
        <v>16800000</v>
      </c>
      <c r="H29" s="18"/>
    </row>
    <row r="30" spans="1:8" ht="27.6">
      <c r="A30" s="10">
        <v>2</v>
      </c>
      <c r="B30" s="10" t="s">
        <v>198</v>
      </c>
      <c r="C30" s="10" t="s">
        <v>480</v>
      </c>
      <c r="D30" s="10" t="s">
        <v>474</v>
      </c>
      <c r="E30" s="10" t="s">
        <v>471</v>
      </c>
      <c r="F30" s="10" t="s">
        <v>479</v>
      </c>
      <c r="G30" s="10" t="s">
        <v>224</v>
      </c>
      <c r="H30" s="18"/>
    </row>
    <row r="31" spans="1:8">
      <c r="A31" s="18" t="s">
        <v>463</v>
      </c>
      <c r="B31" s="239" t="s">
        <v>478</v>
      </c>
      <c r="C31" s="10"/>
      <c r="D31" s="10"/>
      <c r="E31" s="10"/>
      <c r="F31" s="10"/>
      <c r="G31" s="10"/>
      <c r="H31" s="18"/>
    </row>
    <row r="32" spans="1:8">
      <c r="A32" s="18"/>
      <c r="B32" s="244"/>
      <c r="C32" s="241"/>
      <c r="D32" s="240"/>
      <c r="E32" s="240"/>
      <c r="F32" s="243">
        <f>+REFERENTIEL_TARIFS!F6</f>
        <v>50000</v>
      </c>
      <c r="G32" s="240"/>
      <c r="H32" s="242" t="s">
        <v>477</v>
      </c>
    </row>
    <row r="33" spans="1:8">
      <c r="A33" s="18"/>
      <c r="B33" s="244"/>
      <c r="C33" s="240"/>
      <c r="D33" s="240"/>
      <c r="E33" s="240"/>
      <c r="F33" s="243">
        <f>+REFERENTIEL_TARIFS!F7</f>
        <v>30000</v>
      </c>
      <c r="G33" s="240"/>
      <c r="H33" s="242" t="s">
        <v>477</v>
      </c>
    </row>
    <row r="34" spans="1:8">
      <c r="A34" s="18"/>
      <c r="B34" s="244"/>
      <c r="C34" s="240"/>
      <c r="D34" s="240"/>
      <c r="E34" s="240"/>
      <c r="F34" s="243">
        <f>+REFERENTIEL_TARIFS!F8</f>
        <v>20000</v>
      </c>
      <c r="G34" s="240"/>
      <c r="H34" s="242" t="s">
        <v>477</v>
      </c>
    </row>
    <row r="35" spans="1:8">
      <c r="A35" s="18"/>
      <c r="B35" s="244"/>
      <c r="C35" s="240"/>
      <c r="D35" s="240"/>
      <c r="E35" s="240"/>
      <c r="F35" s="237" t="s">
        <v>489</v>
      </c>
      <c r="G35" s="237">
        <f>SUM(G32:G34)</f>
        <v>0</v>
      </c>
      <c r="H35" s="242"/>
    </row>
    <row r="36" spans="1:8" ht="27.6">
      <c r="A36" s="18" t="s">
        <v>468</v>
      </c>
      <c r="B36" s="239" t="s">
        <v>204</v>
      </c>
      <c r="C36" s="10" t="s">
        <v>466</v>
      </c>
      <c r="D36" s="10" t="s">
        <v>465</v>
      </c>
      <c r="E36" s="10" t="s">
        <v>467</v>
      </c>
      <c r="F36" s="10" t="s">
        <v>487</v>
      </c>
      <c r="G36" s="10" t="s">
        <v>224</v>
      </c>
      <c r="H36" s="18"/>
    </row>
    <row r="37" spans="1:8" ht="27.6">
      <c r="A37" s="18"/>
      <c r="B37" s="18" t="s">
        <v>483</v>
      </c>
      <c r="C37" s="18">
        <f>+DISTANCES_DISTRICTS!G8</f>
        <v>20</v>
      </c>
      <c r="D37" s="18">
        <v>0.15</v>
      </c>
      <c r="E37" s="246" t="s">
        <v>225</v>
      </c>
      <c r="F37" s="20">
        <v>4860</v>
      </c>
      <c r="G37" s="20">
        <f>+C37*D37*E37*F37</f>
        <v>14580</v>
      </c>
      <c r="H37" s="18"/>
    </row>
    <row r="38" spans="1:8">
      <c r="A38" s="18"/>
      <c r="B38" s="18"/>
      <c r="C38" s="18"/>
      <c r="D38" s="18"/>
      <c r="E38" s="246"/>
      <c r="F38" s="237" t="s">
        <v>489</v>
      </c>
      <c r="G38" s="237">
        <f>+G37</f>
        <v>14580</v>
      </c>
      <c r="H38" s="18"/>
    </row>
    <row r="39" spans="1:8" ht="27.6">
      <c r="A39" s="18" t="s">
        <v>490</v>
      </c>
      <c r="B39" s="239" t="s">
        <v>206</v>
      </c>
      <c r="C39" s="10" t="s">
        <v>480</v>
      </c>
      <c r="D39" s="10" t="s">
        <v>484</v>
      </c>
      <c r="E39" s="10" t="s">
        <v>471</v>
      </c>
      <c r="F39" s="10" t="s">
        <v>487</v>
      </c>
      <c r="G39" s="10" t="s">
        <v>224</v>
      </c>
      <c r="H39" s="18"/>
    </row>
    <row r="40" spans="1:8">
      <c r="A40" s="18"/>
      <c r="B40" s="18" t="s">
        <v>155</v>
      </c>
      <c r="C40" s="18"/>
      <c r="D40" s="18">
        <v>2</v>
      </c>
      <c r="E40" s="18">
        <v>3</v>
      </c>
      <c r="F40" s="20">
        <v>350000</v>
      </c>
      <c r="G40" s="20">
        <f>+C40*D40*E40*F40</f>
        <v>0</v>
      </c>
      <c r="H40" s="18"/>
    </row>
    <row r="41" spans="1:8">
      <c r="A41" s="18"/>
      <c r="B41" s="252"/>
      <c r="C41" s="18"/>
      <c r="D41" s="18"/>
      <c r="E41" s="18"/>
      <c r="F41" s="237" t="s">
        <v>489</v>
      </c>
      <c r="G41" s="237">
        <f>+G40</f>
        <v>0</v>
      </c>
      <c r="H41" s="18"/>
    </row>
    <row r="42" spans="1:8" ht="13.8" customHeight="1">
      <c r="A42" s="18"/>
      <c r="B42" s="270" t="s">
        <v>491</v>
      </c>
      <c r="C42" s="271"/>
      <c r="D42" s="257"/>
      <c r="E42" s="257"/>
      <c r="F42" s="258"/>
      <c r="G42" s="259">
        <f>+G41+G38+G35</f>
        <v>14580</v>
      </c>
      <c r="H42" s="18"/>
    </row>
    <row r="43" spans="1:8">
      <c r="A43" s="18">
        <v>3</v>
      </c>
      <c r="B43" s="249" t="s">
        <v>111</v>
      </c>
      <c r="C43" s="10" t="s">
        <v>230</v>
      </c>
      <c r="D43" s="10" t="s">
        <v>486</v>
      </c>
      <c r="E43" s="10" t="s">
        <v>471</v>
      </c>
      <c r="F43" s="10" t="s">
        <v>487</v>
      </c>
      <c r="G43" s="10" t="s">
        <v>224</v>
      </c>
      <c r="H43" s="18"/>
    </row>
    <row r="44" spans="1:8">
      <c r="A44" s="247"/>
      <c r="B44" s="251" t="s">
        <v>485</v>
      </c>
      <c r="C44" s="248">
        <v>1</v>
      </c>
      <c r="D44" s="240"/>
      <c r="E44" s="240"/>
      <c r="F44" s="240"/>
      <c r="G44" s="20">
        <f t="shared" ref="G44:G47" si="0">+C44*D44*E44*F44</f>
        <v>0</v>
      </c>
      <c r="H44" s="18"/>
    </row>
    <row r="45" spans="1:8">
      <c r="A45" s="247"/>
      <c r="B45" s="251" t="s">
        <v>163</v>
      </c>
      <c r="C45" s="248">
        <v>2</v>
      </c>
      <c r="D45" s="240"/>
      <c r="E45" s="240"/>
      <c r="F45" s="240"/>
      <c r="G45" s="20">
        <f t="shared" si="0"/>
        <v>0</v>
      </c>
      <c r="H45" s="18"/>
    </row>
    <row r="46" spans="1:8">
      <c r="A46" s="247"/>
      <c r="B46" s="251" t="s">
        <v>164</v>
      </c>
      <c r="C46" s="248">
        <v>1</v>
      </c>
      <c r="D46" s="240"/>
      <c r="E46" s="240"/>
      <c r="F46" s="240"/>
      <c r="G46" s="20">
        <f t="shared" si="0"/>
        <v>0</v>
      </c>
      <c r="H46" s="18"/>
    </row>
    <row r="47" spans="1:8">
      <c r="A47" s="247"/>
      <c r="B47" s="251" t="s">
        <v>165</v>
      </c>
      <c r="C47" s="248">
        <v>1</v>
      </c>
      <c r="D47" s="18"/>
      <c r="E47" s="240"/>
      <c r="F47" s="18"/>
      <c r="G47" s="20">
        <f t="shared" si="0"/>
        <v>0</v>
      </c>
      <c r="H47" s="18"/>
    </row>
    <row r="48" spans="1:8">
      <c r="A48" s="247"/>
      <c r="B48" s="270" t="s">
        <v>492</v>
      </c>
      <c r="C48" s="271"/>
      <c r="D48" s="18"/>
      <c r="E48" s="240"/>
      <c r="F48" s="20"/>
      <c r="G48" s="253">
        <f>SUM(G44:G47)</f>
        <v>0</v>
      </c>
      <c r="H48" s="18"/>
    </row>
    <row r="49" spans="1:8">
      <c r="A49" s="18">
        <v>4</v>
      </c>
      <c r="B49" s="249" t="s">
        <v>112</v>
      </c>
      <c r="C49" s="10"/>
      <c r="D49" s="10"/>
      <c r="E49" s="10" t="s">
        <v>486</v>
      </c>
      <c r="F49" s="10" t="s">
        <v>487</v>
      </c>
      <c r="G49" s="10" t="s">
        <v>224</v>
      </c>
      <c r="H49" s="18"/>
    </row>
    <row r="50" spans="1:8">
      <c r="A50" s="247"/>
      <c r="B50" s="251" t="s">
        <v>166</v>
      </c>
      <c r="C50" s="248"/>
      <c r="D50" s="18"/>
      <c r="E50" s="18"/>
      <c r="F50" s="20"/>
      <c r="G50" s="20"/>
      <c r="H50" s="18"/>
    </row>
    <row r="51" spans="1:8">
      <c r="A51" s="247"/>
      <c r="B51" s="251" t="s">
        <v>167</v>
      </c>
      <c r="C51" s="248"/>
      <c r="D51" s="18"/>
      <c r="E51" s="18"/>
      <c r="F51" s="20"/>
      <c r="G51" s="20"/>
      <c r="H51" s="18"/>
    </row>
    <row r="52" spans="1:8">
      <c r="A52" s="247"/>
      <c r="B52" s="251" t="s">
        <v>168</v>
      </c>
      <c r="C52" s="248"/>
      <c r="D52" s="18"/>
      <c r="E52" s="18"/>
      <c r="F52" s="20"/>
      <c r="G52" s="20"/>
      <c r="H52" s="18"/>
    </row>
    <row r="53" spans="1:8">
      <c r="A53" s="247"/>
      <c r="B53" s="251" t="s">
        <v>169</v>
      </c>
      <c r="C53" s="248"/>
      <c r="D53" s="18"/>
      <c r="E53" s="18"/>
      <c r="F53" s="20"/>
      <c r="G53" s="20"/>
      <c r="H53" s="18"/>
    </row>
    <row r="54" spans="1:8">
      <c r="A54" s="247"/>
      <c r="B54" s="251" t="s">
        <v>170</v>
      </c>
      <c r="C54" s="248"/>
      <c r="D54" s="18"/>
      <c r="E54" s="18"/>
      <c r="F54" s="20"/>
      <c r="G54" s="20"/>
      <c r="H54" s="18"/>
    </row>
    <row r="55" spans="1:8">
      <c r="A55" s="247"/>
      <c r="B55" s="251" t="s">
        <v>171</v>
      </c>
      <c r="C55" s="248"/>
      <c r="D55" s="18"/>
      <c r="E55" s="18"/>
      <c r="F55" s="20"/>
      <c r="G55" s="20"/>
      <c r="H55" s="18"/>
    </row>
    <row r="56" spans="1:8">
      <c r="A56" s="247"/>
      <c r="B56" s="251" t="s">
        <v>172</v>
      </c>
      <c r="C56" s="248"/>
      <c r="D56" s="18"/>
      <c r="E56" s="18"/>
      <c r="F56" s="20"/>
      <c r="G56" s="20"/>
      <c r="H56" s="18"/>
    </row>
    <row r="57" spans="1:8">
      <c r="A57" s="247"/>
      <c r="B57" s="261" t="s">
        <v>500</v>
      </c>
      <c r="C57" s="260"/>
      <c r="D57" s="18"/>
      <c r="E57" s="18"/>
      <c r="F57" s="20"/>
      <c r="G57" s="253">
        <f>SUM(G50:G56)</f>
        <v>0</v>
      </c>
      <c r="H57" s="18"/>
    </row>
    <row r="58" spans="1:8" ht="27.6">
      <c r="A58" s="18">
        <v>5</v>
      </c>
      <c r="B58" s="249" t="s">
        <v>115</v>
      </c>
      <c r="C58" s="10"/>
      <c r="D58" s="10"/>
      <c r="E58" s="10" t="s">
        <v>486</v>
      </c>
      <c r="F58" s="10" t="s">
        <v>487</v>
      </c>
      <c r="G58" s="10" t="s">
        <v>224</v>
      </c>
      <c r="H58" s="18"/>
    </row>
    <row r="59" spans="1:8">
      <c r="A59" s="18"/>
      <c r="B59" t="s">
        <v>178</v>
      </c>
      <c r="C59" s="250"/>
      <c r="D59" s="250"/>
      <c r="E59" s="250"/>
      <c r="F59" s="250"/>
      <c r="G59" s="250"/>
      <c r="H59" s="18"/>
    </row>
    <row r="60" spans="1:8">
      <c r="A60" s="18">
        <v>6</v>
      </c>
      <c r="B60" s="249" t="s">
        <v>114</v>
      </c>
      <c r="C60" s="10"/>
      <c r="D60" s="10"/>
      <c r="E60" s="10" t="s">
        <v>486</v>
      </c>
      <c r="F60" s="10" t="s">
        <v>487</v>
      </c>
      <c r="G60" s="10" t="s">
        <v>224</v>
      </c>
      <c r="H60" s="18"/>
    </row>
    <row r="61" spans="1:8">
      <c r="A61" s="18"/>
      <c r="B61" t="s">
        <v>182</v>
      </c>
      <c r="C61" s="250"/>
      <c r="D61" s="250"/>
      <c r="E61" s="250"/>
      <c r="F61" s="250"/>
      <c r="G61" s="250"/>
      <c r="H61" s="18"/>
    </row>
    <row r="62" spans="1:8">
      <c r="A62" s="18">
        <v>7</v>
      </c>
      <c r="B62" s="249" t="s">
        <v>113</v>
      </c>
      <c r="C62" s="10"/>
      <c r="D62" s="10"/>
      <c r="E62" s="10" t="s">
        <v>486</v>
      </c>
      <c r="F62" s="10" t="s">
        <v>487</v>
      </c>
      <c r="G62" s="10" t="s">
        <v>224</v>
      </c>
      <c r="H62" s="18"/>
    </row>
    <row r="63" spans="1:8">
      <c r="A63" s="18"/>
      <c r="B63" s="18"/>
      <c r="C63" s="250"/>
      <c r="D63" s="250"/>
      <c r="E63" s="250"/>
      <c r="F63" s="250"/>
      <c r="G63" s="250"/>
      <c r="H63" s="18"/>
    </row>
    <row r="64" spans="1:8">
      <c r="A64" s="18"/>
      <c r="B64" s="18"/>
      <c r="C64" s="18"/>
      <c r="D64" s="18"/>
      <c r="E64" s="18"/>
      <c r="F64" s="21" t="s">
        <v>226</v>
      </c>
      <c r="G64" s="22">
        <f>SUM(G19:G62)</f>
        <v>50443740</v>
      </c>
      <c r="H64" s="18"/>
    </row>
    <row r="65" spans="1:8">
      <c r="A65" s="12"/>
      <c r="B65" s="12"/>
      <c r="C65" s="12"/>
      <c r="D65" s="12"/>
      <c r="E65" s="12"/>
      <c r="F65" s="12"/>
      <c r="G65" s="12"/>
      <c r="H65" s="12"/>
    </row>
    <row r="66" spans="1:8">
      <c r="A66" s="12"/>
      <c r="B66" s="12"/>
      <c r="C66" s="12"/>
      <c r="D66" s="12"/>
      <c r="E66" s="12"/>
      <c r="F66" s="12"/>
      <c r="G66" s="12"/>
      <c r="H66" s="12"/>
    </row>
    <row r="67" spans="1:8">
      <c r="A67" s="269" t="s">
        <v>227</v>
      </c>
      <c r="B67" s="268"/>
      <c r="C67" s="268"/>
      <c r="D67" s="268"/>
      <c r="E67" s="268"/>
      <c r="F67" s="268"/>
      <c r="G67" s="268"/>
      <c r="H67" s="268"/>
    </row>
    <row r="68" spans="1:8">
      <c r="A68" s="268"/>
      <c r="B68" s="268"/>
      <c r="C68" s="268"/>
      <c r="D68" s="268"/>
      <c r="E68" s="268"/>
      <c r="F68" s="268"/>
      <c r="G68" s="268"/>
      <c r="H68" s="268"/>
    </row>
    <row r="70" spans="1:8">
      <c r="B70" s="11" t="s">
        <v>488</v>
      </c>
    </row>
    <row r="71" spans="1:8">
      <c r="B71" s="11" t="s">
        <v>496</v>
      </c>
    </row>
    <row r="72" spans="1:8">
      <c r="B72" s="11" t="s">
        <v>497</v>
      </c>
    </row>
    <row r="73" spans="1:8">
      <c r="B73" s="11" t="s">
        <v>498</v>
      </c>
    </row>
    <row r="74" spans="1:8">
      <c r="B74" s="11" t="s">
        <v>499</v>
      </c>
    </row>
  </sheetData>
  <mergeCells count="5">
    <mergeCell ref="A1:H1"/>
    <mergeCell ref="A67:H68"/>
    <mergeCell ref="B42:C42"/>
    <mergeCell ref="B48:C48"/>
    <mergeCell ref="B29:C29"/>
  </mergeCells>
  <dataValidations count="3">
    <dataValidation type="list" allowBlank="1" sqref="C14:C15" xr:uid="{081C4EAA-BE61-41EF-9D22-F3C144D9E684}">
      <formula1>"Oui,Non"</formula1>
    </dataValidation>
    <dataValidation type="list" allowBlank="1" sqref="C12" xr:uid="{91A31F97-45CB-4E15-BE21-3CC24E8D1DD0}">
      <formula1>"Région,District,Tana"</formula1>
    </dataValidation>
    <dataValidation type="list" allowBlank="1" sqref="C3" xr:uid="{2A365CAD-20B4-4503-B5AE-4F5F07CD32AB}">
      <formula1>"ATELIER,SUPERVISION,FORMATION,RÉUNION,MISSION,AUTRE"</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990D7-B3C4-436C-81BB-9EA5E4DB59C6}">
  <dimension ref="A1:M116"/>
  <sheetViews>
    <sheetView showGridLines="0" zoomScaleNormal="100" workbookViewId="0">
      <pane ySplit="1" topLeftCell="A2" activePane="bottomLeft" state="frozen"/>
      <selection pane="bottomLeft" activeCell="G2" sqref="G2"/>
    </sheetView>
  </sheetViews>
  <sheetFormatPr baseColWidth="10" defaultColWidth="8" defaultRowHeight="14.25" customHeight="1"/>
  <cols>
    <col min="1" max="1" width="6.296875" style="216" customWidth="1"/>
    <col min="2" max="2" width="21.59765625" style="216" customWidth="1"/>
    <col min="3" max="3" width="12.69921875" style="216" customWidth="1"/>
    <col min="4" max="4" width="28.796875" style="216" customWidth="1"/>
    <col min="5" max="5" width="18" style="216" customWidth="1"/>
    <col min="6" max="6" width="17.59765625" style="217" customWidth="1"/>
    <col min="7" max="7" width="17.59765625" style="216" customWidth="1"/>
    <col min="8" max="8" width="19.19921875" style="216" customWidth="1"/>
    <col min="9" max="9" width="8" style="216" customWidth="1"/>
    <col min="10" max="10" width="21.59765625" style="216" customWidth="1"/>
    <col min="11" max="16384" width="8" style="216"/>
  </cols>
  <sheetData>
    <row r="1" spans="1:13" ht="36" customHeight="1">
      <c r="A1" s="218" t="s">
        <v>0</v>
      </c>
      <c r="B1" s="219" t="s">
        <v>318</v>
      </c>
      <c r="C1" s="220" t="s">
        <v>319</v>
      </c>
      <c r="D1" s="220" t="s">
        <v>233</v>
      </c>
      <c r="E1" s="221" t="s">
        <v>320</v>
      </c>
      <c r="F1" s="222" t="s">
        <v>462</v>
      </c>
      <c r="G1" s="222" t="s">
        <v>462</v>
      </c>
      <c r="H1" s="222" t="s">
        <v>321</v>
      </c>
      <c r="I1" s="216" t="s">
        <v>322</v>
      </c>
      <c r="J1" s="216" t="s">
        <v>323</v>
      </c>
      <c r="M1" s="223" t="s">
        <v>324</v>
      </c>
    </row>
    <row r="2" spans="1:13" ht="14.25" customHeight="1">
      <c r="A2" s="224">
        <v>7</v>
      </c>
      <c r="B2" s="225" t="s">
        <v>325</v>
      </c>
      <c r="C2" s="226" t="s">
        <v>232</v>
      </c>
      <c r="D2" s="227" t="s">
        <v>325</v>
      </c>
      <c r="E2" s="227" t="str">
        <f t="shared" ref="E2:E65" si="0">IF(D2="","",IF(UPPER(D2)=UPPER(B2),"OUI","NON"))</f>
        <v>OUI</v>
      </c>
      <c r="F2" s="227">
        <v>10</v>
      </c>
      <c r="G2" s="236">
        <f>+F2*2</f>
        <v>20</v>
      </c>
      <c r="H2" s="227">
        <v>0</v>
      </c>
      <c r="I2" s="216">
        <v>0</v>
      </c>
      <c r="J2" s="216">
        <f>+H2+I2</f>
        <v>0</v>
      </c>
    </row>
    <row r="3" spans="1:13" ht="14.25" customHeight="1">
      <c r="A3" s="228">
        <v>1</v>
      </c>
      <c r="B3" s="216" t="s">
        <v>325</v>
      </c>
      <c r="C3" s="216" t="s">
        <v>232</v>
      </c>
      <c r="D3" s="227" t="s">
        <v>326</v>
      </c>
      <c r="E3" s="227" t="str">
        <f t="shared" si="0"/>
        <v>NON</v>
      </c>
      <c r="F3" s="227">
        <v>15</v>
      </c>
      <c r="G3" s="236">
        <f t="shared" ref="G3:G66" si="1">+$F$2*2</f>
        <v>20</v>
      </c>
      <c r="H3" s="227">
        <v>0</v>
      </c>
      <c r="I3" s="216">
        <v>0</v>
      </c>
      <c r="J3" s="216">
        <f t="shared" ref="J3:J66" si="2">+H3+I3</f>
        <v>0</v>
      </c>
    </row>
    <row r="4" spans="1:13" ht="14.25" customHeight="1">
      <c r="A4" s="228">
        <v>2</v>
      </c>
      <c r="B4" s="216" t="s">
        <v>325</v>
      </c>
      <c r="C4" s="216" t="s">
        <v>232</v>
      </c>
      <c r="D4" s="227" t="s">
        <v>327</v>
      </c>
      <c r="E4" s="227" t="str">
        <f t="shared" si="0"/>
        <v>NON</v>
      </c>
      <c r="F4" s="227">
        <v>43</v>
      </c>
      <c r="G4" s="236">
        <f t="shared" si="1"/>
        <v>20</v>
      </c>
      <c r="H4" s="227">
        <v>1</v>
      </c>
      <c r="I4" s="216">
        <v>1</v>
      </c>
      <c r="J4" s="216">
        <f t="shared" si="2"/>
        <v>2</v>
      </c>
    </row>
    <row r="5" spans="1:13" ht="14.25" customHeight="1">
      <c r="A5" s="228">
        <v>3</v>
      </c>
      <c r="B5" s="216" t="s">
        <v>325</v>
      </c>
      <c r="C5" s="216" t="s">
        <v>232</v>
      </c>
      <c r="D5" s="227" t="s">
        <v>328</v>
      </c>
      <c r="E5" s="227" t="str">
        <f t="shared" si="0"/>
        <v>NON</v>
      </c>
      <c r="F5" s="227">
        <v>96</v>
      </c>
      <c r="G5" s="236">
        <f t="shared" si="1"/>
        <v>20</v>
      </c>
      <c r="H5" s="227">
        <v>1</v>
      </c>
      <c r="I5" s="216">
        <v>1</v>
      </c>
      <c r="J5" s="216">
        <f t="shared" si="2"/>
        <v>2</v>
      </c>
    </row>
    <row r="6" spans="1:13" ht="14.25" customHeight="1">
      <c r="A6" s="228">
        <v>4</v>
      </c>
      <c r="B6" s="216" t="s">
        <v>325</v>
      </c>
      <c r="C6" s="216" t="s">
        <v>232</v>
      </c>
      <c r="D6" s="227" t="s">
        <v>329</v>
      </c>
      <c r="E6" s="227" t="str">
        <f t="shared" si="0"/>
        <v>NON</v>
      </c>
      <c r="F6" s="227">
        <v>96</v>
      </c>
      <c r="G6" s="236">
        <f t="shared" si="1"/>
        <v>20</v>
      </c>
      <c r="H6" s="227">
        <v>1</v>
      </c>
      <c r="I6" s="216">
        <v>1</v>
      </c>
      <c r="J6" s="216">
        <f t="shared" si="2"/>
        <v>2</v>
      </c>
    </row>
    <row r="7" spans="1:13" ht="14.25" customHeight="1">
      <c r="A7" s="228">
        <v>5</v>
      </c>
      <c r="B7" s="216" t="s">
        <v>325</v>
      </c>
      <c r="C7" s="216" t="s">
        <v>232</v>
      </c>
      <c r="D7" s="227" t="s">
        <v>330</v>
      </c>
      <c r="E7" s="227" t="str">
        <f t="shared" si="0"/>
        <v>NON</v>
      </c>
      <c r="F7" s="227">
        <v>15</v>
      </c>
      <c r="G7" s="236">
        <f t="shared" si="1"/>
        <v>20</v>
      </c>
      <c r="H7" s="227">
        <v>0</v>
      </c>
      <c r="I7" s="216">
        <v>0</v>
      </c>
      <c r="J7" s="216">
        <f t="shared" si="2"/>
        <v>0</v>
      </c>
    </row>
    <row r="8" spans="1:13" ht="14.25" customHeight="1">
      <c r="A8" s="228">
        <v>6</v>
      </c>
      <c r="B8" s="216" t="s">
        <v>325</v>
      </c>
      <c r="C8" s="216" t="s">
        <v>232</v>
      </c>
      <c r="D8" s="227" t="s">
        <v>331</v>
      </c>
      <c r="E8" s="227" t="str">
        <f t="shared" si="0"/>
        <v>NON</v>
      </c>
      <c r="F8" s="227">
        <v>15</v>
      </c>
      <c r="G8" s="236">
        <f t="shared" si="1"/>
        <v>20</v>
      </c>
      <c r="H8" s="227">
        <v>0</v>
      </c>
      <c r="I8" s="216">
        <v>0</v>
      </c>
      <c r="J8" s="216">
        <f t="shared" si="2"/>
        <v>0</v>
      </c>
    </row>
    <row r="9" spans="1:13" ht="14.25" customHeight="1">
      <c r="A9" s="228">
        <v>8</v>
      </c>
      <c r="B9" s="216" t="s">
        <v>325</v>
      </c>
      <c r="C9" s="216" t="s">
        <v>232</v>
      </c>
      <c r="D9" s="227" t="s">
        <v>332</v>
      </c>
      <c r="E9" s="227" t="str">
        <f t="shared" si="0"/>
        <v>NON</v>
      </c>
      <c r="F9" s="227">
        <v>45</v>
      </c>
      <c r="G9" s="236">
        <f t="shared" si="1"/>
        <v>20</v>
      </c>
      <c r="H9" s="227">
        <v>1</v>
      </c>
      <c r="I9" s="216">
        <v>0</v>
      </c>
      <c r="J9" s="216">
        <f t="shared" si="2"/>
        <v>1</v>
      </c>
    </row>
    <row r="10" spans="1:13" ht="14.25" customHeight="1">
      <c r="A10" s="228">
        <v>10</v>
      </c>
      <c r="B10" s="225" t="s">
        <v>333</v>
      </c>
      <c r="C10" s="226" t="s">
        <v>334</v>
      </c>
      <c r="D10" s="227" t="s">
        <v>333</v>
      </c>
      <c r="E10" s="227" t="str">
        <f t="shared" si="0"/>
        <v>OUI</v>
      </c>
      <c r="F10" s="227">
        <v>250</v>
      </c>
      <c r="G10" s="236">
        <f t="shared" si="1"/>
        <v>20</v>
      </c>
      <c r="H10" s="227">
        <v>1</v>
      </c>
      <c r="I10" s="216">
        <v>1</v>
      </c>
      <c r="J10" s="216">
        <f t="shared" si="2"/>
        <v>2</v>
      </c>
    </row>
    <row r="11" spans="1:13" ht="14.25" customHeight="1">
      <c r="A11" s="228">
        <v>9</v>
      </c>
      <c r="B11" s="216" t="s">
        <v>333</v>
      </c>
      <c r="C11" s="216" t="s">
        <v>334</v>
      </c>
      <c r="D11" s="227" t="s">
        <v>335</v>
      </c>
      <c r="E11" s="227" t="str">
        <f t="shared" si="0"/>
        <v>NON</v>
      </c>
      <c r="F11" s="227">
        <v>370</v>
      </c>
      <c r="G11" s="236">
        <f t="shared" si="1"/>
        <v>20</v>
      </c>
      <c r="H11" s="227">
        <v>1</v>
      </c>
      <c r="I11" s="216">
        <v>1</v>
      </c>
      <c r="J11" s="216">
        <f t="shared" si="2"/>
        <v>2</v>
      </c>
    </row>
    <row r="12" spans="1:13" ht="14.25" customHeight="1">
      <c r="A12" s="228">
        <v>12</v>
      </c>
      <c r="B12" s="225" t="s">
        <v>336</v>
      </c>
      <c r="C12" s="229" t="s">
        <v>337</v>
      </c>
      <c r="D12" s="227" t="s">
        <v>336</v>
      </c>
      <c r="E12" s="227" t="str">
        <f t="shared" si="0"/>
        <v>OUI</v>
      </c>
      <c r="F12" s="227">
        <v>100</v>
      </c>
      <c r="G12" s="236">
        <f t="shared" si="1"/>
        <v>20</v>
      </c>
      <c r="H12" s="227">
        <v>1</v>
      </c>
      <c r="I12" s="216">
        <v>0</v>
      </c>
      <c r="J12" s="216">
        <f t="shared" si="2"/>
        <v>1</v>
      </c>
    </row>
    <row r="13" spans="1:13" ht="14.25" customHeight="1">
      <c r="A13" s="228">
        <v>11</v>
      </c>
      <c r="B13" s="216" t="s">
        <v>336</v>
      </c>
      <c r="C13" s="216" t="s">
        <v>337</v>
      </c>
      <c r="D13" s="227" t="s">
        <v>338</v>
      </c>
      <c r="E13" s="227" t="str">
        <f t="shared" si="0"/>
        <v>NON</v>
      </c>
      <c r="F13" s="227">
        <v>45</v>
      </c>
      <c r="G13" s="236">
        <f t="shared" si="1"/>
        <v>20</v>
      </c>
      <c r="H13" s="227">
        <v>1</v>
      </c>
      <c r="I13" s="216">
        <v>0</v>
      </c>
      <c r="J13" s="216">
        <f t="shared" si="2"/>
        <v>1</v>
      </c>
    </row>
    <row r="14" spans="1:13" ht="14.25" customHeight="1">
      <c r="A14" s="228">
        <v>13</v>
      </c>
      <c r="B14" s="216" t="s">
        <v>336</v>
      </c>
      <c r="C14" s="216" t="s">
        <v>337</v>
      </c>
      <c r="D14" s="227" t="s">
        <v>339</v>
      </c>
      <c r="E14" s="227" t="str">
        <f t="shared" si="0"/>
        <v>NON</v>
      </c>
      <c r="F14" s="227">
        <v>160</v>
      </c>
      <c r="G14" s="236">
        <f t="shared" si="1"/>
        <v>20</v>
      </c>
      <c r="H14" s="227">
        <v>1</v>
      </c>
      <c r="I14" s="216">
        <v>0</v>
      </c>
      <c r="J14" s="216">
        <f t="shared" si="2"/>
        <v>1</v>
      </c>
    </row>
    <row r="15" spans="1:13" ht="14.25" customHeight="1">
      <c r="A15" s="228">
        <v>16</v>
      </c>
      <c r="B15" s="225" t="s">
        <v>340</v>
      </c>
      <c r="C15" s="229" t="s">
        <v>341</v>
      </c>
      <c r="D15" s="227" t="s">
        <v>340</v>
      </c>
      <c r="E15" s="227" t="str">
        <f t="shared" si="0"/>
        <v>OUI</v>
      </c>
      <c r="F15" s="227">
        <v>170</v>
      </c>
      <c r="G15" s="236">
        <f t="shared" si="1"/>
        <v>20</v>
      </c>
      <c r="H15" s="227">
        <v>1</v>
      </c>
      <c r="I15" s="216">
        <v>1</v>
      </c>
      <c r="J15" s="216">
        <f t="shared" si="2"/>
        <v>2</v>
      </c>
    </row>
    <row r="16" spans="1:13" ht="14.25" customHeight="1">
      <c r="A16" s="228">
        <v>17</v>
      </c>
      <c r="B16" s="216" t="s">
        <v>340</v>
      </c>
      <c r="C16" s="216" t="s">
        <v>341</v>
      </c>
      <c r="D16" s="227" t="s">
        <v>342</v>
      </c>
      <c r="E16" s="227" t="str">
        <f t="shared" si="0"/>
        <v>NON</v>
      </c>
      <c r="F16" s="227">
        <v>170</v>
      </c>
      <c r="G16" s="236">
        <f t="shared" si="1"/>
        <v>20</v>
      </c>
      <c r="H16" s="227">
        <v>1</v>
      </c>
      <c r="I16" s="216">
        <v>1</v>
      </c>
      <c r="J16" s="216">
        <f t="shared" si="2"/>
        <v>2</v>
      </c>
    </row>
    <row r="17" spans="1:10" ht="14.25" customHeight="1">
      <c r="A17" s="228">
        <v>14</v>
      </c>
      <c r="B17" s="216" t="s">
        <v>340</v>
      </c>
      <c r="C17" s="216" t="s">
        <v>341</v>
      </c>
      <c r="D17" s="227" t="s">
        <v>343</v>
      </c>
      <c r="E17" s="227" t="str">
        <f t="shared" si="0"/>
        <v>NON</v>
      </c>
      <c r="F17" s="227">
        <f>47+23</f>
        <v>70</v>
      </c>
      <c r="G17" s="236">
        <f t="shared" si="1"/>
        <v>20</v>
      </c>
      <c r="H17" s="227">
        <v>1</v>
      </c>
      <c r="I17" s="216">
        <v>0</v>
      </c>
      <c r="J17" s="216">
        <f t="shared" si="2"/>
        <v>1</v>
      </c>
    </row>
    <row r="18" spans="1:10" ht="14.25" customHeight="1">
      <c r="A18" s="228">
        <v>15</v>
      </c>
      <c r="B18" s="216" t="s">
        <v>340</v>
      </c>
      <c r="C18" s="216" t="s">
        <v>341</v>
      </c>
      <c r="D18" s="227" t="s">
        <v>344</v>
      </c>
      <c r="E18" s="227" t="str">
        <f t="shared" si="0"/>
        <v>NON</v>
      </c>
      <c r="F18" s="227">
        <v>113</v>
      </c>
      <c r="G18" s="236">
        <f t="shared" si="1"/>
        <v>20</v>
      </c>
      <c r="H18" s="227">
        <v>1</v>
      </c>
      <c r="I18" s="216">
        <v>0</v>
      </c>
      <c r="J18" s="216">
        <f t="shared" si="2"/>
        <v>1</v>
      </c>
    </row>
    <row r="19" spans="1:10" ht="14.25" customHeight="1">
      <c r="A19" s="228">
        <v>18</v>
      </c>
      <c r="B19" s="216" t="s">
        <v>340</v>
      </c>
      <c r="C19" s="216" t="s">
        <v>341</v>
      </c>
      <c r="D19" s="227" t="s">
        <v>345</v>
      </c>
      <c r="E19" s="227" t="str">
        <f t="shared" si="0"/>
        <v>NON</v>
      </c>
      <c r="F19" s="227">
        <v>195</v>
      </c>
      <c r="G19" s="236">
        <f t="shared" si="1"/>
        <v>20</v>
      </c>
      <c r="H19" s="227">
        <v>1</v>
      </c>
      <c r="I19" s="216">
        <v>1</v>
      </c>
      <c r="J19" s="216">
        <f t="shared" si="2"/>
        <v>2</v>
      </c>
    </row>
    <row r="20" spans="1:10" ht="14.25" customHeight="1">
      <c r="A20" s="228">
        <v>19</v>
      </c>
      <c r="B20" s="216" t="s">
        <v>340</v>
      </c>
      <c r="C20" s="216" t="s">
        <v>341</v>
      </c>
      <c r="D20" s="227" t="s">
        <v>346</v>
      </c>
      <c r="E20" s="227" t="str">
        <f t="shared" si="0"/>
        <v>NON</v>
      </c>
      <c r="F20" s="227">
        <v>185</v>
      </c>
      <c r="G20" s="236">
        <f t="shared" si="1"/>
        <v>20</v>
      </c>
      <c r="H20" s="227">
        <v>1</v>
      </c>
      <c r="I20" s="216">
        <v>1</v>
      </c>
      <c r="J20" s="216">
        <f t="shared" si="2"/>
        <v>2</v>
      </c>
    </row>
    <row r="21" spans="1:10" ht="14.25" customHeight="1">
      <c r="A21" s="228">
        <v>20</v>
      </c>
      <c r="B21" s="216" t="s">
        <v>340</v>
      </c>
      <c r="C21" s="216" t="s">
        <v>341</v>
      </c>
      <c r="D21" s="227" t="s">
        <v>347</v>
      </c>
      <c r="E21" s="227" t="str">
        <f t="shared" si="0"/>
        <v>NON</v>
      </c>
      <c r="F21" s="227">
        <v>125</v>
      </c>
      <c r="G21" s="236">
        <f t="shared" si="1"/>
        <v>20</v>
      </c>
      <c r="H21" s="227">
        <v>1</v>
      </c>
      <c r="I21" s="216">
        <v>1</v>
      </c>
      <c r="J21" s="216">
        <f t="shared" si="2"/>
        <v>2</v>
      </c>
    </row>
    <row r="22" spans="1:10" ht="14.25" customHeight="1">
      <c r="A22" s="228">
        <v>23</v>
      </c>
      <c r="B22" s="225" t="s">
        <v>348</v>
      </c>
      <c r="C22" s="229" t="s">
        <v>349</v>
      </c>
      <c r="D22" s="227" t="s">
        <v>348</v>
      </c>
      <c r="E22" s="227" t="str">
        <f t="shared" si="0"/>
        <v>OUI</v>
      </c>
      <c r="F22" s="227">
        <v>1195</v>
      </c>
      <c r="G22" s="236">
        <f t="shared" si="1"/>
        <v>20</v>
      </c>
      <c r="H22" s="227">
        <v>3</v>
      </c>
      <c r="I22" s="216">
        <v>2</v>
      </c>
      <c r="J22" s="216">
        <f t="shared" si="2"/>
        <v>5</v>
      </c>
    </row>
    <row r="23" spans="1:10" ht="14.25" customHeight="1">
      <c r="A23" s="228">
        <v>24</v>
      </c>
      <c r="B23" s="216" t="s">
        <v>348</v>
      </c>
      <c r="C23" s="216" t="s">
        <v>349</v>
      </c>
      <c r="D23" s="227" t="s">
        <v>350</v>
      </c>
      <c r="E23" s="227" t="str">
        <f t="shared" si="0"/>
        <v>NON</v>
      </c>
      <c r="F23" s="227">
        <v>1195</v>
      </c>
      <c r="G23" s="236">
        <f t="shared" si="1"/>
        <v>20</v>
      </c>
      <c r="H23" s="227">
        <v>3</v>
      </c>
      <c r="I23" s="216">
        <v>2</v>
      </c>
      <c r="J23" s="216">
        <f t="shared" si="2"/>
        <v>5</v>
      </c>
    </row>
    <row r="24" spans="1:10" ht="14.25" customHeight="1">
      <c r="A24" s="228">
        <v>21</v>
      </c>
      <c r="B24" s="216" t="s">
        <v>348</v>
      </c>
      <c r="C24" s="216" t="s">
        <v>349</v>
      </c>
      <c r="D24" s="227" t="s">
        <v>351</v>
      </c>
      <c r="E24" s="227" t="str">
        <f t="shared" si="0"/>
        <v>NON</v>
      </c>
      <c r="F24" s="227">
        <v>956</v>
      </c>
      <c r="G24" s="236">
        <f t="shared" si="1"/>
        <v>20</v>
      </c>
      <c r="H24" s="227">
        <v>2</v>
      </c>
      <c r="I24" s="216">
        <v>1</v>
      </c>
      <c r="J24" s="216">
        <f t="shared" si="2"/>
        <v>3</v>
      </c>
    </row>
    <row r="25" spans="1:10" ht="14.25" customHeight="1">
      <c r="A25" s="228">
        <v>22</v>
      </c>
      <c r="B25" s="216" t="s">
        <v>348</v>
      </c>
      <c r="C25" s="216" t="s">
        <v>349</v>
      </c>
      <c r="D25" s="227" t="s">
        <v>352</v>
      </c>
      <c r="E25" s="227" t="str">
        <f t="shared" si="0"/>
        <v>NON</v>
      </c>
      <c r="F25" s="227">
        <v>1060</v>
      </c>
      <c r="G25" s="236">
        <f t="shared" si="1"/>
        <v>20</v>
      </c>
      <c r="H25" s="227">
        <v>2</v>
      </c>
      <c r="I25" s="216">
        <v>2</v>
      </c>
      <c r="J25" s="216">
        <f t="shared" si="2"/>
        <v>4</v>
      </c>
    </row>
    <row r="26" spans="1:10" ht="14.25" customHeight="1">
      <c r="A26" s="228">
        <v>25</v>
      </c>
      <c r="B26" s="216" t="s">
        <v>348</v>
      </c>
      <c r="C26" s="216" t="s">
        <v>349</v>
      </c>
      <c r="D26" s="227" t="s">
        <v>353</v>
      </c>
      <c r="E26" s="227" t="str">
        <f t="shared" si="0"/>
        <v>NON</v>
      </c>
      <c r="F26" s="227">
        <v>1016</v>
      </c>
      <c r="G26" s="236">
        <f t="shared" si="1"/>
        <v>20</v>
      </c>
      <c r="H26" s="227">
        <v>3</v>
      </c>
      <c r="I26" s="216">
        <v>2</v>
      </c>
      <c r="J26" s="216">
        <f t="shared" si="2"/>
        <v>5</v>
      </c>
    </row>
    <row r="27" spans="1:10" ht="14.25" customHeight="1">
      <c r="A27" s="228">
        <v>28</v>
      </c>
      <c r="B27" s="225" t="s">
        <v>354</v>
      </c>
      <c r="C27" s="229" t="s">
        <v>355</v>
      </c>
      <c r="D27" s="227" t="s">
        <v>354</v>
      </c>
      <c r="E27" s="227" t="str">
        <f t="shared" si="0"/>
        <v>OUI</v>
      </c>
      <c r="F27" s="227">
        <v>1400</v>
      </c>
      <c r="G27" s="236">
        <f t="shared" si="1"/>
        <v>20</v>
      </c>
      <c r="H27" s="227">
        <v>2</v>
      </c>
      <c r="I27" s="216">
        <v>2</v>
      </c>
      <c r="J27" s="216">
        <f t="shared" si="2"/>
        <v>4</v>
      </c>
    </row>
    <row r="28" spans="1:10" ht="14.25" customHeight="1">
      <c r="A28" s="228">
        <v>26</v>
      </c>
      <c r="B28" s="216" t="s">
        <v>354</v>
      </c>
      <c r="C28" s="216" t="s">
        <v>355</v>
      </c>
      <c r="D28" s="227" t="s">
        <v>356</v>
      </c>
      <c r="E28" s="227" t="str">
        <f t="shared" si="0"/>
        <v>NON</v>
      </c>
      <c r="F28" s="227">
        <v>1520</v>
      </c>
      <c r="G28" s="236">
        <f t="shared" si="1"/>
        <v>20</v>
      </c>
      <c r="H28" s="227">
        <v>2</v>
      </c>
      <c r="I28" s="216">
        <v>2</v>
      </c>
      <c r="J28" s="216">
        <f t="shared" si="2"/>
        <v>4</v>
      </c>
    </row>
    <row r="29" spans="1:10" ht="14.25" customHeight="1">
      <c r="A29" s="228">
        <v>27</v>
      </c>
      <c r="B29" s="216" t="s">
        <v>354</v>
      </c>
      <c r="C29" s="216" t="s">
        <v>355</v>
      </c>
      <c r="D29" s="227" t="s">
        <v>357</v>
      </c>
      <c r="E29" s="227" t="str">
        <f t="shared" si="0"/>
        <v>NON</v>
      </c>
      <c r="F29" s="227">
        <v>1490</v>
      </c>
      <c r="G29" s="236">
        <f t="shared" si="1"/>
        <v>20</v>
      </c>
      <c r="H29" s="227">
        <v>2</v>
      </c>
      <c r="I29" s="216">
        <v>2</v>
      </c>
      <c r="J29" s="216">
        <f t="shared" si="2"/>
        <v>4</v>
      </c>
    </row>
    <row r="30" spans="1:10" ht="14.25" customHeight="1">
      <c r="A30" s="228">
        <v>29</v>
      </c>
      <c r="B30" s="216" t="s">
        <v>354</v>
      </c>
      <c r="C30" s="216" t="s">
        <v>355</v>
      </c>
      <c r="D30" s="227" t="s">
        <v>358</v>
      </c>
      <c r="E30" s="227" t="str">
        <f t="shared" si="0"/>
        <v>NON</v>
      </c>
      <c r="F30" s="227">
        <v>1245</v>
      </c>
      <c r="G30" s="236">
        <f t="shared" si="1"/>
        <v>20</v>
      </c>
      <c r="H30" s="227">
        <v>2</v>
      </c>
      <c r="I30" s="216">
        <v>2</v>
      </c>
      <c r="J30" s="216">
        <f t="shared" si="2"/>
        <v>4</v>
      </c>
    </row>
    <row r="31" spans="1:10" ht="14.25" customHeight="1">
      <c r="A31" s="228">
        <v>31</v>
      </c>
      <c r="B31" s="225" t="s">
        <v>359</v>
      </c>
      <c r="C31" s="229" t="s">
        <v>360</v>
      </c>
      <c r="D31" s="227" t="s">
        <v>359</v>
      </c>
      <c r="E31" s="227" t="str">
        <f t="shared" si="0"/>
        <v>OUI</v>
      </c>
      <c r="F31" s="227">
        <v>265</v>
      </c>
      <c r="G31" s="236">
        <f t="shared" si="1"/>
        <v>20</v>
      </c>
      <c r="H31" s="227">
        <v>1</v>
      </c>
      <c r="I31" s="216">
        <v>1</v>
      </c>
      <c r="J31" s="216">
        <f t="shared" si="2"/>
        <v>2</v>
      </c>
    </row>
    <row r="32" spans="1:10" ht="14.25" customHeight="1">
      <c r="A32" s="228">
        <v>30</v>
      </c>
      <c r="B32" s="216" t="s">
        <v>359</v>
      </c>
      <c r="C32" s="216" t="s">
        <v>360</v>
      </c>
      <c r="D32" s="227" t="s">
        <v>361</v>
      </c>
      <c r="E32" s="227" t="str">
        <f t="shared" si="0"/>
        <v>NON</v>
      </c>
      <c r="F32" s="227">
        <v>343</v>
      </c>
      <c r="G32" s="236">
        <f t="shared" si="1"/>
        <v>20</v>
      </c>
      <c r="H32" s="227">
        <v>1</v>
      </c>
      <c r="I32" s="216">
        <v>1</v>
      </c>
      <c r="J32" s="216">
        <f t="shared" si="2"/>
        <v>2</v>
      </c>
    </row>
    <row r="33" spans="1:10" ht="14.25" customHeight="1">
      <c r="A33" s="228">
        <v>32</v>
      </c>
      <c r="B33" s="216" t="s">
        <v>359</v>
      </c>
      <c r="C33" s="216" t="s">
        <v>360</v>
      </c>
      <c r="D33" s="227" t="s">
        <v>362</v>
      </c>
      <c r="E33" s="227" t="str">
        <f t="shared" si="0"/>
        <v>NON</v>
      </c>
      <c r="F33" s="227">
        <v>345</v>
      </c>
      <c r="G33" s="236">
        <f t="shared" si="1"/>
        <v>20</v>
      </c>
      <c r="H33" s="227">
        <v>1</v>
      </c>
      <c r="I33" s="216">
        <v>1</v>
      </c>
      <c r="J33" s="216">
        <f t="shared" si="2"/>
        <v>2</v>
      </c>
    </row>
    <row r="34" spans="1:10" ht="14.25" customHeight="1">
      <c r="A34" s="228">
        <v>33</v>
      </c>
      <c r="B34" s="216" t="s">
        <v>359</v>
      </c>
      <c r="C34" s="216" t="s">
        <v>360</v>
      </c>
      <c r="D34" s="227" t="s">
        <v>363</v>
      </c>
      <c r="E34" s="227" t="str">
        <f t="shared" si="0"/>
        <v>NON</v>
      </c>
      <c r="F34" s="227">
        <v>320</v>
      </c>
      <c r="G34" s="236">
        <f t="shared" si="1"/>
        <v>20</v>
      </c>
      <c r="H34" s="227">
        <v>1</v>
      </c>
      <c r="I34" s="216">
        <v>1</v>
      </c>
      <c r="J34" s="216">
        <f t="shared" si="2"/>
        <v>2</v>
      </c>
    </row>
    <row r="35" spans="1:10" ht="14.25" customHeight="1">
      <c r="A35" s="228">
        <v>35</v>
      </c>
      <c r="B35" s="225" t="s">
        <v>364</v>
      </c>
      <c r="C35" s="229" t="s">
        <v>365</v>
      </c>
      <c r="D35" s="227" t="s">
        <v>364</v>
      </c>
      <c r="E35" s="227" t="str">
        <f t="shared" si="0"/>
        <v>OUI</v>
      </c>
      <c r="F35" s="227">
        <v>860</v>
      </c>
      <c r="G35" s="236">
        <f t="shared" si="1"/>
        <v>20</v>
      </c>
      <c r="H35" s="227">
        <v>2</v>
      </c>
      <c r="I35" s="216">
        <v>2</v>
      </c>
      <c r="J35" s="216">
        <f t="shared" si="2"/>
        <v>4</v>
      </c>
    </row>
    <row r="36" spans="1:10" ht="14.25" customHeight="1">
      <c r="A36" s="228">
        <v>34</v>
      </c>
      <c r="B36" s="216" t="s">
        <v>364</v>
      </c>
      <c r="C36" s="216" t="s">
        <v>365</v>
      </c>
      <c r="D36" s="227" t="s">
        <v>366</v>
      </c>
      <c r="E36" s="227" t="str">
        <f t="shared" si="0"/>
        <v>NON</v>
      </c>
      <c r="F36" s="227">
        <v>1075</v>
      </c>
      <c r="G36" s="236">
        <f t="shared" si="1"/>
        <v>20</v>
      </c>
      <c r="H36" s="227">
        <v>2</v>
      </c>
      <c r="I36" s="216">
        <v>2</v>
      </c>
      <c r="J36" s="216">
        <f t="shared" si="2"/>
        <v>4</v>
      </c>
    </row>
    <row r="37" spans="1:10" ht="14.25" customHeight="1">
      <c r="A37" s="228">
        <v>36</v>
      </c>
      <c r="B37" s="216" t="s">
        <v>364</v>
      </c>
      <c r="C37" s="216" t="s">
        <v>365</v>
      </c>
      <c r="D37" s="227" t="s">
        <v>367</v>
      </c>
      <c r="E37" s="227" t="str">
        <f t="shared" si="0"/>
        <v>NON</v>
      </c>
      <c r="F37" s="227">
        <v>1035</v>
      </c>
      <c r="G37" s="236">
        <f t="shared" si="1"/>
        <v>20</v>
      </c>
      <c r="H37" s="227">
        <v>2</v>
      </c>
      <c r="I37" s="216">
        <v>2</v>
      </c>
      <c r="J37" s="216">
        <f t="shared" si="2"/>
        <v>4</v>
      </c>
    </row>
    <row r="38" spans="1:10" ht="14.25" customHeight="1">
      <c r="A38" s="228">
        <v>37</v>
      </c>
      <c r="B38" s="216" t="s">
        <v>364</v>
      </c>
      <c r="C38" s="216" t="s">
        <v>365</v>
      </c>
      <c r="D38" s="227" t="s">
        <v>368</v>
      </c>
      <c r="E38" s="227" t="str">
        <f t="shared" si="0"/>
        <v>NON</v>
      </c>
      <c r="F38" s="227">
        <v>935</v>
      </c>
      <c r="G38" s="236">
        <f t="shared" si="1"/>
        <v>20</v>
      </c>
      <c r="H38" s="227">
        <v>2</v>
      </c>
      <c r="I38" s="216">
        <v>2</v>
      </c>
      <c r="J38" s="216">
        <f t="shared" si="2"/>
        <v>4</v>
      </c>
    </row>
    <row r="39" spans="1:10" ht="14.25" customHeight="1">
      <c r="A39" s="228">
        <v>38</v>
      </c>
      <c r="B39" s="216" t="s">
        <v>364</v>
      </c>
      <c r="C39" s="216" t="s">
        <v>365</v>
      </c>
      <c r="D39" s="227" t="s">
        <v>369</v>
      </c>
      <c r="E39" s="227" t="str">
        <f t="shared" si="0"/>
        <v>NON</v>
      </c>
      <c r="F39" s="227">
        <v>930</v>
      </c>
      <c r="G39" s="236">
        <f t="shared" si="1"/>
        <v>20</v>
      </c>
      <c r="H39" s="227">
        <v>2</v>
      </c>
      <c r="I39" s="216">
        <v>2</v>
      </c>
      <c r="J39" s="216">
        <f t="shared" si="2"/>
        <v>4</v>
      </c>
    </row>
    <row r="40" spans="1:10" ht="14.25" customHeight="1">
      <c r="A40" s="228">
        <v>41</v>
      </c>
      <c r="B40" s="225" t="s">
        <v>370</v>
      </c>
      <c r="C40" s="229" t="s">
        <v>371</v>
      </c>
      <c r="D40" s="227" t="s">
        <v>370</v>
      </c>
      <c r="E40" s="227" t="str">
        <f t="shared" si="0"/>
        <v>OUI</v>
      </c>
      <c r="F40" s="227">
        <v>420</v>
      </c>
      <c r="G40" s="236">
        <f t="shared" si="1"/>
        <v>20</v>
      </c>
      <c r="H40" s="227">
        <v>1</v>
      </c>
      <c r="I40" s="216">
        <v>1</v>
      </c>
      <c r="J40" s="216">
        <f t="shared" si="2"/>
        <v>2</v>
      </c>
    </row>
    <row r="41" spans="1:10" ht="14.25" customHeight="1">
      <c r="A41" s="228">
        <v>39</v>
      </c>
      <c r="B41" s="216" t="s">
        <v>370</v>
      </c>
      <c r="C41" s="216" t="s">
        <v>371</v>
      </c>
      <c r="D41" s="227" t="s">
        <v>372</v>
      </c>
      <c r="E41" s="227" t="str">
        <f t="shared" si="0"/>
        <v>NON</v>
      </c>
      <c r="F41" s="227">
        <v>490</v>
      </c>
      <c r="G41" s="236">
        <f t="shared" si="1"/>
        <v>20</v>
      </c>
      <c r="H41" s="227">
        <v>1</v>
      </c>
      <c r="I41" s="216">
        <v>1</v>
      </c>
      <c r="J41" s="216">
        <f t="shared" si="2"/>
        <v>2</v>
      </c>
    </row>
    <row r="42" spans="1:10" ht="14.25" customHeight="1">
      <c r="A42" s="228">
        <v>40</v>
      </c>
      <c r="B42" s="216" t="s">
        <v>370</v>
      </c>
      <c r="C42" s="216" t="s">
        <v>371</v>
      </c>
      <c r="D42" s="227" t="s">
        <v>373</v>
      </c>
      <c r="E42" s="227" t="str">
        <f t="shared" si="0"/>
        <v>NON</v>
      </c>
      <c r="F42" s="227">
        <v>355</v>
      </c>
      <c r="G42" s="236">
        <f t="shared" si="1"/>
        <v>20</v>
      </c>
      <c r="H42" s="227">
        <v>1</v>
      </c>
      <c r="I42" s="216">
        <v>1</v>
      </c>
      <c r="J42" s="216">
        <f t="shared" si="2"/>
        <v>2</v>
      </c>
    </row>
    <row r="43" spans="1:10" ht="14.25" customHeight="1">
      <c r="A43" s="228">
        <v>42</v>
      </c>
      <c r="B43" s="216" t="s">
        <v>370</v>
      </c>
      <c r="C43" s="216" t="s">
        <v>371</v>
      </c>
      <c r="D43" s="227" t="s">
        <v>374</v>
      </c>
      <c r="E43" s="227" t="str">
        <f t="shared" si="0"/>
        <v>NON</v>
      </c>
      <c r="F43" s="227">
        <v>402</v>
      </c>
      <c r="G43" s="236">
        <f t="shared" si="1"/>
        <v>20</v>
      </c>
      <c r="H43" s="227">
        <v>1</v>
      </c>
      <c r="I43" s="216">
        <v>1</v>
      </c>
      <c r="J43" s="216">
        <f t="shared" si="2"/>
        <v>2</v>
      </c>
    </row>
    <row r="44" spans="1:10" ht="14.25" customHeight="1">
      <c r="A44" s="228">
        <v>43</v>
      </c>
      <c r="B44" s="216" t="s">
        <v>370</v>
      </c>
      <c r="C44" s="216" t="s">
        <v>371</v>
      </c>
      <c r="D44" s="227" t="s">
        <v>375</v>
      </c>
      <c r="E44" s="227" t="str">
        <f t="shared" si="0"/>
        <v>NON</v>
      </c>
      <c r="F44" s="227">
        <v>515</v>
      </c>
      <c r="G44" s="236">
        <f t="shared" si="1"/>
        <v>20</v>
      </c>
      <c r="H44" s="227">
        <v>1</v>
      </c>
      <c r="I44" s="216">
        <v>1</v>
      </c>
      <c r="J44" s="216">
        <f t="shared" si="2"/>
        <v>2</v>
      </c>
    </row>
    <row r="45" spans="1:10" ht="14.25" customHeight="1">
      <c r="A45" s="228">
        <v>44</v>
      </c>
      <c r="B45" s="216" t="s">
        <v>370</v>
      </c>
      <c r="C45" s="216" t="s">
        <v>371</v>
      </c>
      <c r="D45" s="227" t="s">
        <v>376</v>
      </c>
      <c r="E45" s="227" t="str">
        <f t="shared" si="0"/>
        <v>NON</v>
      </c>
      <c r="F45" s="227">
        <v>456</v>
      </c>
      <c r="G45" s="236">
        <f t="shared" si="1"/>
        <v>20</v>
      </c>
      <c r="H45" s="227">
        <v>1</v>
      </c>
      <c r="I45" s="216">
        <v>1</v>
      </c>
      <c r="J45" s="216">
        <f t="shared" si="2"/>
        <v>2</v>
      </c>
    </row>
    <row r="46" spans="1:10" ht="14.25" customHeight="1">
      <c r="A46" s="228">
        <v>45</v>
      </c>
      <c r="B46" s="216" t="s">
        <v>370</v>
      </c>
      <c r="C46" s="216" t="s">
        <v>371</v>
      </c>
      <c r="D46" s="227" t="s">
        <v>377</v>
      </c>
      <c r="E46" s="227" t="str">
        <f t="shared" si="0"/>
        <v>NON</v>
      </c>
      <c r="F46" s="227">
        <v>402</v>
      </c>
      <c r="G46" s="236">
        <f t="shared" si="1"/>
        <v>20</v>
      </c>
      <c r="H46" s="227">
        <v>1</v>
      </c>
      <c r="I46" s="216">
        <v>1</v>
      </c>
      <c r="J46" s="216">
        <f t="shared" si="2"/>
        <v>2</v>
      </c>
    </row>
    <row r="47" spans="1:10" ht="14.25" customHeight="1">
      <c r="A47" s="228">
        <v>47</v>
      </c>
      <c r="B47" s="225" t="s">
        <v>378</v>
      </c>
      <c r="C47" s="229" t="s">
        <v>379</v>
      </c>
      <c r="D47" s="227" t="s">
        <v>378</v>
      </c>
      <c r="E47" s="227" t="str">
        <f t="shared" si="0"/>
        <v>OUI</v>
      </c>
      <c r="F47" s="227">
        <v>640</v>
      </c>
      <c r="G47" s="236">
        <f t="shared" si="1"/>
        <v>20</v>
      </c>
      <c r="H47" s="227">
        <v>2</v>
      </c>
      <c r="I47" s="216">
        <v>2</v>
      </c>
      <c r="J47" s="216">
        <f t="shared" si="2"/>
        <v>4</v>
      </c>
    </row>
    <row r="48" spans="1:10" ht="14.25" customHeight="1">
      <c r="A48" s="228">
        <v>46</v>
      </c>
      <c r="B48" s="216" t="s">
        <v>378</v>
      </c>
      <c r="C48" s="216" t="s">
        <v>379</v>
      </c>
      <c r="D48" s="227" t="s">
        <v>380</v>
      </c>
      <c r="E48" s="227" t="str">
        <f t="shared" si="0"/>
        <v>NON</v>
      </c>
      <c r="F48" s="227">
        <v>780</v>
      </c>
      <c r="G48" s="236">
        <f t="shared" si="1"/>
        <v>20</v>
      </c>
      <c r="H48" s="227">
        <v>2</v>
      </c>
      <c r="I48" s="216">
        <v>2</v>
      </c>
      <c r="J48" s="216">
        <f t="shared" si="2"/>
        <v>4</v>
      </c>
    </row>
    <row r="49" spans="1:10" ht="14.25" customHeight="1">
      <c r="A49" s="228">
        <v>48</v>
      </c>
      <c r="B49" s="216" t="s">
        <v>378</v>
      </c>
      <c r="C49" s="216" t="s">
        <v>379</v>
      </c>
      <c r="D49" s="227" t="s">
        <v>381</v>
      </c>
      <c r="E49" s="227" t="str">
        <f t="shared" si="0"/>
        <v>NON</v>
      </c>
      <c r="F49" s="227">
        <v>750</v>
      </c>
      <c r="G49" s="236">
        <f t="shared" si="1"/>
        <v>20</v>
      </c>
      <c r="H49" s="227">
        <v>2</v>
      </c>
      <c r="I49" s="216">
        <v>2</v>
      </c>
      <c r="J49" s="216">
        <f t="shared" si="2"/>
        <v>4</v>
      </c>
    </row>
    <row r="50" spans="1:10" ht="14.25" customHeight="1">
      <c r="A50" s="228">
        <v>50</v>
      </c>
      <c r="B50" s="225" t="s">
        <v>382</v>
      </c>
      <c r="C50" s="229" t="s">
        <v>383</v>
      </c>
      <c r="D50" s="227" t="s">
        <v>382</v>
      </c>
      <c r="E50" s="227" t="str">
        <f t="shared" si="0"/>
        <v>OUI</v>
      </c>
      <c r="F50" s="227">
        <v>675</v>
      </c>
      <c r="G50" s="236">
        <f t="shared" si="1"/>
        <v>20</v>
      </c>
      <c r="H50" s="227">
        <v>2</v>
      </c>
      <c r="I50" s="216">
        <v>2</v>
      </c>
      <c r="J50" s="216">
        <f t="shared" si="2"/>
        <v>4</v>
      </c>
    </row>
    <row r="51" spans="1:10" ht="14.25" customHeight="1">
      <c r="A51" s="228">
        <v>51</v>
      </c>
      <c r="B51" s="216" t="s">
        <v>382</v>
      </c>
      <c r="C51" s="216" t="s">
        <v>383</v>
      </c>
      <c r="D51" s="227" t="s">
        <v>384</v>
      </c>
      <c r="E51" s="227" t="str">
        <f t="shared" si="0"/>
        <v>NON</v>
      </c>
      <c r="F51" s="227">
        <v>790</v>
      </c>
      <c r="G51" s="236">
        <f t="shared" si="1"/>
        <v>20</v>
      </c>
      <c r="H51" s="227">
        <v>2</v>
      </c>
      <c r="I51" s="216">
        <v>2</v>
      </c>
      <c r="J51" s="216">
        <f t="shared" si="2"/>
        <v>4</v>
      </c>
    </row>
    <row r="52" spans="1:10" ht="14.25" customHeight="1">
      <c r="A52" s="228">
        <v>54</v>
      </c>
      <c r="B52" s="216" t="s">
        <v>382</v>
      </c>
      <c r="C52" s="216" t="s">
        <v>383</v>
      </c>
      <c r="D52" s="227" t="s">
        <v>385</v>
      </c>
      <c r="E52" s="227" t="str">
        <f t="shared" si="0"/>
        <v>NON</v>
      </c>
      <c r="F52" s="227">
        <v>810</v>
      </c>
      <c r="G52" s="236">
        <f t="shared" si="1"/>
        <v>20</v>
      </c>
      <c r="H52" s="227">
        <v>2</v>
      </c>
      <c r="I52" s="216">
        <v>2</v>
      </c>
      <c r="J52" s="216">
        <f t="shared" si="2"/>
        <v>4</v>
      </c>
    </row>
    <row r="53" spans="1:10" ht="14.25" customHeight="1">
      <c r="A53" s="228">
        <v>53</v>
      </c>
      <c r="B53" s="225" t="s">
        <v>386</v>
      </c>
      <c r="C53" s="229" t="s">
        <v>387</v>
      </c>
      <c r="D53" s="227" t="s">
        <v>386</v>
      </c>
      <c r="E53" s="227" t="str">
        <f t="shared" si="0"/>
        <v>OUI</v>
      </c>
      <c r="F53" s="227">
        <v>685</v>
      </c>
      <c r="G53" s="236">
        <f t="shared" si="1"/>
        <v>20</v>
      </c>
      <c r="H53" s="227">
        <v>2</v>
      </c>
      <c r="I53" s="216">
        <v>2</v>
      </c>
      <c r="J53" s="216">
        <f t="shared" si="2"/>
        <v>4</v>
      </c>
    </row>
    <row r="54" spans="1:10" ht="14.25" customHeight="1">
      <c r="A54" s="228">
        <v>49</v>
      </c>
      <c r="B54" s="216" t="s">
        <v>386</v>
      </c>
      <c r="C54" s="216" t="s">
        <v>387</v>
      </c>
      <c r="D54" s="227" t="s">
        <v>388</v>
      </c>
      <c r="E54" s="227" t="str">
        <f t="shared" si="0"/>
        <v>NON</v>
      </c>
      <c r="F54" s="227">
        <v>660</v>
      </c>
      <c r="G54" s="236">
        <f t="shared" si="1"/>
        <v>20</v>
      </c>
      <c r="H54" s="227">
        <v>2</v>
      </c>
      <c r="I54" s="216">
        <v>2</v>
      </c>
      <c r="J54" s="216">
        <f t="shared" si="2"/>
        <v>4</v>
      </c>
    </row>
    <row r="55" spans="1:10" ht="14.25" customHeight="1">
      <c r="A55" s="228">
        <v>52</v>
      </c>
      <c r="B55" s="216" t="s">
        <v>386</v>
      </c>
      <c r="C55" s="216" t="s">
        <v>387</v>
      </c>
      <c r="D55" s="227" t="s">
        <v>389</v>
      </c>
      <c r="E55" s="227" t="str">
        <f t="shared" si="0"/>
        <v>NON</v>
      </c>
      <c r="F55" s="227">
        <v>565</v>
      </c>
      <c r="G55" s="236">
        <f t="shared" si="1"/>
        <v>20</v>
      </c>
      <c r="H55" s="227">
        <v>2</v>
      </c>
      <c r="I55" s="216">
        <v>2</v>
      </c>
      <c r="J55" s="216">
        <f t="shared" si="2"/>
        <v>4</v>
      </c>
    </row>
    <row r="56" spans="1:10" ht="14.25" customHeight="1">
      <c r="A56" s="228">
        <v>56</v>
      </c>
      <c r="B56" s="225" t="s">
        <v>390</v>
      </c>
      <c r="C56" s="229" t="s">
        <v>391</v>
      </c>
      <c r="D56" s="227" t="s">
        <v>390</v>
      </c>
      <c r="E56" s="227" t="str">
        <f t="shared" si="0"/>
        <v>OUI</v>
      </c>
      <c r="F56" s="227">
        <v>335</v>
      </c>
      <c r="G56" s="236">
        <f t="shared" si="1"/>
        <v>20</v>
      </c>
      <c r="H56" s="227">
        <v>1</v>
      </c>
      <c r="I56" s="216">
        <v>1</v>
      </c>
      <c r="J56" s="216">
        <f t="shared" si="2"/>
        <v>2</v>
      </c>
    </row>
    <row r="57" spans="1:10" ht="14.25" customHeight="1">
      <c r="A57" s="228">
        <v>55</v>
      </c>
      <c r="B57" s="216" t="s">
        <v>390</v>
      </c>
      <c r="C57" s="216" t="s">
        <v>391</v>
      </c>
      <c r="D57" s="227" t="s">
        <v>392</v>
      </c>
      <c r="E57" s="227" t="str">
        <f t="shared" si="0"/>
        <v>NON</v>
      </c>
      <c r="F57" s="227">
        <v>485</v>
      </c>
      <c r="G57" s="236">
        <f t="shared" si="1"/>
        <v>20</v>
      </c>
      <c r="H57" s="227">
        <v>2</v>
      </c>
      <c r="I57" s="216">
        <v>2</v>
      </c>
      <c r="J57" s="216">
        <f t="shared" si="2"/>
        <v>4</v>
      </c>
    </row>
    <row r="58" spans="1:10" ht="14.25" customHeight="1">
      <c r="A58" s="228">
        <v>57</v>
      </c>
      <c r="B58" s="216" t="s">
        <v>390</v>
      </c>
      <c r="C58" s="216" t="s">
        <v>391</v>
      </c>
      <c r="D58" s="227" t="s">
        <v>393</v>
      </c>
      <c r="E58" s="227" t="str">
        <f t="shared" si="0"/>
        <v>NON</v>
      </c>
      <c r="F58" s="227">
        <v>515</v>
      </c>
      <c r="G58" s="236">
        <f t="shared" si="1"/>
        <v>20</v>
      </c>
      <c r="H58" s="227">
        <v>2</v>
      </c>
      <c r="I58" s="216">
        <v>2</v>
      </c>
      <c r="J58" s="216">
        <f t="shared" si="2"/>
        <v>4</v>
      </c>
    </row>
    <row r="59" spans="1:10" ht="14.25" customHeight="1">
      <c r="A59" s="228">
        <v>59</v>
      </c>
      <c r="B59" s="225" t="s">
        <v>394</v>
      </c>
      <c r="C59" s="229" t="s">
        <v>395</v>
      </c>
      <c r="D59" s="227" t="s">
        <v>394</v>
      </c>
      <c r="E59" s="227" t="str">
        <f t="shared" si="0"/>
        <v>OUI</v>
      </c>
      <c r="F59" s="227">
        <v>600</v>
      </c>
      <c r="G59" s="236">
        <f t="shared" si="1"/>
        <v>20</v>
      </c>
      <c r="H59" s="227">
        <v>2</v>
      </c>
      <c r="I59" s="216">
        <v>2</v>
      </c>
      <c r="J59" s="216">
        <f t="shared" si="2"/>
        <v>4</v>
      </c>
    </row>
    <row r="60" spans="1:10" ht="14.25" customHeight="1">
      <c r="A60" s="228">
        <v>60</v>
      </c>
      <c r="B60" s="216" t="s">
        <v>394</v>
      </c>
      <c r="C60" s="216" t="s">
        <v>395</v>
      </c>
      <c r="D60" s="227" t="s">
        <v>396</v>
      </c>
      <c r="E60" s="227" t="str">
        <f t="shared" si="0"/>
        <v>NON</v>
      </c>
      <c r="F60" s="227">
        <v>600</v>
      </c>
      <c r="G60" s="236">
        <f t="shared" si="1"/>
        <v>20</v>
      </c>
      <c r="H60" s="227">
        <v>2</v>
      </c>
      <c r="I60" s="216">
        <v>2</v>
      </c>
      <c r="J60" s="216">
        <f t="shared" si="2"/>
        <v>4</v>
      </c>
    </row>
    <row r="61" spans="1:10" ht="14.25" customHeight="1">
      <c r="A61" s="228">
        <v>58</v>
      </c>
      <c r="B61" s="216" t="s">
        <v>394</v>
      </c>
      <c r="C61" s="216" t="s">
        <v>395</v>
      </c>
      <c r="D61" s="227" t="s">
        <v>397</v>
      </c>
      <c r="E61" s="227" t="str">
        <f t="shared" si="0"/>
        <v>NON</v>
      </c>
      <c r="F61" s="227">
        <v>495</v>
      </c>
      <c r="G61" s="236">
        <f t="shared" si="1"/>
        <v>20</v>
      </c>
      <c r="H61" s="227">
        <v>2</v>
      </c>
      <c r="I61" s="216">
        <v>2</v>
      </c>
      <c r="J61" s="216">
        <f t="shared" si="2"/>
        <v>4</v>
      </c>
    </row>
    <row r="62" spans="1:10" ht="14.25" customHeight="1">
      <c r="A62" s="228">
        <v>61</v>
      </c>
      <c r="B62" s="216" t="s">
        <v>394</v>
      </c>
      <c r="C62" s="216" t="s">
        <v>395</v>
      </c>
      <c r="D62" s="227" t="s">
        <v>398</v>
      </c>
      <c r="E62" s="227" t="str">
        <f t="shared" si="0"/>
        <v>NON</v>
      </c>
      <c r="F62" s="227">
        <v>530</v>
      </c>
      <c r="G62" s="236">
        <f t="shared" si="1"/>
        <v>20</v>
      </c>
      <c r="H62" s="227">
        <v>2</v>
      </c>
      <c r="I62" s="216">
        <v>2</v>
      </c>
      <c r="J62" s="216">
        <f t="shared" si="2"/>
        <v>4</v>
      </c>
    </row>
    <row r="63" spans="1:10" ht="14.25" customHeight="1">
      <c r="A63" s="228">
        <v>62</v>
      </c>
      <c r="B63" s="216" t="s">
        <v>394</v>
      </c>
      <c r="C63" s="216" t="s">
        <v>395</v>
      </c>
      <c r="D63" s="227" t="s">
        <v>399</v>
      </c>
      <c r="E63" s="227" t="str">
        <f t="shared" si="0"/>
        <v>NON</v>
      </c>
      <c r="F63" s="227">
        <v>690</v>
      </c>
      <c r="G63" s="236">
        <f t="shared" si="1"/>
        <v>20</v>
      </c>
      <c r="H63" s="227">
        <v>2</v>
      </c>
      <c r="I63" s="216">
        <v>2</v>
      </c>
      <c r="J63" s="216">
        <f t="shared" si="2"/>
        <v>4</v>
      </c>
    </row>
    <row r="64" spans="1:10" ht="14.25" customHeight="1">
      <c r="A64" s="228">
        <v>63</v>
      </c>
      <c r="B64" s="216" t="s">
        <v>394</v>
      </c>
      <c r="C64" s="216" t="s">
        <v>395</v>
      </c>
      <c r="D64" s="227" t="s">
        <v>400</v>
      </c>
      <c r="E64" s="227" t="str">
        <f t="shared" si="0"/>
        <v>NON</v>
      </c>
      <c r="F64" s="227">
        <v>780</v>
      </c>
      <c r="G64" s="236">
        <f t="shared" si="1"/>
        <v>20</v>
      </c>
      <c r="H64" s="227">
        <v>2</v>
      </c>
      <c r="I64" s="216">
        <v>2</v>
      </c>
      <c r="J64" s="216">
        <f t="shared" si="2"/>
        <v>4</v>
      </c>
    </row>
    <row r="65" spans="1:10" ht="14.25" customHeight="1">
      <c r="A65" s="228">
        <v>67</v>
      </c>
      <c r="B65" s="225" t="s">
        <v>401</v>
      </c>
      <c r="C65" s="229" t="s">
        <v>402</v>
      </c>
      <c r="D65" s="227" t="s">
        <v>401</v>
      </c>
      <c r="E65" s="227" t="str">
        <f t="shared" si="0"/>
        <v>OUI</v>
      </c>
      <c r="F65" s="227">
        <v>1150</v>
      </c>
      <c r="G65" s="236">
        <f t="shared" si="1"/>
        <v>20</v>
      </c>
      <c r="H65" s="227">
        <v>2</v>
      </c>
      <c r="I65" s="216">
        <v>2</v>
      </c>
      <c r="J65" s="216">
        <f t="shared" si="2"/>
        <v>4</v>
      </c>
    </row>
    <row r="66" spans="1:10" ht="14.25" customHeight="1">
      <c r="A66" s="228">
        <v>64</v>
      </c>
      <c r="B66" s="216" t="s">
        <v>401</v>
      </c>
      <c r="C66" s="216" t="s">
        <v>402</v>
      </c>
      <c r="D66" s="227" t="s">
        <v>403</v>
      </c>
      <c r="E66" s="227" t="str">
        <f t="shared" ref="E66:E116" si="3">IF(D66="","",IF(UPPER(D66)=UPPER(B66),"OUI","NON"))</f>
        <v>NON</v>
      </c>
      <c r="F66" s="227">
        <v>1345</v>
      </c>
      <c r="G66" s="236">
        <f t="shared" si="1"/>
        <v>20</v>
      </c>
      <c r="H66" s="227">
        <v>2</v>
      </c>
      <c r="I66" s="216">
        <v>2</v>
      </c>
      <c r="J66" s="216">
        <f t="shared" si="2"/>
        <v>4</v>
      </c>
    </row>
    <row r="67" spans="1:10" ht="14.25" customHeight="1">
      <c r="A67" s="228">
        <v>65</v>
      </c>
      <c r="B67" s="216" t="s">
        <v>401</v>
      </c>
      <c r="C67" s="216" t="s">
        <v>402</v>
      </c>
      <c r="D67" s="227" t="s">
        <v>404</v>
      </c>
      <c r="E67" s="227" t="str">
        <f t="shared" si="3"/>
        <v>NON</v>
      </c>
      <c r="F67" s="227">
        <v>1275</v>
      </c>
      <c r="G67" s="236">
        <f t="shared" ref="G67:G116" si="4">+$F$2*2</f>
        <v>20</v>
      </c>
      <c r="H67" s="227">
        <v>2</v>
      </c>
      <c r="I67" s="216">
        <v>2</v>
      </c>
      <c r="J67" s="216">
        <f t="shared" ref="J67:J116" si="5">+H67+I67</f>
        <v>4</v>
      </c>
    </row>
    <row r="68" spans="1:10" ht="14.25" customHeight="1">
      <c r="A68" s="228">
        <v>66</v>
      </c>
      <c r="B68" s="216" t="s">
        <v>401</v>
      </c>
      <c r="C68" s="216" t="s">
        <v>402</v>
      </c>
      <c r="D68" s="227" t="s">
        <v>405</v>
      </c>
      <c r="E68" s="227" t="str">
        <f t="shared" si="3"/>
        <v>NON</v>
      </c>
      <c r="F68" s="227">
        <v>940</v>
      </c>
      <c r="G68" s="236">
        <f t="shared" si="4"/>
        <v>20</v>
      </c>
      <c r="H68" s="227">
        <v>2</v>
      </c>
      <c r="I68" s="216">
        <v>2</v>
      </c>
      <c r="J68" s="216">
        <f t="shared" si="5"/>
        <v>4</v>
      </c>
    </row>
    <row r="69" spans="1:10" ht="14.25" customHeight="1">
      <c r="A69" s="228">
        <v>68</v>
      </c>
      <c r="B69" s="216" t="s">
        <v>401</v>
      </c>
      <c r="C69" s="216" t="s">
        <v>402</v>
      </c>
      <c r="D69" s="227" t="s">
        <v>406</v>
      </c>
      <c r="E69" s="227" t="str">
        <f t="shared" si="3"/>
        <v>NON</v>
      </c>
      <c r="F69" s="227">
        <v>1305</v>
      </c>
      <c r="G69" s="236">
        <f t="shared" si="4"/>
        <v>20</v>
      </c>
      <c r="H69" s="227">
        <v>2</v>
      </c>
      <c r="I69" s="216">
        <v>2</v>
      </c>
      <c r="J69" s="216">
        <f t="shared" si="5"/>
        <v>4</v>
      </c>
    </row>
    <row r="70" spans="1:10" ht="14.25" customHeight="1">
      <c r="A70" s="228">
        <v>70</v>
      </c>
      <c r="B70" s="225" t="s">
        <v>407</v>
      </c>
      <c r="C70" s="229" t="s">
        <v>408</v>
      </c>
      <c r="D70" s="227" t="s">
        <v>407</v>
      </c>
      <c r="E70" s="227" t="str">
        <f t="shared" si="3"/>
        <v>OUI</v>
      </c>
      <c r="F70" s="227">
        <v>735</v>
      </c>
      <c r="G70" s="236">
        <f t="shared" si="4"/>
        <v>20</v>
      </c>
      <c r="H70" s="227">
        <v>2</v>
      </c>
      <c r="I70" s="216">
        <v>2</v>
      </c>
      <c r="J70" s="216">
        <f t="shared" si="5"/>
        <v>4</v>
      </c>
    </row>
    <row r="71" spans="1:10" ht="14.25" customHeight="1">
      <c r="A71" s="228">
        <v>69</v>
      </c>
      <c r="B71" s="216" t="s">
        <v>407</v>
      </c>
      <c r="C71" s="216" t="s">
        <v>408</v>
      </c>
      <c r="D71" s="227" t="s">
        <v>409</v>
      </c>
      <c r="E71" s="227" t="str">
        <f t="shared" si="3"/>
        <v>NON</v>
      </c>
      <c r="F71" s="227">
        <v>825</v>
      </c>
      <c r="G71" s="236">
        <f t="shared" si="4"/>
        <v>20</v>
      </c>
      <c r="H71" s="227">
        <v>2</v>
      </c>
      <c r="I71" s="216">
        <v>2</v>
      </c>
      <c r="J71" s="216">
        <f t="shared" si="5"/>
        <v>4</v>
      </c>
    </row>
    <row r="72" spans="1:10" ht="14.25" customHeight="1">
      <c r="A72" s="228">
        <v>71</v>
      </c>
      <c r="B72" s="216" t="s">
        <v>407</v>
      </c>
      <c r="C72" s="216" t="s">
        <v>408</v>
      </c>
      <c r="D72" s="227" t="s">
        <v>410</v>
      </c>
      <c r="E72" s="227" t="str">
        <f t="shared" si="3"/>
        <v>NON</v>
      </c>
      <c r="F72" s="227">
        <v>865</v>
      </c>
      <c r="G72" s="236">
        <f t="shared" si="4"/>
        <v>20</v>
      </c>
      <c r="H72" s="227">
        <v>2</v>
      </c>
      <c r="I72" s="216">
        <v>2</v>
      </c>
      <c r="J72" s="216">
        <f t="shared" si="5"/>
        <v>4</v>
      </c>
    </row>
    <row r="73" spans="1:10" ht="14.25" customHeight="1">
      <c r="A73" s="228">
        <v>72</v>
      </c>
      <c r="B73" s="216" t="s">
        <v>407</v>
      </c>
      <c r="C73" s="216" t="s">
        <v>408</v>
      </c>
      <c r="D73" s="227" t="s">
        <v>411</v>
      </c>
      <c r="E73" s="227" t="str">
        <f t="shared" si="3"/>
        <v>NON</v>
      </c>
      <c r="F73" s="227">
        <v>825</v>
      </c>
      <c r="G73" s="236">
        <f t="shared" si="4"/>
        <v>20</v>
      </c>
      <c r="H73" s="227">
        <v>2</v>
      </c>
      <c r="I73" s="216">
        <v>2</v>
      </c>
      <c r="J73" s="216">
        <f t="shared" si="5"/>
        <v>4</v>
      </c>
    </row>
    <row r="74" spans="1:10" ht="14.25" customHeight="1">
      <c r="A74" s="228">
        <v>73</v>
      </c>
      <c r="B74" s="216" t="s">
        <v>407</v>
      </c>
      <c r="C74" s="216" t="s">
        <v>408</v>
      </c>
      <c r="D74" s="227" t="s">
        <v>412</v>
      </c>
      <c r="E74" s="227" t="str">
        <f t="shared" si="3"/>
        <v>NON</v>
      </c>
      <c r="F74" s="227">
        <v>515</v>
      </c>
      <c r="G74" s="236">
        <f t="shared" si="4"/>
        <v>20</v>
      </c>
      <c r="H74" s="227">
        <v>2</v>
      </c>
      <c r="I74" s="216">
        <v>2</v>
      </c>
      <c r="J74" s="216">
        <f t="shared" si="5"/>
        <v>4</v>
      </c>
    </row>
    <row r="75" spans="1:10" ht="14.25" customHeight="1">
      <c r="A75" s="228">
        <v>74</v>
      </c>
      <c r="B75" s="216" t="s">
        <v>407</v>
      </c>
      <c r="C75" s="216" t="s">
        <v>408</v>
      </c>
      <c r="D75" s="227" t="s">
        <v>413</v>
      </c>
      <c r="E75" s="227" t="str">
        <f t="shared" si="3"/>
        <v>NON</v>
      </c>
      <c r="F75" s="227">
        <v>945</v>
      </c>
      <c r="G75" s="236">
        <f t="shared" si="4"/>
        <v>20</v>
      </c>
      <c r="H75" s="227">
        <v>2</v>
      </c>
      <c r="I75" s="216">
        <v>2</v>
      </c>
      <c r="J75" s="216">
        <f t="shared" si="5"/>
        <v>4</v>
      </c>
    </row>
    <row r="76" spans="1:10" ht="14.25" customHeight="1">
      <c r="A76" s="228">
        <v>75</v>
      </c>
      <c r="B76" s="216" t="s">
        <v>407</v>
      </c>
      <c r="C76" s="216" t="s">
        <v>408</v>
      </c>
      <c r="D76" s="227" t="s">
        <v>414</v>
      </c>
      <c r="E76" s="227" t="str">
        <f t="shared" si="3"/>
        <v>NON</v>
      </c>
      <c r="F76" s="227">
        <v>600</v>
      </c>
      <c r="G76" s="236">
        <f t="shared" si="4"/>
        <v>20</v>
      </c>
      <c r="H76" s="227">
        <v>2</v>
      </c>
      <c r="I76" s="216">
        <v>2</v>
      </c>
      <c r="J76" s="216">
        <f t="shared" si="5"/>
        <v>4</v>
      </c>
    </row>
    <row r="77" spans="1:10" ht="14.25" customHeight="1">
      <c r="A77" s="228">
        <v>76</v>
      </c>
      <c r="B77" s="225" t="s">
        <v>415</v>
      </c>
      <c r="C77" s="229" t="s">
        <v>416</v>
      </c>
      <c r="D77" s="227" t="s">
        <v>415</v>
      </c>
      <c r="E77" s="227" t="str">
        <f t="shared" si="3"/>
        <v>OUI</v>
      </c>
      <c r="F77" s="227">
        <v>275</v>
      </c>
      <c r="G77" s="236">
        <f t="shared" si="4"/>
        <v>20</v>
      </c>
      <c r="H77" s="227">
        <v>2</v>
      </c>
      <c r="I77" s="216">
        <v>2</v>
      </c>
      <c r="J77" s="216">
        <f t="shared" si="5"/>
        <v>4</v>
      </c>
    </row>
    <row r="78" spans="1:10" ht="14.25" customHeight="1">
      <c r="A78" s="228">
        <v>77</v>
      </c>
      <c r="B78" s="216" t="s">
        <v>415</v>
      </c>
      <c r="C78" s="216" t="s">
        <v>416</v>
      </c>
      <c r="D78" s="227" t="s">
        <v>417</v>
      </c>
      <c r="E78" s="227" t="str">
        <f t="shared" si="3"/>
        <v>NON</v>
      </c>
      <c r="F78" s="227">
        <v>300</v>
      </c>
      <c r="G78" s="236">
        <f t="shared" si="4"/>
        <v>20</v>
      </c>
      <c r="H78" s="227">
        <v>2</v>
      </c>
      <c r="I78" s="216">
        <v>2</v>
      </c>
      <c r="J78" s="216">
        <f t="shared" si="5"/>
        <v>4</v>
      </c>
    </row>
    <row r="79" spans="1:10" ht="14.25" customHeight="1">
      <c r="A79" s="228">
        <v>78</v>
      </c>
      <c r="B79" s="216" t="s">
        <v>415</v>
      </c>
      <c r="C79" s="216" t="s">
        <v>416</v>
      </c>
      <c r="D79" s="227" t="s">
        <v>418</v>
      </c>
      <c r="E79" s="227" t="str">
        <f t="shared" si="3"/>
        <v>NON</v>
      </c>
      <c r="F79" s="227">
        <v>420</v>
      </c>
      <c r="G79" s="236">
        <f t="shared" si="4"/>
        <v>20</v>
      </c>
      <c r="H79" s="227">
        <v>2</v>
      </c>
      <c r="I79" s="216">
        <v>2</v>
      </c>
      <c r="J79" s="216">
        <f t="shared" si="5"/>
        <v>4</v>
      </c>
    </row>
    <row r="80" spans="1:10" ht="14.25" customHeight="1">
      <c r="A80" s="228">
        <v>79</v>
      </c>
      <c r="B80" s="216" t="s">
        <v>415</v>
      </c>
      <c r="C80" s="216" t="s">
        <v>416</v>
      </c>
      <c r="D80" s="227" t="s">
        <v>419</v>
      </c>
      <c r="E80" s="227" t="str">
        <f t="shared" si="3"/>
        <v>NON</v>
      </c>
      <c r="F80" s="227">
        <v>186</v>
      </c>
      <c r="G80" s="236">
        <f t="shared" si="4"/>
        <v>20</v>
      </c>
      <c r="H80" s="227">
        <v>2</v>
      </c>
      <c r="I80" s="216">
        <v>2</v>
      </c>
      <c r="J80" s="216">
        <f t="shared" si="5"/>
        <v>4</v>
      </c>
    </row>
    <row r="81" spans="1:10" ht="14.25" customHeight="1">
      <c r="A81" s="228">
        <v>80</v>
      </c>
      <c r="B81" s="216" t="s">
        <v>415</v>
      </c>
      <c r="C81" s="216" t="s">
        <v>416</v>
      </c>
      <c r="D81" s="227" t="s">
        <v>420</v>
      </c>
      <c r="E81" s="227" t="str">
        <f t="shared" si="3"/>
        <v>NON</v>
      </c>
      <c r="F81" s="227">
        <v>115</v>
      </c>
      <c r="G81" s="236">
        <f t="shared" si="4"/>
        <v>20</v>
      </c>
      <c r="H81" s="227">
        <v>1</v>
      </c>
      <c r="I81" s="216">
        <v>0</v>
      </c>
      <c r="J81" s="216">
        <f t="shared" si="5"/>
        <v>1</v>
      </c>
    </row>
    <row r="82" spans="1:10" ht="14.25" customHeight="1">
      <c r="A82" s="228">
        <v>81</v>
      </c>
      <c r="B82" s="225" t="s">
        <v>421</v>
      </c>
      <c r="C82" s="229" t="s">
        <v>422</v>
      </c>
      <c r="D82" s="227" t="s">
        <v>421</v>
      </c>
      <c r="E82" s="227" t="str">
        <f t="shared" si="3"/>
        <v>OUI</v>
      </c>
      <c r="F82" s="227">
        <v>475</v>
      </c>
      <c r="G82" s="236">
        <f t="shared" si="4"/>
        <v>20</v>
      </c>
      <c r="H82" s="227">
        <v>2</v>
      </c>
      <c r="I82" s="216">
        <v>1</v>
      </c>
      <c r="J82" s="216">
        <f t="shared" si="5"/>
        <v>3</v>
      </c>
    </row>
    <row r="83" spans="1:10" ht="14.25" customHeight="1">
      <c r="A83" s="228">
        <v>82</v>
      </c>
      <c r="B83" s="216" t="s">
        <v>421</v>
      </c>
      <c r="C83" s="216" t="s">
        <v>422</v>
      </c>
      <c r="D83" s="227" t="s">
        <v>423</v>
      </c>
      <c r="E83" s="227" t="str">
        <f t="shared" si="3"/>
        <v>NON</v>
      </c>
      <c r="F83" s="227">
        <v>665</v>
      </c>
      <c r="G83" s="236">
        <f t="shared" si="4"/>
        <v>20</v>
      </c>
      <c r="H83" s="227">
        <v>2</v>
      </c>
      <c r="I83" s="216">
        <v>1</v>
      </c>
      <c r="J83" s="216">
        <f t="shared" si="5"/>
        <v>3</v>
      </c>
    </row>
    <row r="84" spans="1:10" ht="14.25" customHeight="1">
      <c r="A84" s="228">
        <v>83</v>
      </c>
      <c r="B84" s="216" t="s">
        <v>421</v>
      </c>
      <c r="C84" s="216" t="s">
        <v>422</v>
      </c>
      <c r="D84" s="227" t="s">
        <v>424</v>
      </c>
      <c r="E84" s="227" t="str">
        <f t="shared" si="3"/>
        <v>NON</v>
      </c>
      <c r="F84" s="227">
        <v>780</v>
      </c>
      <c r="G84" s="236">
        <f t="shared" si="4"/>
        <v>20</v>
      </c>
      <c r="H84" s="227">
        <v>2</v>
      </c>
      <c r="I84" s="216">
        <v>1</v>
      </c>
      <c r="J84" s="216">
        <f t="shared" si="5"/>
        <v>3</v>
      </c>
    </row>
    <row r="85" spans="1:10" ht="14.25" customHeight="1">
      <c r="A85" s="228">
        <v>84</v>
      </c>
      <c r="B85" s="216" t="s">
        <v>421</v>
      </c>
      <c r="C85" s="216" t="s">
        <v>422</v>
      </c>
      <c r="D85" s="227" t="s">
        <v>425</v>
      </c>
      <c r="E85" s="227" t="str">
        <f t="shared" si="3"/>
        <v>NON</v>
      </c>
      <c r="F85" s="227">
        <v>400</v>
      </c>
      <c r="G85" s="236">
        <f t="shared" si="4"/>
        <v>20</v>
      </c>
      <c r="H85" s="227">
        <v>2</v>
      </c>
      <c r="I85" s="216">
        <v>1</v>
      </c>
      <c r="J85" s="216">
        <f t="shared" si="5"/>
        <v>3</v>
      </c>
    </row>
    <row r="86" spans="1:10" ht="14.25" customHeight="1">
      <c r="A86" s="228">
        <v>85</v>
      </c>
      <c r="B86" s="216" t="s">
        <v>421</v>
      </c>
      <c r="C86" s="216" t="s">
        <v>422</v>
      </c>
      <c r="D86" s="227" t="s">
        <v>426</v>
      </c>
      <c r="E86" s="227" t="str">
        <f t="shared" si="3"/>
        <v>NON</v>
      </c>
      <c r="F86" s="227">
        <v>535</v>
      </c>
      <c r="G86" s="236">
        <f t="shared" si="4"/>
        <v>20</v>
      </c>
      <c r="H86" s="227">
        <v>2</v>
      </c>
      <c r="I86" s="216">
        <v>1</v>
      </c>
      <c r="J86" s="216">
        <f t="shared" si="5"/>
        <v>3</v>
      </c>
    </row>
    <row r="87" spans="1:10" ht="14.25" customHeight="1">
      <c r="A87" s="228">
        <v>86</v>
      </c>
      <c r="B87" s="216" t="s">
        <v>421</v>
      </c>
      <c r="C87" s="216" t="s">
        <v>422</v>
      </c>
      <c r="D87" s="227" t="s">
        <v>427</v>
      </c>
      <c r="E87" s="227" t="str">
        <f t="shared" si="3"/>
        <v>NON</v>
      </c>
      <c r="F87" s="227">
        <v>525</v>
      </c>
      <c r="G87" s="236">
        <f t="shared" si="4"/>
        <v>20</v>
      </c>
      <c r="H87" s="227">
        <v>2</v>
      </c>
      <c r="I87" s="216">
        <v>1</v>
      </c>
      <c r="J87" s="216">
        <f t="shared" si="5"/>
        <v>3</v>
      </c>
    </row>
    <row r="88" spans="1:10" ht="14.25" customHeight="1">
      <c r="A88" s="228">
        <v>91</v>
      </c>
      <c r="B88" s="225" t="s">
        <v>428</v>
      </c>
      <c r="C88" s="229" t="s">
        <v>429</v>
      </c>
      <c r="D88" s="227" t="s">
        <v>428</v>
      </c>
      <c r="E88" s="227" t="str">
        <f t="shared" si="3"/>
        <v>OUI</v>
      </c>
      <c r="F88" s="227">
        <v>370</v>
      </c>
      <c r="G88" s="236">
        <f t="shared" si="4"/>
        <v>20</v>
      </c>
      <c r="H88" s="227">
        <v>1</v>
      </c>
      <c r="I88" s="216">
        <v>1</v>
      </c>
      <c r="J88" s="216">
        <f t="shared" si="5"/>
        <v>2</v>
      </c>
    </row>
    <row r="89" spans="1:10" ht="14.25" customHeight="1">
      <c r="A89" s="228">
        <v>92</v>
      </c>
      <c r="B89" s="216" t="s">
        <v>428</v>
      </c>
      <c r="C89" s="216" t="s">
        <v>429</v>
      </c>
      <c r="D89" s="227" t="s">
        <v>430</v>
      </c>
      <c r="E89" s="227" t="str">
        <f t="shared" si="3"/>
        <v>NON</v>
      </c>
      <c r="F89" s="227">
        <v>370</v>
      </c>
      <c r="G89" s="236">
        <f t="shared" si="4"/>
        <v>20</v>
      </c>
      <c r="H89" s="227">
        <v>1</v>
      </c>
      <c r="I89" s="216">
        <v>1</v>
      </c>
      <c r="J89" s="216">
        <f t="shared" si="5"/>
        <v>2</v>
      </c>
    </row>
    <row r="90" spans="1:10" ht="14.25" customHeight="1">
      <c r="A90" s="228">
        <v>87</v>
      </c>
      <c r="B90" s="216" t="s">
        <v>428</v>
      </c>
      <c r="C90" s="216" t="s">
        <v>429</v>
      </c>
      <c r="D90" s="227" t="s">
        <v>431</v>
      </c>
      <c r="E90" s="227" t="str">
        <f t="shared" si="3"/>
        <v>NON</v>
      </c>
      <c r="F90" s="227">
        <v>395</v>
      </c>
      <c r="G90" s="236">
        <f t="shared" si="4"/>
        <v>20</v>
      </c>
      <c r="H90" s="227">
        <v>2</v>
      </c>
      <c r="I90" s="216">
        <v>2</v>
      </c>
      <c r="J90" s="216">
        <f t="shared" si="5"/>
        <v>4</v>
      </c>
    </row>
    <row r="91" spans="1:10" ht="14.25" customHeight="1">
      <c r="A91" s="228">
        <v>88</v>
      </c>
      <c r="B91" s="216" t="s">
        <v>428</v>
      </c>
      <c r="C91" s="216" t="s">
        <v>429</v>
      </c>
      <c r="D91" s="227" t="s">
        <v>432</v>
      </c>
      <c r="E91" s="227" t="str">
        <f t="shared" si="3"/>
        <v>NON</v>
      </c>
      <c r="F91" s="227">
        <v>235</v>
      </c>
      <c r="G91" s="236">
        <f t="shared" si="4"/>
        <v>20</v>
      </c>
      <c r="H91" s="227">
        <v>1</v>
      </c>
      <c r="I91" s="216">
        <v>0</v>
      </c>
      <c r="J91" s="216">
        <f t="shared" si="5"/>
        <v>1</v>
      </c>
    </row>
    <row r="92" spans="1:10" ht="14.25" customHeight="1">
      <c r="A92" s="228">
        <v>89</v>
      </c>
      <c r="B92" s="216" t="s">
        <v>428</v>
      </c>
      <c r="C92" s="216" t="s">
        <v>429</v>
      </c>
      <c r="D92" s="227" t="s">
        <v>433</v>
      </c>
      <c r="E92" s="227" t="str">
        <f t="shared" si="3"/>
        <v>NON</v>
      </c>
      <c r="F92" s="227">
        <v>390</v>
      </c>
      <c r="G92" s="236">
        <f t="shared" si="4"/>
        <v>20</v>
      </c>
      <c r="H92" s="227">
        <v>1</v>
      </c>
      <c r="I92" s="216">
        <v>1</v>
      </c>
      <c r="J92" s="216">
        <f t="shared" si="5"/>
        <v>2</v>
      </c>
    </row>
    <row r="93" spans="1:10" ht="14.25" customHeight="1">
      <c r="A93" s="228">
        <v>90</v>
      </c>
      <c r="B93" s="216" t="s">
        <v>428</v>
      </c>
      <c r="C93" s="216" t="s">
        <v>429</v>
      </c>
      <c r="D93" s="227" t="s">
        <v>434</v>
      </c>
      <c r="E93" s="227" t="str">
        <f t="shared" si="3"/>
        <v>NON</v>
      </c>
      <c r="F93" s="227">
        <v>420</v>
      </c>
      <c r="G93" s="236">
        <f t="shared" si="4"/>
        <v>20</v>
      </c>
      <c r="H93" s="227">
        <v>2</v>
      </c>
      <c r="I93" s="216">
        <v>1</v>
      </c>
      <c r="J93" s="216">
        <f t="shared" si="5"/>
        <v>3</v>
      </c>
    </row>
    <row r="94" spans="1:10" ht="14.25" customHeight="1">
      <c r="A94" s="228">
        <v>93</v>
      </c>
      <c r="B94" s="216" t="s">
        <v>428</v>
      </c>
      <c r="C94" s="216" t="s">
        <v>429</v>
      </c>
      <c r="D94" s="227" t="s">
        <v>435</v>
      </c>
      <c r="E94" s="227" t="str">
        <f t="shared" si="3"/>
        <v>NON</v>
      </c>
      <c r="F94" s="227">
        <v>320</v>
      </c>
      <c r="G94" s="236">
        <f t="shared" si="4"/>
        <v>20</v>
      </c>
      <c r="H94" s="227">
        <v>2</v>
      </c>
      <c r="I94" s="216">
        <v>1</v>
      </c>
      <c r="J94" s="216">
        <f t="shared" si="5"/>
        <v>3</v>
      </c>
    </row>
    <row r="95" spans="1:10" ht="14.25" customHeight="1">
      <c r="A95" s="228">
        <v>94</v>
      </c>
      <c r="B95" s="225" t="s">
        <v>436</v>
      </c>
      <c r="C95" s="229" t="s">
        <v>437</v>
      </c>
      <c r="D95" s="227" t="s">
        <v>436</v>
      </c>
      <c r="E95" s="227" t="str">
        <f t="shared" si="3"/>
        <v>OUI</v>
      </c>
      <c r="F95" s="227">
        <v>1030</v>
      </c>
      <c r="G95" s="236">
        <f t="shared" si="4"/>
        <v>20</v>
      </c>
      <c r="H95" s="227">
        <v>3</v>
      </c>
      <c r="I95" s="216">
        <v>2</v>
      </c>
      <c r="J95" s="216">
        <f t="shared" si="5"/>
        <v>5</v>
      </c>
    </row>
    <row r="96" spans="1:10" ht="14.25" customHeight="1">
      <c r="A96" s="228">
        <v>95</v>
      </c>
      <c r="B96" s="216" t="s">
        <v>436</v>
      </c>
      <c r="C96" s="216" t="s">
        <v>437</v>
      </c>
      <c r="D96" s="227" t="s">
        <v>438</v>
      </c>
      <c r="E96" s="227" t="str">
        <f t="shared" si="3"/>
        <v>NON</v>
      </c>
      <c r="F96" s="227">
        <v>730</v>
      </c>
      <c r="G96" s="236">
        <f t="shared" si="4"/>
        <v>20</v>
      </c>
      <c r="H96" s="227">
        <v>3</v>
      </c>
      <c r="I96" s="216">
        <v>2</v>
      </c>
      <c r="J96" s="216">
        <f t="shared" si="5"/>
        <v>5</v>
      </c>
    </row>
    <row r="97" spans="1:10" ht="14.25" customHeight="1">
      <c r="A97" s="228">
        <v>96</v>
      </c>
      <c r="B97" s="216" t="s">
        <v>436</v>
      </c>
      <c r="C97" s="216" t="s">
        <v>437</v>
      </c>
      <c r="D97" s="227" t="s">
        <v>439</v>
      </c>
      <c r="E97" s="227" t="str">
        <f t="shared" si="3"/>
        <v>NON</v>
      </c>
      <c r="F97" s="227">
        <v>1260</v>
      </c>
      <c r="G97" s="236">
        <f t="shared" si="4"/>
        <v>20</v>
      </c>
      <c r="H97" s="227">
        <v>3</v>
      </c>
      <c r="I97" s="216">
        <v>2</v>
      </c>
      <c r="J97" s="216">
        <f t="shared" si="5"/>
        <v>5</v>
      </c>
    </row>
    <row r="98" spans="1:10" ht="14.25" customHeight="1">
      <c r="A98" s="228">
        <v>97</v>
      </c>
      <c r="B98" s="216" t="s">
        <v>436</v>
      </c>
      <c r="C98" s="216" t="s">
        <v>437</v>
      </c>
      <c r="D98" s="227" t="s">
        <v>440</v>
      </c>
      <c r="E98" s="227" t="str">
        <f t="shared" si="3"/>
        <v>NON</v>
      </c>
      <c r="F98" s="227">
        <v>1315</v>
      </c>
      <c r="G98" s="236">
        <f t="shared" si="4"/>
        <v>20</v>
      </c>
      <c r="H98" s="227">
        <v>3</v>
      </c>
      <c r="I98" s="216">
        <v>2</v>
      </c>
      <c r="J98" s="216">
        <f t="shared" si="5"/>
        <v>5</v>
      </c>
    </row>
    <row r="99" spans="1:10" ht="14.25" customHeight="1">
      <c r="A99" s="228"/>
      <c r="B99" s="216" t="s">
        <v>436</v>
      </c>
      <c r="C99" s="216" t="s">
        <v>437</v>
      </c>
      <c r="D99" s="227" t="s">
        <v>441</v>
      </c>
      <c r="E99" s="227" t="str">
        <f t="shared" si="3"/>
        <v>NON</v>
      </c>
      <c r="F99" s="227">
        <v>945</v>
      </c>
      <c r="G99" s="236">
        <f t="shared" si="4"/>
        <v>20</v>
      </c>
      <c r="H99" s="227">
        <v>3</v>
      </c>
      <c r="I99" s="216">
        <v>2</v>
      </c>
      <c r="J99" s="216">
        <f t="shared" si="5"/>
        <v>5</v>
      </c>
    </row>
    <row r="100" spans="1:10" ht="14.25" customHeight="1">
      <c r="A100" s="228">
        <v>100</v>
      </c>
      <c r="B100" s="225" t="s">
        <v>442</v>
      </c>
      <c r="C100" s="229" t="s">
        <v>443</v>
      </c>
      <c r="D100" s="227" t="s">
        <v>442</v>
      </c>
      <c r="E100" s="227" t="str">
        <f t="shared" si="3"/>
        <v>OUI</v>
      </c>
      <c r="F100" s="227">
        <v>1140</v>
      </c>
      <c r="G100" s="236">
        <f t="shared" si="4"/>
        <v>20</v>
      </c>
      <c r="H100" s="227">
        <v>3</v>
      </c>
      <c r="I100" s="216">
        <v>2</v>
      </c>
      <c r="J100" s="216">
        <f t="shared" si="5"/>
        <v>5</v>
      </c>
    </row>
    <row r="101" spans="1:10" ht="14.25" customHeight="1">
      <c r="A101" s="228">
        <v>98</v>
      </c>
      <c r="B101" s="216" t="s">
        <v>442</v>
      </c>
      <c r="C101" s="216" t="s">
        <v>443</v>
      </c>
      <c r="D101" s="227" t="s">
        <v>444</v>
      </c>
      <c r="E101" s="227" t="str">
        <f t="shared" si="3"/>
        <v>NON</v>
      </c>
      <c r="F101" s="227">
        <v>955</v>
      </c>
      <c r="G101" s="236">
        <f t="shared" si="4"/>
        <v>20</v>
      </c>
      <c r="H101" s="227">
        <v>3</v>
      </c>
      <c r="I101" s="216">
        <v>2</v>
      </c>
      <c r="J101" s="216">
        <f t="shared" si="5"/>
        <v>5</v>
      </c>
    </row>
    <row r="102" spans="1:10" ht="14.25" customHeight="1">
      <c r="A102" s="228">
        <v>99</v>
      </c>
      <c r="B102" s="216" t="s">
        <v>442</v>
      </c>
      <c r="C102" s="216" t="s">
        <v>443</v>
      </c>
      <c r="D102" s="227" t="s">
        <v>445</v>
      </c>
      <c r="E102" s="227" t="str">
        <f t="shared" si="3"/>
        <v>NON</v>
      </c>
      <c r="F102" s="227">
        <v>760</v>
      </c>
      <c r="G102" s="236">
        <f t="shared" si="4"/>
        <v>20</v>
      </c>
      <c r="H102" s="227">
        <v>2</v>
      </c>
      <c r="I102" s="216">
        <v>1</v>
      </c>
      <c r="J102" s="216">
        <f t="shared" si="5"/>
        <v>3</v>
      </c>
    </row>
    <row r="103" spans="1:10" ht="14.25" customHeight="1">
      <c r="A103" s="228">
        <v>108</v>
      </c>
      <c r="B103" s="225" t="s">
        <v>446</v>
      </c>
      <c r="C103" s="229" t="s">
        <v>447</v>
      </c>
      <c r="D103" s="227" t="s">
        <v>446</v>
      </c>
      <c r="E103" s="227" t="str">
        <f t="shared" si="3"/>
        <v>OUI</v>
      </c>
      <c r="F103" s="227">
        <v>975</v>
      </c>
      <c r="G103" s="236">
        <f t="shared" si="4"/>
        <v>20</v>
      </c>
      <c r="H103" s="227">
        <v>2</v>
      </c>
      <c r="I103" s="216">
        <v>1</v>
      </c>
      <c r="J103" s="216">
        <f t="shared" si="5"/>
        <v>3</v>
      </c>
    </row>
    <row r="104" spans="1:10" ht="14.25" customHeight="1">
      <c r="A104" s="228">
        <v>109</v>
      </c>
      <c r="B104" s="216" t="s">
        <v>446</v>
      </c>
      <c r="C104" s="216" t="s">
        <v>447</v>
      </c>
      <c r="D104" s="227" t="s">
        <v>448</v>
      </c>
      <c r="E104" s="227" t="str">
        <f t="shared" si="3"/>
        <v>NON</v>
      </c>
      <c r="F104" s="227">
        <v>975</v>
      </c>
      <c r="G104" s="236">
        <f t="shared" si="4"/>
        <v>20</v>
      </c>
      <c r="H104" s="227">
        <v>2</v>
      </c>
      <c r="I104" s="216">
        <v>1</v>
      </c>
      <c r="J104" s="216">
        <f t="shared" si="5"/>
        <v>3</v>
      </c>
    </row>
    <row r="105" spans="1:10" ht="14.25" customHeight="1">
      <c r="A105" s="228">
        <v>101</v>
      </c>
      <c r="B105" s="216" t="s">
        <v>446</v>
      </c>
      <c r="C105" s="216" t="s">
        <v>447</v>
      </c>
      <c r="D105" s="227" t="s">
        <v>449</v>
      </c>
      <c r="E105" s="227" t="str">
        <f t="shared" si="3"/>
        <v>NON</v>
      </c>
      <c r="F105" s="227">
        <v>1135</v>
      </c>
      <c r="G105" s="236">
        <f t="shared" si="4"/>
        <v>20</v>
      </c>
      <c r="H105" s="227">
        <v>2</v>
      </c>
      <c r="I105" s="216">
        <v>2</v>
      </c>
      <c r="J105" s="216">
        <f t="shared" si="5"/>
        <v>4</v>
      </c>
    </row>
    <row r="106" spans="1:10" ht="14.25" customHeight="1">
      <c r="A106" s="228">
        <v>102</v>
      </c>
      <c r="B106" s="216" t="s">
        <v>446</v>
      </c>
      <c r="C106" s="216" t="s">
        <v>447</v>
      </c>
      <c r="D106" s="227" t="s">
        <v>450</v>
      </c>
      <c r="E106" s="227" t="str">
        <f t="shared" si="3"/>
        <v>NON</v>
      </c>
      <c r="F106" s="227">
        <v>965</v>
      </c>
      <c r="G106" s="236">
        <f t="shared" si="4"/>
        <v>20</v>
      </c>
      <c r="H106" s="227">
        <v>2</v>
      </c>
      <c r="I106" s="216">
        <v>2</v>
      </c>
      <c r="J106" s="216">
        <f t="shared" si="5"/>
        <v>4</v>
      </c>
    </row>
    <row r="107" spans="1:10" ht="14.25" customHeight="1">
      <c r="A107" s="228">
        <v>103</v>
      </c>
      <c r="B107" s="216" t="s">
        <v>446</v>
      </c>
      <c r="C107" s="216" t="s">
        <v>447</v>
      </c>
      <c r="D107" s="227" t="s">
        <v>451</v>
      </c>
      <c r="E107" s="227" t="str">
        <f t="shared" si="3"/>
        <v>NON</v>
      </c>
      <c r="F107" s="227">
        <v>1065</v>
      </c>
      <c r="G107" s="236">
        <f t="shared" si="4"/>
        <v>20</v>
      </c>
      <c r="H107" s="227">
        <v>2</v>
      </c>
      <c r="I107" s="216">
        <v>2</v>
      </c>
      <c r="J107" s="216">
        <f t="shared" si="5"/>
        <v>4</v>
      </c>
    </row>
    <row r="108" spans="1:10" ht="14.25" customHeight="1">
      <c r="A108" s="228">
        <v>104</v>
      </c>
      <c r="B108" s="216" t="s">
        <v>446</v>
      </c>
      <c r="C108" s="216" t="s">
        <v>447</v>
      </c>
      <c r="D108" s="227" t="s">
        <v>452</v>
      </c>
      <c r="E108" s="227" t="str">
        <f t="shared" si="3"/>
        <v>NON</v>
      </c>
      <c r="F108" s="227">
        <v>1060</v>
      </c>
      <c r="G108" s="236">
        <f t="shared" si="4"/>
        <v>20</v>
      </c>
      <c r="H108" s="227">
        <v>2</v>
      </c>
      <c r="I108" s="216">
        <v>2</v>
      </c>
      <c r="J108" s="216">
        <f t="shared" si="5"/>
        <v>4</v>
      </c>
    </row>
    <row r="109" spans="1:10" ht="14.25" customHeight="1">
      <c r="A109" s="228">
        <v>105</v>
      </c>
      <c r="B109" s="216" t="s">
        <v>446</v>
      </c>
      <c r="C109" s="216" t="s">
        <v>447</v>
      </c>
      <c r="D109" s="227" t="s">
        <v>453</v>
      </c>
      <c r="E109" s="227" t="str">
        <f t="shared" si="3"/>
        <v>NON</v>
      </c>
      <c r="F109" s="227">
        <v>1000</v>
      </c>
      <c r="G109" s="236">
        <f t="shared" si="4"/>
        <v>20</v>
      </c>
      <c r="H109" s="227">
        <v>2</v>
      </c>
      <c r="I109" s="216">
        <v>2</v>
      </c>
      <c r="J109" s="216">
        <f t="shared" si="5"/>
        <v>4</v>
      </c>
    </row>
    <row r="110" spans="1:10" ht="14.25" customHeight="1">
      <c r="A110" s="228">
        <v>106</v>
      </c>
      <c r="B110" s="216" t="s">
        <v>446</v>
      </c>
      <c r="C110" s="216" t="s">
        <v>447</v>
      </c>
      <c r="D110" s="227" t="s">
        <v>454</v>
      </c>
      <c r="E110" s="227" t="str">
        <f t="shared" si="3"/>
        <v>NON</v>
      </c>
      <c r="F110" s="227">
        <v>1260</v>
      </c>
      <c r="G110" s="236">
        <f t="shared" si="4"/>
        <v>20</v>
      </c>
      <c r="H110" s="227">
        <v>2</v>
      </c>
      <c r="I110" s="216">
        <v>1</v>
      </c>
      <c r="J110" s="216">
        <f t="shared" si="5"/>
        <v>3</v>
      </c>
    </row>
    <row r="111" spans="1:10" ht="14.25" customHeight="1">
      <c r="A111" s="228">
        <v>107</v>
      </c>
      <c r="B111" s="216" t="s">
        <v>446</v>
      </c>
      <c r="C111" s="216" t="s">
        <v>447</v>
      </c>
      <c r="D111" s="227" t="s">
        <v>455</v>
      </c>
      <c r="E111" s="227" t="str">
        <f t="shared" si="3"/>
        <v>NON</v>
      </c>
      <c r="F111" s="227">
        <v>840</v>
      </c>
      <c r="G111" s="236">
        <f t="shared" si="4"/>
        <v>20</v>
      </c>
      <c r="H111" s="227">
        <v>2</v>
      </c>
      <c r="I111" s="216">
        <v>1</v>
      </c>
      <c r="J111" s="216">
        <f t="shared" si="5"/>
        <v>3</v>
      </c>
    </row>
    <row r="112" spans="1:10" ht="14.25" customHeight="1">
      <c r="A112" s="228">
        <v>114</v>
      </c>
      <c r="B112" s="225" t="s">
        <v>456</v>
      </c>
      <c r="C112" s="229" t="s">
        <v>457</v>
      </c>
      <c r="D112" s="227" t="s">
        <v>456</v>
      </c>
      <c r="E112" s="227" t="str">
        <f t="shared" si="3"/>
        <v>OUI</v>
      </c>
      <c r="F112" s="227">
        <v>699</v>
      </c>
      <c r="G112" s="236">
        <f t="shared" si="4"/>
        <v>20</v>
      </c>
      <c r="H112" s="227">
        <v>2</v>
      </c>
      <c r="I112" s="216">
        <v>2</v>
      </c>
      <c r="J112" s="216">
        <f t="shared" si="5"/>
        <v>4</v>
      </c>
    </row>
    <row r="113" spans="1:10" ht="14.25" customHeight="1">
      <c r="A113" s="228">
        <v>110</v>
      </c>
      <c r="B113" s="230" t="s">
        <v>456</v>
      </c>
      <c r="C113" s="231" t="s">
        <v>457</v>
      </c>
      <c r="D113" s="227" t="s">
        <v>458</v>
      </c>
      <c r="E113" s="227" t="str">
        <f t="shared" si="3"/>
        <v>NON</v>
      </c>
      <c r="F113" s="227">
        <v>744</v>
      </c>
      <c r="G113" s="236">
        <f t="shared" si="4"/>
        <v>20</v>
      </c>
      <c r="H113" s="227">
        <v>2</v>
      </c>
      <c r="I113" s="216">
        <v>1</v>
      </c>
      <c r="J113" s="216">
        <f t="shared" si="5"/>
        <v>3</v>
      </c>
    </row>
    <row r="114" spans="1:10" ht="14.25" customHeight="1">
      <c r="A114" s="228">
        <v>111</v>
      </c>
      <c r="B114" s="230" t="s">
        <v>456</v>
      </c>
      <c r="C114" s="231" t="s">
        <v>457</v>
      </c>
      <c r="D114" s="227" t="s">
        <v>459</v>
      </c>
      <c r="E114" s="227" t="str">
        <f t="shared" si="3"/>
        <v>NON</v>
      </c>
      <c r="F114" s="227">
        <v>644</v>
      </c>
      <c r="G114" s="236">
        <f t="shared" si="4"/>
        <v>20</v>
      </c>
      <c r="H114" s="227">
        <v>2</v>
      </c>
      <c r="I114" s="216">
        <v>1</v>
      </c>
      <c r="J114" s="216">
        <f t="shared" si="5"/>
        <v>3</v>
      </c>
    </row>
    <row r="115" spans="1:10" ht="14.25" customHeight="1">
      <c r="A115" s="228">
        <v>112</v>
      </c>
      <c r="B115" s="230" t="s">
        <v>456</v>
      </c>
      <c r="C115" s="231" t="s">
        <v>457</v>
      </c>
      <c r="D115" s="227" t="s">
        <v>460</v>
      </c>
      <c r="E115" s="227" t="str">
        <f t="shared" si="3"/>
        <v>NON</v>
      </c>
      <c r="F115" s="227">
        <v>1265</v>
      </c>
      <c r="G115" s="236">
        <f t="shared" si="4"/>
        <v>20</v>
      </c>
      <c r="H115" s="227">
        <v>2</v>
      </c>
      <c r="I115" s="216">
        <v>2</v>
      </c>
      <c r="J115" s="216">
        <f t="shared" si="5"/>
        <v>4</v>
      </c>
    </row>
    <row r="116" spans="1:10" ht="14.25" customHeight="1">
      <c r="A116" s="228">
        <v>113</v>
      </c>
      <c r="B116" s="232" t="s">
        <v>456</v>
      </c>
      <c r="C116" s="233" t="s">
        <v>457</v>
      </c>
      <c r="D116" s="227" t="s">
        <v>461</v>
      </c>
      <c r="E116" s="227" t="str">
        <f t="shared" si="3"/>
        <v>NON</v>
      </c>
      <c r="F116" s="227">
        <v>409</v>
      </c>
      <c r="G116" s="236">
        <f t="shared" si="4"/>
        <v>20</v>
      </c>
      <c r="H116" s="227">
        <v>1</v>
      </c>
      <c r="I116" s="216">
        <v>1</v>
      </c>
      <c r="J116" s="216">
        <f t="shared" si="5"/>
        <v>2</v>
      </c>
    </row>
  </sheetData>
  <hyperlinks>
    <hyperlink ref="A1" location="'ACCUEIL'!A1" display="N°" xr:uid="{45B99814-B08D-4CD1-A870-8741BCCA423D}"/>
    <hyperlink ref="M1" location="'ACCUEIL'!A1" display="↩ RETOUR AU MENU" xr:uid="{23E0640C-C35D-4020-B677-95D922F733DD}"/>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5"/>
  <sheetViews>
    <sheetView workbookViewId="0">
      <selection activeCell="B4" sqref="B4"/>
    </sheetView>
  </sheetViews>
  <sheetFormatPr baseColWidth="10" defaultColWidth="8.796875" defaultRowHeight="13.8"/>
  <cols>
    <col min="1" max="2" width="22" customWidth="1"/>
    <col min="3" max="3" width="36.796875" bestFit="1" customWidth="1"/>
    <col min="4" max="4" width="35.8984375" customWidth="1"/>
    <col min="5" max="6" width="22.19921875" customWidth="1"/>
    <col min="7" max="10" width="22" customWidth="1"/>
    <col min="11" max="11" width="23.69921875" customWidth="1"/>
  </cols>
  <sheetData>
    <row r="1" spans="1:10" ht="27.6">
      <c r="A1" s="2" t="s">
        <v>173</v>
      </c>
      <c r="B1" s="2" t="s">
        <v>501</v>
      </c>
      <c r="C1" s="2" t="s">
        <v>142</v>
      </c>
      <c r="D1" s="2" t="s">
        <v>143</v>
      </c>
      <c r="E1" s="2" t="s">
        <v>149</v>
      </c>
      <c r="F1" s="2" t="s">
        <v>187</v>
      </c>
      <c r="G1" s="1" t="s">
        <v>14</v>
      </c>
      <c r="H1" s="1" t="s">
        <v>15</v>
      </c>
      <c r="I1" s="1" t="s">
        <v>8</v>
      </c>
      <c r="J1" s="1" t="s">
        <v>42</v>
      </c>
    </row>
    <row r="2" spans="1:10">
      <c r="A2" t="s">
        <v>177</v>
      </c>
      <c r="B2" t="s">
        <v>266</v>
      </c>
      <c r="C2" t="s">
        <v>116</v>
      </c>
      <c r="D2" t="s">
        <v>145</v>
      </c>
      <c r="E2" t="s">
        <v>147</v>
      </c>
      <c r="F2" t="s">
        <v>43</v>
      </c>
      <c r="G2" t="s">
        <v>43</v>
      </c>
      <c r="H2" t="s">
        <v>43</v>
      </c>
      <c r="I2" t="s">
        <v>137</v>
      </c>
      <c r="J2" t="s">
        <v>45</v>
      </c>
    </row>
    <row r="3" spans="1:10">
      <c r="A3" t="s">
        <v>174</v>
      </c>
      <c r="B3" t="s">
        <v>502</v>
      </c>
      <c r="C3" t="s">
        <v>116</v>
      </c>
      <c r="D3" t="s">
        <v>146</v>
      </c>
      <c r="E3" t="s">
        <v>148</v>
      </c>
      <c r="F3" t="s">
        <v>46</v>
      </c>
      <c r="G3" t="s">
        <v>46</v>
      </c>
      <c r="H3" t="s">
        <v>46</v>
      </c>
      <c r="I3" t="s">
        <v>136</v>
      </c>
      <c r="J3" t="s">
        <v>47</v>
      </c>
    </row>
    <row r="4" spans="1:10">
      <c r="A4" t="s">
        <v>175</v>
      </c>
      <c r="B4" t="s">
        <v>503</v>
      </c>
      <c r="C4" t="s">
        <v>116</v>
      </c>
      <c r="D4" t="s">
        <v>144</v>
      </c>
      <c r="G4" t="s">
        <v>140</v>
      </c>
      <c r="H4" t="s">
        <v>140</v>
      </c>
      <c r="I4" t="s">
        <v>48</v>
      </c>
    </row>
    <row r="5" spans="1:10">
      <c r="A5" t="s">
        <v>176</v>
      </c>
      <c r="B5" t="s">
        <v>504</v>
      </c>
      <c r="C5" t="s">
        <v>116</v>
      </c>
      <c r="D5" t="s">
        <v>150</v>
      </c>
      <c r="I5" t="s">
        <v>49</v>
      </c>
    </row>
    <row r="6" spans="1:10">
      <c r="A6" t="s">
        <v>207</v>
      </c>
      <c r="B6" t="s">
        <v>505</v>
      </c>
      <c r="C6" t="s">
        <v>117</v>
      </c>
      <c r="D6" t="s">
        <v>151</v>
      </c>
      <c r="I6" t="s">
        <v>50</v>
      </c>
    </row>
    <row r="7" spans="1:10">
      <c r="B7" t="s">
        <v>113</v>
      </c>
      <c r="C7" t="s">
        <v>117</v>
      </c>
      <c r="D7" t="s">
        <v>152</v>
      </c>
      <c r="I7" t="s">
        <v>138</v>
      </c>
    </row>
    <row r="8" spans="1:10">
      <c r="C8" t="s">
        <v>117</v>
      </c>
      <c r="D8" t="s">
        <v>153</v>
      </c>
      <c r="I8" t="s">
        <v>51</v>
      </c>
    </row>
    <row r="9" spans="1:10">
      <c r="C9" t="s">
        <v>117</v>
      </c>
      <c r="D9" t="s">
        <v>154</v>
      </c>
      <c r="I9" t="s">
        <v>133</v>
      </c>
    </row>
    <row r="10" spans="1:10">
      <c r="C10" t="s">
        <v>117</v>
      </c>
      <c r="D10" t="s">
        <v>155</v>
      </c>
      <c r="I10" t="s">
        <v>134</v>
      </c>
    </row>
    <row r="11" spans="1:10">
      <c r="C11" t="s">
        <v>117</v>
      </c>
      <c r="D11" t="s">
        <v>158</v>
      </c>
      <c r="I11" t="s">
        <v>135</v>
      </c>
    </row>
    <row r="12" spans="1:10">
      <c r="C12" t="s">
        <v>117</v>
      </c>
      <c r="D12" t="s">
        <v>157</v>
      </c>
      <c r="I12" t="s">
        <v>139</v>
      </c>
    </row>
    <row r="13" spans="1:10">
      <c r="C13" t="s">
        <v>117</v>
      </c>
      <c r="D13" t="s">
        <v>159</v>
      </c>
      <c r="I13" t="s">
        <v>156</v>
      </c>
    </row>
    <row r="14" spans="1:10" ht="27.6">
      <c r="C14" s="7" t="s">
        <v>132</v>
      </c>
      <c r="D14" t="s">
        <v>160</v>
      </c>
      <c r="I14" t="s">
        <v>52</v>
      </c>
    </row>
    <row r="15" spans="1:10" ht="27.6">
      <c r="C15" s="7" t="s">
        <v>132</v>
      </c>
      <c r="D15" t="s">
        <v>161</v>
      </c>
    </row>
    <row r="16" spans="1:10" ht="27.6">
      <c r="C16" s="7" t="s">
        <v>132</v>
      </c>
      <c r="D16" t="s">
        <v>162</v>
      </c>
    </row>
    <row r="17" spans="3:4" ht="27.6">
      <c r="C17" s="7" t="s">
        <v>132</v>
      </c>
      <c r="D17" t="s">
        <v>163</v>
      </c>
    </row>
    <row r="18" spans="3:4" ht="27.6">
      <c r="C18" s="7" t="s">
        <v>132</v>
      </c>
      <c r="D18" t="s">
        <v>164</v>
      </c>
    </row>
    <row r="19" spans="3:4" ht="27.6">
      <c r="C19" s="7" t="s">
        <v>132</v>
      </c>
      <c r="D19" t="s">
        <v>165</v>
      </c>
    </row>
    <row r="20" spans="3:4">
      <c r="C20" t="s">
        <v>112</v>
      </c>
      <c r="D20" t="s">
        <v>166</v>
      </c>
    </row>
    <row r="21" spans="3:4">
      <c r="C21" t="s">
        <v>112</v>
      </c>
      <c r="D21" t="s">
        <v>167</v>
      </c>
    </row>
    <row r="22" spans="3:4">
      <c r="C22" t="s">
        <v>112</v>
      </c>
      <c r="D22" t="s">
        <v>168</v>
      </c>
    </row>
    <row r="23" spans="3:4">
      <c r="C23" t="s">
        <v>112</v>
      </c>
      <c r="D23" t="s">
        <v>169</v>
      </c>
    </row>
    <row r="24" spans="3:4">
      <c r="C24" t="s">
        <v>112</v>
      </c>
      <c r="D24" t="s">
        <v>170</v>
      </c>
    </row>
    <row r="25" spans="3:4">
      <c r="C25" t="s">
        <v>112</v>
      </c>
      <c r="D25" t="s">
        <v>171</v>
      </c>
    </row>
    <row r="26" spans="3:4">
      <c r="C26" t="s">
        <v>112</v>
      </c>
      <c r="D26" t="s">
        <v>172</v>
      </c>
    </row>
    <row r="27" spans="3:4">
      <c r="C27" t="s">
        <v>115</v>
      </c>
      <c r="D27" t="s">
        <v>178</v>
      </c>
    </row>
    <row r="28" spans="3:4">
      <c r="C28" t="s">
        <v>115</v>
      </c>
      <c r="D28" t="s">
        <v>179</v>
      </c>
    </row>
    <row r="29" spans="3:4">
      <c r="C29" t="s">
        <v>115</v>
      </c>
      <c r="D29" t="s">
        <v>180</v>
      </c>
    </row>
    <row r="30" spans="3:4">
      <c r="C30" t="s">
        <v>114</v>
      </c>
      <c r="D30" t="s">
        <v>181</v>
      </c>
    </row>
    <row r="31" spans="3:4">
      <c r="C31" t="s">
        <v>114</v>
      </c>
      <c r="D31" t="s">
        <v>182</v>
      </c>
    </row>
    <row r="32" spans="3:4">
      <c r="C32" t="s">
        <v>114</v>
      </c>
      <c r="D32" t="s">
        <v>183</v>
      </c>
    </row>
    <row r="33" spans="3:4">
      <c r="C33" t="s">
        <v>184</v>
      </c>
      <c r="D33" t="s">
        <v>185</v>
      </c>
    </row>
    <row r="34" spans="3:4">
      <c r="C34" t="s">
        <v>184</v>
      </c>
      <c r="D34" t="s">
        <v>186</v>
      </c>
    </row>
    <row r="35" spans="3:4">
      <c r="C35" t="s">
        <v>113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A150D-54F8-45C2-B1E5-926F8F10E3C9}">
  <dimension ref="A1:H37"/>
  <sheetViews>
    <sheetView showGridLines="0" workbookViewId="0">
      <selection activeCell="F13" sqref="F13"/>
    </sheetView>
  </sheetViews>
  <sheetFormatPr baseColWidth="10" defaultColWidth="8.796875" defaultRowHeight="13.8"/>
  <cols>
    <col min="1" max="1" width="36.796875" bestFit="1" customWidth="1"/>
    <col min="2" max="2" width="35" style="11" customWidth="1"/>
    <col min="3" max="3" width="22" style="11" customWidth="1"/>
    <col min="4" max="4" width="20" style="11" customWidth="1"/>
    <col min="5" max="5" width="16" style="11" customWidth="1"/>
    <col min="6" max="6" width="18" style="11" customWidth="1"/>
    <col min="7" max="7" width="12" style="11" customWidth="1"/>
    <col min="8" max="8" width="50" style="11" customWidth="1"/>
    <col min="9" max="16384" width="8.796875" style="11"/>
  </cols>
  <sheetData>
    <row r="1" spans="1:8" ht="31.95" customHeight="1">
      <c r="A1" s="16" t="s">
        <v>142</v>
      </c>
      <c r="B1" s="10" t="s">
        <v>6</v>
      </c>
      <c r="C1" s="10" t="s">
        <v>188</v>
      </c>
      <c r="D1" s="10" t="s">
        <v>36</v>
      </c>
      <c r="E1" s="10" t="s">
        <v>189</v>
      </c>
      <c r="F1" s="10" t="s">
        <v>190</v>
      </c>
      <c r="G1" s="10" t="s">
        <v>191</v>
      </c>
      <c r="H1" s="10" t="s">
        <v>19</v>
      </c>
    </row>
    <row r="2" spans="1:8">
      <c r="A2" s="14" t="s">
        <v>116</v>
      </c>
      <c r="B2" t="s">
        <v>473</v>
      </c>
      <c r="C2" s="12" t="s">
        <v>193</v>
      </c>
      <c r="D2" s="12" t="s">
        <v>194</v>
      </c>
      <c r="E2" s="12" t="s">
        <v>195</v>
      </c>
      <c r="F2" s="13">
        <v>200000</v>
      </c>
      <c r="G2" s="12" t="s">
        <v>43</v>
      </c>
      <c r="H2" s="12" t="s">
        <v>196</v>
      </c>
    </row>
    <row r="3" spans="1:8">
      <c r="A3" s="15" t="s">
        <v>116</v>
      </c>
      <c r="B3" t="s">
        <v>472</v>
      </c>
      <c r="C3" s="12" t="s">
        <v>193</v>
      </c>
      <c r="D3" s="12" t="s">
        <v>194</v>
      </c>
      <c r="E3" s="12" t="s">
        <v>197</v>
      </c>
      <c r="F3" s="13">
        <v>150000</v>
      </c>
      <c r="G3" s="12" t="s">
        <v>43</v>
      </c>
      <c r="H3" s="12" t="s">
        <v>196</v>
      </c>
    </row>
    <row r="4" spans="1:8">
      <c r="A4" s="14" t="s">
        <v>116</v>
      </c>
      <c r="B4" t="s">
        <v>144</v>
      </c>
      <c r="C4" s="12" t="s">
        <v>193</v>
      </c>
      <c r="D4" s="12" t="s">
        <v>194</v>
      </c>
      <c r="E4" s="12" t="s">
        <v>193</v>
      </c>
      <c r="F4" s="13">
        <v>200000</v>
      </c>
      <c r="G4" s="12" t="s">
        <v>43</v>
      </c>
      <c r="H4" s="12" t="s">
        <v>199</v>
      </c>
    </row>
    <row r="5" spans="1:8">
      <c r="A5" s="15" t="s">
        <v>116</v>
      </c>
      <c r="B5" t="s">
        <v>150</v>
      </c>
      <c r="C5" s="11" t="s">
        <v>200</v>
      </c>
      <c r="D5" s="12" t="s">
        <v>194</v>
      </c>
      <c r="E5" s="12" t="s">
        <v>197</v>
      </c>
      <c r="F5" s="13">
        <v>60000</v>
      </c>
      <c r="G5" s="12" t="s">
        <v>43</v>
      </c>
      <c r="H5" s="12" t="s">
        <v>199</v>
      </c>
    </row>
    <row r="6" spans="1:8">
      <c r="A6" s="14" t="s">
        <v>117</v>
      </c>
      <c r="B6" t="s">
        <v>151</v>
      </c>
      <c r="C6" s="11" t="s">
        <v>193</v>
      </c>
      <c r="D6" s="12" t="s">
        <v>194</v>
      </c>
      <c r="E6" s="11" t="s">
        <v>208</v>
      </c>
      <c r="F6" s="11">
        <v>50000</v>
      </c>
      <c r="G6" s="12" t="s">
        <v>43</v>
      </c>
      <c r="H6" s="12" t="s">
        <v>199</v>
      </c>
    </row>
    <row r="7" spans="1:8">
      <c r="A7" s="15" t="s">
        <v>117</v>
      </c>
      <c r="B7" t="s">
        <v>152</v>
      </c>
      <c r="C7" s="11" t="s">
        <v>193</v>
      </c>
      <c r="D7" s="12" t="s">
        <v>194</v>
      </c>
      <c r="E7" s="11" t="s">
        <v>195</v>
      </c>
      <c r="F7" s="11">
        <v>30000</v>
      </c>
      <c r="G7" s="12" t="s">
        <v>43</v>
      </c>
      <c r="H7" s="12" t="s">
        <v>199</v>
      </c>
    </row>
    <row r="8" spans="1:8">
      <c r="A8" s="14" t="s">
        <v>117</v>
      </c>
      <c r="B8" t="s">
        <v>152</v>
      </c>
      <c r="C8" s="11" t="s">
        <v>193</v>
      </c>
      <c r="D8" s="12" t="s">
        <v>194</v>
      </c>
      <c r="E8" s="11" t="s">
        <v>197</v>
      </c>
      <c r="F8" s="11">
        <v>20000</v>
      </c>
      <c r="G8" s="12" t="s">
        <v>43</v>
      </c>
      <c r="H8" s="12" t="s">
        <v>199</v>
      </c>
    </row>
    <row r="9" spans="1:8">
      <c r="A9" s="15" t="s">
        <v>117</v>
      </c>
      <c r="B9" t="s">
        <v>153</v>
      </c>
      <c r="C9" s="12" t="s">
        <v>193</v>
      </c>
      <c r="D9" s="12" t="s">
        <v>194</v>
      </c>
      <c r="E9" s="12" t="s">
        <v>193</v>
      </c>
      <c r="F9" s="13">
        <v>25000</v>
      </c>
      <c r="G9" s="12" t="s">
        <v>43</v>
      </c>
      <c r="H9" s="12" t="s">
        <v>199</v>
      </c>
    </row>
    <row r="10" spans="1:8">
      <c r="A10" s="14" t="s">
        <v>117</v>
      </c>
      <c r="B10" t="s">
        <v>154</v>
      </c>
      <c r="C10" s="12" t="s">
        <v>193</v>
      </c>
      <c r="D10" s="12" t="s">
        <v>194</v>
      </c>
      <c r="E10" s="12" t="s">
        <v>193</v>
      </c>
      <c r="F10" s="13">
        <v>0</v>
      </c>
      <c r="G10" s="12" t="s">
        <v>43</v>
      </c>
      <c r="H10" s="12" t="s">
        <v>201</v>
      </c>
    </row>
    <row r="11" spans="1:8">
      <c r="A11" s="15" t="s">
        <v>117</v>
      </c>
      <c r="B11" t="s">
        <v>155</v>
      </c>
      <c r="C11" s="12" t="s">
        <v>193</v>
      </c>
      <c r="D11" s="12" t="s">
        <v>57</v>
      </c>
      <c r="E11" s="12" t="s">
        <v>193</v>
      </c>
      <c r="F11" s="13">
        <v>0</v>
      </c>
      <c r="G11" s="12" t="s">
        <v>43</v>
      </c>
      <c r="H11" s="12" t="s">
        <v>201</v>
      </c>
    </row>
    <row r="12" spans="1:8">
      <c r="A12" s="14" t="s">
        <v>117</v>
      </c>
      <c r="B12" t="s">
        <v>210</v>
      </c>
      <c r="C12" s="12" t="s">
        <v>193</v>
      </c>
      <c r="D12" s="12" t="s">
        <v>202</v>
      </c>
      <c r="E12" s="12" t="s">
        <v>193</v>
      </c>
      <c r="F12" s="13">
        <v>500000</v>
      </c>
      <c r="G12" s="12" t="s">
        <v>43</v>
      </c>
      <c r="H12" s="12" t="s">
        <v>203</v>
      </c>
    </row>
    <row r="13" spans="1:8">
      <c r="A13" s="15" t="s">
        <v>117</v>
      </c>
      <c r="B13" t="s">
        <v>209</v>
      </c>
      <c r="C13" s="12" t="s">
        <v>193</v>
      </c>
      <c r="D13" s="12" t="s">
        <v>202</v>
      </c>
      <c r="E13" s="12" t="s">
        <v>208</v>
      </c>
      <c r="F13" s="13">
        <v>150000</v>
      </c>
      <c r="G13" s="12" t="s">
        <v>43</v>
      </c>
      <c r="H13" s="12" t="s">
        <v>203</v>
      </c>
    </row>
    <row r="14" spans="1:8">
      <c r="A14" s="14" t="s">
        <v>117</v>
      </c>
      <c r="B14" t="s">
        <v>211</v>
      </c>
      <c r="C14" s="12" t="s">
        <v>193</v>
      </c>
      <c r="D14" s="12" t="s">
        <v>202</v>
      </c>
      <c r="E14" s="12" t="s">
        <v>195</v>
      </c>
      <c r="F14" s="13">
        <v>50000</v>
      </c>
      <c r="G14" s="12" t="s">
        <v>43</v>
      </c>
      <c r="H14" s="12" t="s">
        <v>203</v>
      </c>
    </row>
    <row r="15" spans="1:8">
      <c r="A15" s="14" t="s">
        <v>117</v>
      </c>
      <c r="B15" t="s">
        <v>157</v>
      </c>
      <c r="C15" s="12" t="s">
        <v>193</v>
      </c>
      <c r="D15" s="12" t="s">
        <v>41</v>
      </c>
      <c r="E15" s="12" t="s">
        <v>193</v>
      </c>
      <c r="F15" s="13">
        <v>0</v>
      </c>
      <c r="G15" s="12" t="s">
        <v>43</v>
      </c>
      <c r="H15" s="12" t="s">
        <v>205</v>
      </c>
    </row>
    <row r="16" spans="1:8">
      <c r="A16" s="15" t="s">
        <v>117</v>
      </c>
      <c r="B16" t="s">
        <v>159</v>
      </c>
      <c r="C16" s="12" t="s">
        <v>193</v>
      </c>
      <c r="D16" s="12" t="s">
        <v>41</v>
      </c>
      <c r="E16" s="12" t="s">
        <v>193</v>
      </c>
      <c r="F16" s="13">
        <v>0</v>
      </c>
      <c r="G16" s="12" t="s">
        <v>43</v>
      </c>
      <c r="H16" s="12" t="s">
        <v>203</v>
      </c>
    </row>
    <row r="17" spans="1:8">
      <c r="A17" s="14" t="s">
        <v>132</v>
      </c>
      <c r="B17" t="s">
        <v>160</v>
      </c>
      <c r="C17" s="11" t="s">
        <v>212</v>
      </c>
      <c r="D17" s="12" t="s">
        <v>41</v>
      </c>
      <c r="E17" s="12" t="s">
        <v>193</v>
      </c>
      <c r="F17" s="13">
        <v>0</v>
      </c>
      <c r="G17" s="12" t="s">
        <v>43</v>
      </c>
      <c r="H17" s="12" t="s">
        <v>203</v>
      </c>
    </row>
    <row r="18" spans="1:8">
      <c r="A18" s="15" t="s">
        <v>132</v>
      </c>
      <c r="B18" t="s">
        <v>161</v>
      </c>
      <c r="C18" s="11" t="s">
        <v>212</v>
      </c>
      <c r="D18" s="12" t="s">
        <v>41</v>
      </c>
      <c r="E18" s="12" t="s">
        <v>193</v>
      </c>
      <c r="F18" s="13">
        <v>0</v>
      </c>
      <c r="G18" s="12" t="s">
        <v>43</v>
      </c>
      <c r="H18" s="12" t="s">
        <v>203</v>
      </c>
    </row>
    <row r="19" spans="1:8">
      <c r="A19" s="14" t="s">
        <v>132</v>
      </c>
      <c r="B19" t="s">
        <v>162</v>
      </c>
      <c r="C19" s="11" t="s">
        <v>212</v>
      </c>
      <c r="D19" s="12" t="s">
        <v>41</v>
      </c>
      <c r="E19" s="12" t="s">
        <v>193</v>
      </c>
      <c r="F19" s="13">
        <v>0</v>
      </c>
      <c r="G19" s="12" t="s">
        <v>43</v>
      </c>
      <c r="H19" s="12" t="s">
        <v>203</v>
      </c>
    </row>
    <row r="20" spans="1:8">
      <c r="A20" s="15" t="s">
        <v>132</v>
      </c>
      <c r="B20" t="s">
        <v>163</v>
      </c>
      <c r="C20" s="11" t="s">
        <v>212</v>
      </c>
      <c r="D20" s="12" t="s">
        <v>41</v>
      </c>
      <c r="E20" s="12" t="s">
        <v>193</v>
      </c>
      <c r="F20" s="13">
        <v>0</v>
      </c>
      <c r="G20" s="12" t="s">
        <v>43</v>
      </c>
      <c r="H20" s="12" t="s">
        <v>203</v>
      </c>
    </row>
    <row r="21" spans="1:8">
      <c r="A21" s="14" t="s">
        <v>132</v>
      </c>
      <c r="B21" t="s">
        <v>164</v>
      </c>
      <c r="C21" s="11" t="s">
        <v>212</v>
      </c>
      <c r="D21" s="12" t="s">
        <v>41</v>
      </c>
      <c r="E21" s="12" t="s">
        <v>193</v>
      </c>
      <c r="F21" s="13">
        <v>1</v>
      </c>
      <c r="G21" s="12" t="s">
        <v>43</v>
      </c>
      <c r="H21" s="12" t="s">
        <v>203</v>
      </c>
    </row>
    <row r="22" spans="1:8">
      <c r="A22" s="15" t="s">
        <v>132</v>
      </c>
      <c r="B22" t="s">
        <v>165</v>
      </c>
      <c r="C22" s="11" t="s">
        <v>212</v>
      </c>
      <c r="D22" s="11" t="s">
        <v>57</v>
      </c>
      <c r="E22" s="12" t="s">
        <v>193</v>
      </c>
      <c r="F22" s="13">
        <v>2</v>
      </c>
      <c r="G22" s="12" t="s">
        <v>43</v>
      </c>
      <c r="H22" s="12" t="s">
        <v>203</v>
      </c>
    </row>
    <row r="23" spans="1:8">
      <c r="A23" s="14" t="s">
        <v>112</v>
      </c>
      <c r="B23" t="s">
        <v>166</v>
      </c>
      <c r="C23" s="11" t="s">
        <v>212</v>
      </c>
      <c r="D23" s="11" t="s">
        <v>57</v>
      </c>
      <c r="E23" s="12" t="s">
        <v>193</v>
      </c>
      <c r="F23" s="13">
        <v>3</v>
      </c>
      <c r="G23" s="12" t="s">
        <v>43</v>
      </c>
      <c r="H23" s="12" t="s">
        <v>203</v>
      </c>
    </row>
    <row r="24" spans="1:8">
      <c r="A24" s="15" t="s">
        <v>112</v>
      </c>
      <c r="B24" t="s">
        <v>167</v>
      </c>
      <c r="C24" s="11" t="s">
        <v>212</v>
      </c>
      <c r="D24" s="11" t="s">
        <v>41</v>
      </c>
      <c r="E24" s="12" t="s">
        <v>193</v>
      </c>
      <c r="F24" s="13">
        <v>4</v>
      </c>
      <c r="G24" s="12" t="s">
        <v>43</v>
      </c>
      <c r="H24" s="12" t="s">
        <v>203</v>
      </c>
    </row>
    <row r="25" spans="1:8">
      <c r="A25" s="14" t="s">
        <v>112</v>
      </c>
      <c r="B25" t="s">
        <v>168</v>
      </c>
      <c r="C25" s="11" t="s">
        <v>212</v>
      </c>
      <c r="D25" s="11" t="s">
        <v>57</v>
      </c>
      <c r="E25" s="12" t="s">
        <v>193</v>
      </c>
      <c r="F25" s="13">
        <v>5</v>
      </c>
      <c r="G25" s="12" t="s">
        <v>43</v>
      </c>
      <c r="H25" s="12" t="s">
        <v>203</v>
      </c>
    </row>
    <row r="26" spans="1:8">
      <c r="A26" s="15" t="s">
        <v>112</v>
      </c>
      <c r="B26" t="s">
        <v>169</v>
      </c>
      <c r="C26" s="11" t="s">
        <v>212</v>
      </c>
      <c r="D26" s="11" t="s">
        <v>41</v>
      </c>
      <c r="E26" s="12" t="s">
        <v>193</v>
      </c>
      <c r="F26" s="13">
        <v>6</v>
      </c>
      <c r="G26" s="12" t="s">
        <v>43</v>
      </c>
      <c r="H26" s="12" t="s">
        <v>203</v>
      </c>
    </row>
    <row r="27" spans="1:8">
      <c r="A27" s="14" t="s">
        <v>112</v>
      </c>
      <c r="B27" t="s">
        <v>170</v>
      </c>
      <c r="C27" s="11" t="s">
        <v>212</v>
      </c>
      <c r="D27" s="11" t="s">
        <v>57</v>
      </c>
      <c r="E27" s="12" t="s">
        <v>193</v>
      </c>
      <c r="F27" s="13">
        <v>7</v>
      </c>
      <c r="G27" s="12" t="s">
        <v>43</v>
      </c>
      <c r="H27" s="12" t="s">
        <v>203</v>
      </c>
    </row>
    <row r="28" spans="1:8">
      <c r="A28" s="15" t="s">
        <v>112</v>
      </c>
      <c r="B28" t="s">
        <v>171</v>
      </c>
      <c r="C28" s="11" t="s">
        <v>212</v>
      </c>
      <c r="D28" s="11" t="s">
        <v>57</v>
      </c>
      <c r="E28" s="12" t="s">
        <v>193</v>
      </c>
      <c r="F28" s="13">
        <v>8</v>
      </c>
      <c r="G28" s="12" t="s">
        <v>43</v>
      </c>
      <c r="H28" s="12" t="s">
        <v>203</v>
      </c>
    </row>
    <row r="29" spans="1:8">
      <c r="A29" s="14" t="s">
        <v>112</v>
      </c>
      <c r="B29" t="s">
        <v>172</v>
      </c>
      <c r="C29" s="11" t="s">
        <v>212</v>
      </c>
      <c r="D29" s="11" t="s">
        <v>57</v>
      </c>
      <c r="E29" s="12" t="s">
        <v>193</v>
      </c>
      <c r="F29" s="13">
        <v>9</v>
      </c>
      <c r="G29" s="12" t="s">
        <v>43</v>
      </c>
      <c r="H29" s="12" t="s">
        <v>203</v>
      </c>
    </row>
    <row r="30" spans="1:8">
      <c r="A30" s="15" t="s">
        <v>115</v>
      </c>
      <c r="B30" t="s">
        <v>178</v>
      </c>
      <c r="C30" s="11" t="s">
        <v>212</v>
      </c>
      <c r="D30" s="11" t="s">
        <v>57</v>
      </c>
      <c r="E30" s="12" t="s">
        <v>193</v>
      </c>
      <c r="F30" s="13">
        <v>10</v>
      </c>
      <c r="G30" s="12" t="s">
        <v>43</v>
      </c>
      <c r="H30" s="12" t="s">
        <v>203</v>
      </c>
    </row>
    <row r="31" spans="1:8">
      <c r="A31" s="14" t="s">
        <v>115</v>
      </c>
      <c r="B31" t="s">
        <v>179</v>
      </c>
      <c r="C31" s="11" t="s">
        <v>212</v>
      </c>
      <c r="D31" s="11" t="s">
        <v>57</v>
      </c>
      <c r="E31" s="12" t="s">
        <v>193</v>
      </c>
      <c r="F31" s="13">
        <v>11</v>
      </c>
      <c r="G31" s="12" t="s">
        <v>43</v>
      </c>
      <c r="H31" s="12" t="s">
        <v>203</v>
      </c>
    </row>
    <row r="32" spans="1:8">
      <c r="A32" s="15" t="s">
        <v>115</v>
      </c>
      <c r="B32" t="s">
        <v>180</v>
      </c>
      <c r="C32" s="11" t="s">
        <v>212</v>
      </c>
      <c r="D32" s="11" t="s">
        <v>57</v>
      </c>
      <c r="E32" s="12" t="s">
        <v>193</v>
      </c>
      <c r="F32" s="13">
        <v>12</v>
      </c>
      <c r="G32" s="12" t="s">
        <v>43</v>
      </c>
      <c r="H32" s="12" t="s">
        <v>203</v>
      </c>
    </row>
    <row r="33" spans="1:8">
      <c r="A33" s="14" t="s">
        <v>114</v>
      </c>
      <c r="B33" t="s">
        <v>181</v>
      </c>
      <c r="C33" s="11" t="s">
        <v>212</v>
      </c>
      <c r="D33" s="11" t="s">
        <v>57</v>
      </c>
      <c r="E33" s="12" t="s">
        <v>193</v>
      </c>
      <c r="F33" s="13">
        <v>13</v>
      </c>
      <c r="G33" s="12" t="s">
        <v>43</v>
      </c>
      <c r="H33" s="12" t="s">
        <v>203</v>
      </c>
    </row>
    <row r="34" spans="1:8">
      <c r="A34" s="15" t="s">
        <v>114</v>
      </c>
      <c r="B34" t="s">
        <v>182</v>
      </c>
      <c r="C34" s="11" t="s">
        <v>212</v>
      </c>
      <c r="D34" s="11" t="s">
        <v>57</v>
      </c>
      <c r="E34" s="12" t="s">
        <v>193</v>
      </c>
      <c r="F34" s="13">
        <v>14</v>
      </c>
      <c r="G34" s="12" t="s">
        <v>43</v>
      </c>
      <c r="H34" s="12" t="s">
        <v>203</v>
      </c>
    </row>
    <row r="35" spans="1:8">
      <c r="A35" s="14" t="s">
        <v>114</v>
      </c>
      <c r="B35" t="s">
        <v>183</v>
      </c>
      <c r="C35" s="11" t="s">
        <v>212</v>
      </c>
      <c r="D35" s="11" t="s">
        <v>57</v>
      </c>
      <c r="E35" s="12" t="s">
        <v>193</v>
      </c>
      <c r="F35" s="13">
        <v>15</v>
      </c>
      <c r="G35" s="12" t="s">
        <v>43</v>
      </c>
      <c r="H35" s="12" t="s">
        <v>203</v>
      </c>
    </row>
    <row r="36" spans="1:8">
      <c r="A36" s="15" t="s">
        <v>184</v>
      </c>
      <c r="B36" t="s">
        <v>185</v>
      </c>
      <c r="D36" s="11" t="s">
        <v>57</v>
      </c>
      <c r="E36" s="12" t="s">
        <v>193</v>
      </c>
      <c r="F36" s="13">
        <v>16</v>
      </c>
      <c r="G36" s="12" t="s">
        <v>43</v>
      </c>
      <c r="H36" s="12" t="s">
        <v>203</v>
      </c>
    </row>
    <row r="37" spans="1:8">
      <c r="A37" s="14" t="s">
        <v>184</v>
      </c>
      <c r="B37" t="s">
        <v>186</v>
      </c>
      <c r="D37" s="11" t="s">
        <v>57</v>
      </c>
      <c r="E37" s="12" t="s">
        <v>193</v>
      </c>
      <c r="F37" s="13">
        <v>17</v>
      </c>
      <c r="G37" s="12" t="s">
        <v>43</v>
      </c>
      <c r="H37" s="12" t="s">
        <v>203</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61D2D-A443-4DF6-9E3A-0022737D3A53}">
  <dimension ref="A1:E14"/>
  <sheetViews>
    <sheetView workbookViewId="0">
      <selection activeCell="C19" sqref="C19"/>
    </sheetView>
  </sheetViews>
  <sheetFormatPr baseColWidth="10" defaultRowHeight="13.8"/>
  <cols>
    <col min="1" max="1" width="19.3984375" bestFit="1" customWidth="1"/>
    <col min="2" max="2" width="44.296875" bestFit="1" customWidth="1"/>
  </cols>
  <sheetData>
    <row r="1" spans="1:5" ht="27.6">
      <c r="A1" s="1" t="s">
        <v>127</v>
      </c>
      <c r="B1" s="1" t="s">
        <v>128</v>
      </c>
      <c r="C1" s="1" t="s">
        <v>129</v>
      </c>
      <c r="D1" s="1" t="s">
        <v>130</v>
      </c>
      <c r="E1" s="1" t="s">
        <v>131</v>
      </c>
    </row>
    <row r="2" spans="1:5" ht="14.4">
      <c r="A2" s="6" t="s">
        <v>79</v>
      </c>
      <c r="B2" s="6" t="s">
        <v>80</v>
      </c>
      <c r="C2" s="7"/>
      <c r="D2" s="7">
        <v>2026</v>
      </c>
      <c r="E2" s="7"/>
    </row>
    <row r="3" spans="1:5" ht="14.4">
      <c r="A3" s="6" t="s">
        <v>81</v>
      </c>
      <c r="B3" s="6" t="s">
        <v>82</v>
      </c>
    </row>
    <row r="4" spans="1:5" ht="14.4">
      <c r="A4" s="6" t="s">
        <v>83</v>
      </c>
      <c r="B4" s="6" t="s">
        <v>84</v>
      </c>
    </row>
    <row r="5" spans="1:5" ht="14.4">
      <c r="A5" s="6" t="s">
        <v>85</v>
      </c>
      <c r="B5" s="6" t="s">
        <v>86</v>
      </c>
    </row>
    <row r="6" spans="1:5" ht="14.4">
      <c r="A6" s="6" t="s">
        <v>87</v>
      </c>
      <c r="B6" s="6" t="s">
        <v>88</v>
      </c>
    </row>
    <row r="7" spans="1:5" ht="14.4">
      <c r="A7" s="6" t="s">
        <v>89</v>
      </c>
      <c r="B7" s="6" t="s">
        <v>90</v>
      </c>
    </row>
    <row r="8" spans="1:5" ht="14.4">
      <c r="A8" s="6" t="s">
        <v>91</v>
      </c>
      <c r="B8" s="6" t="s">
        <v>92</v>
      </c>
    </row>
    <row r="9" spans="1:5" ht="14.4">
      <c r="A9" s="6" t="s">
        <v>93</v>
      </c>
      <c r="B9" s="6" t="s">
        <v>94</v>
      </c>
    </row>
    <row r="10" spans="1:5" ht="14.4">
      <c r="A10" s="6" t="s">
        <v>95</v>
      </c>
      <c r="B10" s="6" t="s">
        <v>96</v>
      </c>
    </row>
    <row r="11" spans="1:5" ht="14.4">
      <c r="A11" s="6" t="s">
        <v>97</v>
      </c>
      <c r="B11" s="6" t="s">
        <v>98</v>
      </c>
    </row>
    <row r="12" spans="1:5" ht="14.4">
      <c r="A12" s="6" t="s">
        <v>99</v>
      </c>
      <c r="B12" s="6" t="s">
        <v>100</v>
      </c>
    </row>
    <row r="13" spans="1:5" ht="43.2">
      <c r="A13" s="6" t="s">
        <v>101</v>
      </c>
      <c r="B13" s="8" t="s">
        <v>102</v>
      </c>
    </row>
    <row r="14" spans="1:5" ht="14.4">
      <c r="A14" s="6" t="s">
        <v>103</v>
      </c>
      <c r="B14" s="6" t="s">
        <v>104</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2223A-A62A-49C1-AE12-95E232CC4981}">
  <sheetPr>
    <tabColor rgb="FF00B0F0"/>
  </sheetPr>
  <dimension ref="A1:BM99"/>
  <sheetViews>
    <sheetView zoomScale="82" zoomScaleNormal="82" workbookViewId="0">
      <selection activeCell="E6" sqref="E6"/>
    </sheetView>
  </sheetViews>
  <sheetFormatPr baseColWidth="10" defaultColWidth="9.19921875" defaultRowHeight="11.4"/>
  <cols>
    <col min="1" max="1" width="8.796875" style="146" customWidth="1"/>
    <col min="2" max="2" width="9" style="147" bestFit="1" customWidth="1"/>
    <col min="3" max="3" width="6.09765625" style="147" bestFit="1" customWidth="1"/>
    <col min="4" max="4" width="8.796875" style="148" customWidth="1"/>
    <col min="5" max="5" width="45.296875" style="147" customWidth="1"/>
    <col min="6" max="6" width="13" style="149" customWidth="1"/>
    <col min="7" max="7" width="11.8984375" style="149" customWidth="1"/>
    <col min="8" max="8" width="12.296875" style="149" customWidth="1"/>
    <col min="9" max="9" width="8.69921875" style="150" customWidth="1"/>
    <col min="10" max="10" width="30.69921875" style="147" customWidth="1"/>
    <col min="11" max="11" width="9.19921875" style="151"/>
    <col min="12" max="12" width="10.296875" style="151" bestFit="1" customWidth="1"/>
    <col min="13" max="65" width="9.19921875" style="151"/>
    <col min="66" max="16384" width="9.19921875" style="147"/>
  </cols>
  <sheetData>
    <row r="1" spans="1:65">
      <c r="A1" s="146" t="s">
        <v>288</v>
      </c>
      <c r="B1" s="147" t="s">
        <v>289</v>
      </c>
    </row>
    <row r="2" spans="1:65">
      <c r="A2" s="146" t="s">
        <v>290</v>
      </c>
      <c r="B2" s="147" t="s">
        <v>291</v>
      </c>
    </row>
    <row r="3" spans="1:65">
      <c r="A3" s="146" t="s">
        <v>237</v>
      </c>
    </row>
    <row r="4" spans="1:65" s="153" customFormat="1">
      <c r="A4" s="152"/>
      <c r="D4" s="148"/>
      <c r="E4" s="154"/>
      <c r="F4" s="155"/>
      <c r="G4" s="155"/>
      <c r="H4" s="155"/>
      <c r="I4" s="156"/>
      <c r="J4" s="157"/>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row>
    <row r="5" spans="1:65" s="164" customFormat="1" ht="22.8">
      <c r="A5" s="158" t="s">
        <v>292</v>
      </c>
      <c r="B5" s="159" t="s">
        <v>293</v>
      </c>
      <c r="C5" s="159" t="s">
        <v>294</v>
      </c>
      <c r="D5" s="160" t="s">
        <v>295</v>
      </c>
      <c r="E5" s="159" t="s">
        <v>128</v>
      </c>
      <c r="F5" s="161" t="s">
        <v>296</v>
      </c>
      <c r="G5" s="161" t="s">
        <v>297</v>
      </c>
      <c r="H5" s="161" t="s">
        <v>298</v>
      </c>
      <c r="I5" s="162" t="s">
        <v>299</v>
      </c>
      <c r="J5" s="159" t="s">
        <v>300</v>
      </c>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c r="AK5" s="163"/>
      <c r="AL5" s="163"/>
      <c r="AM5" s="163"/>
      <c r="AN5" s="163"/>
      <c r="AO5" s="163"/>
      <c r="AP5" s="163"/>
      <c r="AQ5" s="163"/>
      <c r="AR5" s="163"/>
      <c r="AS5" s="163"/>
      <c r="AT5" s="163"/>
      <c r="AU5" s="163"/>
      <c r="AV5" s="163"/>
      <c r="AW5" s="163"/>
      <c r="AX5" s="163"/>
      <c r="AY5" s="163"/>
      <c r="AZ5" s="163"/>
      <c r="BA5" s="163"/>
      <c r="BB5" s="163"/>
      <c r="BC5" s="163"/>
      <c r="BD5" s="163"/>
      <c r="BE5" s="163"/>
      <c r="BF5" s="163"/>
      <c r="BG5" s="163"/>
      <c r="BH5" s="163"/>
      <c r="BI5" s="163"/>
      <c r="BJ5" s="163"/>
      <c r="BK5" s="163"/>
      <c r="BL5" s="163"/>
      <c r="BM5" s="163"/>
    </row>
    <row r="6" spans="1:65" s="163" customFormat="1">
      <c r="A6" s="165">
        <v>46023</v>
      </c>
      <c r="B6" s="166" t="s">
        <v>301</v>
      </c>
      <c r="C6" s="166" t="s">
        <v>282</v>
      </c>
      <c r="D6" s="167" t="s">
        <v>282</v>
      </c>
      <c r="E6" s="166" t="s">
        <v>302</v>
      </c>
      <c r="F6" s="168">
        <v>120388959</v>
      </c>
      <c r="G6" s="169"/>
      <c r="H6" s="169">
        <f>F6</f>
        <v>120388959</v>
      </c>
      <c r="I6" s="170" t="s">
        <v>266</v>
      </c>
      <c r="J6" s="166"/>
    </row>
    <row r="7" spans="1:65" s="163" customFormat="1">
      <c r="A7" s="165"/>
      <c r="B7" s="166"/>
      <c r="C7" s="166"/>
      <c r="D7" s="167"/>
      <c r="E7" s="166"/>
      <c r="F7" s="168"/>
      <c r="G7" s="169"/>
      <c r="H7" s="169"/>
      <c r="I7" s="170"/>
      <c r="J7" s="166"/>
    </row>
    <row r="8" spans="1:65" s="177" customFormat="1" ht="12">
      <c r="A8" s="165"/>
      <c r="B8" s="166"/>
      <c r="C8" s="171"/>
      <c r="D8" s="172"/>
      <c r="E8" s="173"/>
      <c r="F8" s="174"/>
      <c r="G8" s="175"/>
      <c r="H8" s="169"/>
      <c r="I8" s="170"/>
      <c r="J8" s="176"/>
      <c r="K8" s="163"/>
      <c r="L8" s="163"/>
      <c r="M8" s="163"/>
      <c r="N8" s="163"/>
      <c r="O8" s="163"/>
      <c r="P8" s="163"/>
      <c r="Q8" s="163"/>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3"/>
      <c r="BD8" s="163"/>
      <c r="BE8" s="163"/>
      <c r="BF8" s="163"/>
      <c r="BG8" s="163"/>
      <c r="BH8" s="163"/>
      <c r="BI8" s="163"/>
      <c r="BJ8" s="163"/>
      <c r="BK8" s="163"/>
      <c r="BL8" s="163"/>
      <c r="BM8" s="163"/>
    </row>
    <row r="9" spans="1:65" s="177" customFormat="1">
      <c r="A9" s="165"/>
      <c r="B9" s="166"/>
      <c r="C9" s="171"/>
      <c r="D9" s="172"/>
      <c r="E9" s="173"/>
      <c r="F9" s="168"/>
      <c r="G9" s="169"/>
      <c r="H9" s="169"/>
      <c r="I9" s="170"/>
      <c r="J9" s="166"/>
      <c r="K9" s="163"/>
      <c r="L9" s="163"/>
      <c r="M9" s="163"/>
      <c r="N9" s="163"/>
      <c r="O9" s="163"/>
      <c r="P9" s="163"/>
      <c r="Q9" s="163"/>
      <c r="R9" s="163"/>
      <c r="S9" s="163"/>
      <c r="T9" s="163"/>
      <c r="U9" s="163"/>
      <c r="V9" s="163"/>
      <c r="W9" s="163"/>
      <c r="X9" s="163"/>
      <c r="Y9" s="163"/>
      <c r="Z9" s="163"/>
      <c r="AA9" s="163"/>
      <c r="AB9" s="163"/>
      <c r="AC9" s="163"/>
      <c r="AD9" s="163"/>
      <c r="AE9" s="163"/>
      <c r="AF9" s="163"/>
      <c r="AG9" s="163"/>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c r="BI9" s="163"/>
      <c r="BJ9" s="163"/>
      <c r="BK9" s="163"/>
      <c r="BL9" s="163"/>
      <c r="BM9" s="163"/>
    </row>
    <row r="10" spans="1:65" s="177" customFormat="1">
      <c r="A10" s="165"/>
      <c r="B10" s="166"/>
      <c r="C10" s="171"/>
      <c r="D10" s="172"/>
      <c r="E10" s="173"/>
      <c r="F10" s="168"/>
      <c r="G10" s="178"/>
      <c r="H10" s="169"/>
      <c r="I10" s="170"/>
      <c r="J10" s="166"/>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row>
    <row r="11" spans="1:65" s="163" customFormat="1">
      <c r="A11" s="165"/>
      <c r="B11" s="166"/>
      <c r="C11" s="166"/>
      <c r="D11" s="167"/>
      <c r="E11" s="166"/>
      <c r="F11" s="168"/>
      <c r="G11" s="169"/>
      <c r="H11" s="169"/>
      <c r="I11" s="170"/>
      <c r="J11" s="166"/>
    </row>
    <row r="12" spans="1:65" s="163" customFormat="1" ht="12">
      <c r="A12" s="165"/>
      <c r="B12" s="166"/>
      <c r="C12" s="166"/>
      <c r="D12" s="167"/>
      <c r="E12" s="166"/>
      <c r="F12" s="169"/>
      <c r="G12" s="179"/>
      <c r="H12" s="169"/>
      <c r="I12" s="170"/>
      <c r="J12" s="180"/>
    </row>
    <row r="13" spans="1:65" s="163" customFormat="1">
      <c r="A13" s="165"/>
      <c r="B13" s="166"/>
      <c r="C13" s="166"/>
      <c r="D13" s="167"/>
      <c r="E13" s="166"/>
      <c r="F13" s="168"/>
      <c r="G13" s="169"/>
      <c r="H13" s="169"/>
      <c r="I13" s="170"/>
      <c r="J13" s="166"/>
    </row>
    <row r="14" spans="1:65" s="163" customFormat="1">
      <c r="A14" s="165"/>
      <c r="B14" s="166"/>
      <c r="C14" s="166"/>
      <c r="D14" s="167"/>
      <c r="E14" s="166"/>
      <c r="F14" s="168"/>
      <c r="G14" s="169"/>
      <c r="H14" s="169"/>
      <c r="I14" s="170"/>
      <c r="J14" s="166"/>
    </row>
    <row r="15" spans="1:65" s="177" customFormat="1" ht="12">
      <c r="A15" s="165"/>
      <c r="B15" s="166"/>
      <c r="C15" s="166"/>
      <c r="D15" s="167"/>
      <c r="E15" s="166"/>
      <c r="F15" s="168"/>
      <c r="G15" s="179"/>
      <c r="H15" s="169"/>
      <c r="I15" s="170"/>
      <c r="J15" s="180"/>
      <c r="K15" s="163"/>
      <c r="L15" s="163"/>
      <c r="M15" s="163"/>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c r="BM15" s="163"/>
    </row>
    <row r="16" spans="1:65" s="163" customFormat="1">
      <c r="A16" s="165"/>
      <c r="B16" s="166"/>
      <c r="C16" s="166"/>
      <c r="D16" s="167"/>
      <c r="E16" s="166"/>
      <c r="F16" s="168"/>
      <c r="G16" s="169"/>
      <c r="H16" s="169"/>
      <c r="I16" s="170"/>
      <c r="J16" s="166"/>
    </row>
    <row r="17" spans="1:65" s="163" customFormat="1">
      <c r="A17" s="165"/>
      <c r="B17" s="166"/>
      <c r="C17" s="166"/>
      <c r="D17" s="167"/>
      <c r="E17" s="166"/>
      <c r="F17" s="168"/>
      <c r="G17" s="169"/>
      <c r="H17" s="169"/>
      <c r="I17" s="170"/>
      <c r="J17" s="166"/>
    </row>
    <row r="18" spans="1:65" s="163" customFormat="1">
      <c r="A18" s="165"/>
      <c r="B18" s="166"/>
      <c r="C18" s="166"/>
      <c r="D18" s="167"/>
      <c r="E18" s="166"/>
      <c r="F18" s="168"/>
      <c r="G18" s="178"/>
      <c r="H18" s="169"/>
      <c r="I18" s="170"/>
      <c r="J18" s="166"/>
    </row>
    <row r="19" spans="1:65" s="163" customFormat="1">
      <c r="A19" s="165"/>
      <c r="B19" s="166"/>
      <c r="C19" s="166"/>
      <c r="D19" s="167"/>
      <c r="E19" s="166"/>
      <c r="F19" s="168"/>
      <c r="G19" s="169"/>
      <c r="H19" s="169"/>
      <c r="I19" s="170"/>
      <c r="J19" s="166"/>
    </row>
    <row r="20" spans="1:65" s="163" customFormat="1">
      <c r="A20" s="181"/>
      <c r="B20" s="166"/>
      <c r="C20" s="170"/>
      <c r="D20" s="182"/>
      <c r="E20" s="166"/>
      <c r="F20" s="169"/>
      <c r="G20" s="169"/>
      <c r="H20" s="169"/>
      <c r="I20" s="170"/>
      <c r="J20" s="170"/>
    </row>
    <row r="21" spans="1:65" s="191" customFormat="1" ht="12">
      <c r="A21" s="183"/>
      <c r="B21" s="184"/>
      <c r="C21" s="184"/>
      <c r="D21" s="185"/>
      <c r="E21" s="184"/>
      <c r="F21" s="186"/>
      <c r="G21" s="187"/>
      <c r="H21" s="187"/>
      <c r="I21" s="188"/>
      <c r="J21" s="189"/>
      <c r="K21" s="190"/>
      <c r="L21" s="190"/>
      <c r="M21" s="190"/>
      <c r="N21" s="190"/>
      <c r="O21" s="190"/>
      <c r="P21" s="190"/>
      <c r="Q21" s="190"/>
      <c r="R21" s="190"/>
      <c r="S21" s="190"/>
      <c r="T21" s="190"/>
      <c r="U21" s="190"/>
      <c r="V21" s="190"/>
      <c r="W21" s="190"/>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0"/>
      <c r="BK21" s="190"/>
      <c r="BL21" s="190"/>
      <c r="BM21" s="190"/>
    </row>
    <row r="22" spans="1:65" s="191" customFormat="1">
      <c r="A22" s="181"/>
      <c r="B22" s="166"/>
      <c r="C22" s="170"/>
      <c r="D22" s="182"/>
      <c r="E22" s="166"/>
      <c r="F22" s="192"/>
      <c r="G22" s="169"/>
      <c r="H22" s="169"/>
      <c r="I22" s="170"/>
      <c r="J22" s="193"/>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c r="BJ22" s="190"/>
      <c r="BK22" s="190"/>
      <c r="BL22" s="190"/>
      <c r="BM22" s="190"/>
    </row>
    <row r="23" spans="1:65" s="191" customFormat="1">
      <c r="A23" s="181"/>
      <c r="B23" s="166"/>
      <c r="C23" s="170"/>
      <c r="D23" s="182"/>
      <c r="E23" s="166"/>
      <c r="F23" s="169"/>
      <c r="G23" s="178"/>
      <c r="H23" s="169"/>
      <c r="I23" s="170"/>
      <c r="J23" s="193"/>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row>
    <row r="24" spans="1:65" s="191" customFormat="1" ht="12">
      <c r="A24" s="183"/>
      <c r="B24" s="184"/>
      <c r="C24" s="184"/>
      <c r="D24" s="185"/>
      <c r="E24" s="184"/>
      <c r="F24" s="186"/>
      <c r="G24" s="187"/>
      <c r="H24" s="187"/>
      <c r="I24" s="188"/>
      <c r="J24" s="189"/>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0"/>
      <c r="BK24" s="190"/>
      <c r="BL24" s="190"/>
      <c r="BM24" s="190"/>
    </row>
    <row r="25" spans="1:65" s="197" customFormat="1" ht="12">
      <c r="A25" s="181"/>
      <c r="B25" s="194"/>
      <c r="C25" s="193"/>
      <c r="D25" s="167"/>
      <c r="E25" s="166"/>
      <c r="F25" s="195"/>
      <c r="G25" s="175"/>
      <c r="H25" s="175"/>
      <c r="I25" s="193"/>
      <c r="J25" s="170"/>
      <c r="K25" s="196"/>
      <c r="L25" s="196"/>
      <c r="M25" s="196"/>
      <c r="N25" s="196"/>
      <c r="O25" s="196"/>
      <c r="P25" s="196"/>
      <c r="Q25" s="196"/>
      <c r="R25" s="196"/>
      <c r="S25" s="196"/>
      <c r="T25" s="196"/>
      <c r="U25" s="196"/>
      <c r="V25" s="196"/>
      <c r="W25" s="196"/>
      <c r="X25" s="196"/>
      <c r="Y25" s="196"/>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c r="BF25" s="196"/>
      <c r="BG25" s="196"/>
      <c r="BH25" s="196"/>
      <c r="BI25" s="196"/>
      <c r="BJ25" s="196"/>
      <c r="BK25" s="196"/>
      <c r="BL25" s="196"/>
      <c r="BM25" s="196"/>
    </row>
    <row r="26" spans="1:65" s="197" customFormat="1">
      <c r="A26" s="165"/>
      <c r="B26" s="194"/>
      <c r="C26" s="193"/>
      <c r="D26" s="167"/>
      <c r="E26" s="166"/>
      <c r="F26" s="198"/>
      <c r="G26" s="199"/>
      <c r="H26" s="175"/>
      <c r="I26" s="193"/>
      <c r="J26" s="166"/>
      <c r="K26" s="196"/>
      <c r="L26" s="196"/>
      <c r="M26" s="196"/>
      <c r="N26" s="196"/>
      <c r="O26" s="196"/>
      <c r="P26" s="196"/>
      <c r="Q26" s="196"/>
      <c r="R26" s="196"/>
      <c r="S26" s="196"/>
      <c r="T26" s="196"/>
      <c r="U26" s="196"/>
      <c r="V26" s="196"/>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6"/>
      <c r="BK26" s="196"/>
      <c r="BL26" s="196"/>
      <c r="BM26" s="196"/>
    </row>
    <row r="27" spans="1:65" s="197" customFormat="1">
      <c r="A27" s="165"/>
      <c r="B27" s="194"/>
      <c r="C27" s="193"/>
      <c r="D27" s="167"/>
      <c r="E27" s="166"/>
      <c r="F27" s="198"/>
      <c r="G27" s="175"/>
      <c r="H27" s="175"/>
      <c r="I27" s="193"/>
      <c r="J27" s="16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row>
    <row r="28" spans="1:65" s="197" customFormat="1">
      <c r="A28" s="165"/>
      <c r="B28" s="194"/>
      <c r="C28" s="193"/>
      <c r="D28" s="167"/>
      <c r="E28" s="166"/>
      <c r="F28" s="198"/>
      <c r="G28" s="175"/>
      <c r="H28" s="175"/>
      <c r="I28" s="193"/>
      <c r="J28" s="166"/>
      <c r="K28" s="196"/>
      <c r="L28" s="196"/>
      <c r="M28" s="196"/>
      <c r="N28" s="196"/>
      <c r="O28" s="196"/>
      <c r="P28" s="196"/>
      <c r="Q28" s="196"/>
      <c r="R28" s="196"/>
      <c r="S28" s="196"/>
      <c r="T28" s="196"/>
      <c r="U28" s="196"/>
      <c r="V28" s="196"/>
      <c r="W28" s="196"/>
      <c r="X28" s="196"/>
      <c r="Y28" s="196"/>
      <c r="Z28" s="196"/>
      <c r="AA28" s="196"/>
      <c r="AB28" s="196"/>
      <c r="AC28" s="196"/>
      <c r="AD28" s="196"/>
      <c r="AE28" s="196"/>
      <c r="AF28" s="196"/>
      <c r="AG28" s="196"/>
      <c r="AH28" s="196"/>
      <c r="AI28" s="196"/>
      <c r="AJ28" s="196"/>
      <c r="AK28" s="196"/>
      <c r="AL28" s="196"/>
      <c r="AM28" s="196"/>
      <c r="AN28" s="196"/>
      <c r="AO28" s="196"/>
      <c r="AP28" s="196"/>
      <c r="AQ28" s="196"/>
      <c r="AR28" s="196"/>
      <c r="AS28" s="196"/>
      <c r="AT28" s="196"/>
      <c r="AU28" s="196"/>
      <c r="AV28" s="196"/>
      <c r="AW28" s="196"/>
      <c r="AX28" s="196"/>
      <c r="AY28" s="196"/>
      <c r="AZ28" s="196"/>
      <c r="BA28" s="196"/>
      <c r="BB28" s="196"/>
      <c r="BC28" s="196"/>
      <c r="BD28" s="196"/>
      <c r="BE28" s="196"/>
      <c r="BF28" s="196"/>
      <c r="BG28" s="196"/>
      <c r="BH28" s="196"/>
      <c r="BI28" s="196"/>
      <c r="BJ28" s="196"/>
      <c r="BK28" s="196"/>
      <c r="BL28" s="196"/>
      <c r="BM28" s="196"/>
    </row>
    <row r="29" spans="1:65" s="197" customFormat="1">
      <c r="A29" s="181"/>
      <c r="B29" s="194"/>
      <c r="C29" s="193"/>
      <c r="D29" s="167"/>
      <c r="E29" s="166"/>
      <c r="F29" s="175"/>
      <c r="G29" s="175"/>
      <c r="H29" s="175"/>
      <c r="I29" s="193"/>
      <c r="J29" s="193"/>
      <c r="K29" s="196"/>
      <c r="L29" s="196"/>
      <c r="M29" s="196"/>
      <c r="N29" s="196"/>
      <c r="O29" s="196"/>
      <c r="P29" s="196"/>
      <c r="Q29" s="196"/>
      <c r="R29" s="196"/>
      <c r="S29" s="196"/>
      <c r="T29" s="196"/>
      <c r="U29" s="196"/>
      <c r="V29" s="196"/>
      <c r="W29" s="196"/>
      <c r="X29" s="196"/>
      <c r="Y29" s="196"/>
      <c r="Z29" s="196"/>
      <c r="AA29" s="196"/>
      <c r="AB29" s="196"/>
      <c r="AC29" s="196"/>
      <c r="AD29" s="196"/>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6"/>
      <c r="BK29" s="196"/>
      <c r="BL29" s="196"/>
      <c r="BM29" s="196"/>
    </row>
    <row r="30" spans="1:65" s="197" customFormat="1">
      <c r="A30" s="200"/>
      <c r="B30" s="194"/>
      <c r="C30" s="193"/>
      <c r="D30" s="167"/>
      <c r="E30" s="166"/>
      <c r="F30" s="198"/>
      <c r="G30" s="175"/>
      <c r="H30" s="175"/>
      <c r="I30" s="193"/>
      <c r="J30" s="166"/>
      <c r="K30" s="196"/>
      <c r="L30" s="196"/>
      <c r="M30" s="196"/>
      <c r="N30" s="196"/>
      <c r="O30" s="196"/>
      <c r="P30" s="196"/>
      <c r="Q30" s="196"/>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row>
    <row r="31" spans="1:65" s="197" customFormat="1">
      <c r="A31" s="200"/>
      <c r="B31" s="194"/>
      <c r="C31" s="193"/>
      <c r="D31" s="167"/>
      <c r="E31" s="166"/>
      <c r="F31" s="201"/>
      <c r="G31" s="175"/>
      <c r="H31" s="175"/>
      <c r="I31" s="193"/>
      <c r="J31" s="173"/>
      <c r="K31" s="196"/>
      <c r="L31" s="196"/>
      <c r="M31" s="196"/>
      <c r="N31" s="196"/>
      <c r="O31" s="196"/>
      <c r="P31" s="196"/>
      <c r="Q31" s="196"/>
      <c r="R31" s="196"/>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row>
    <row r="32" spans="1:65" s="197" customFormat="1">
      <c r="A32" s="200"/>
      <c r="B32" s="194"/>
      <c r="C32" s="193"/>
      <c r="D32" s="167"/>
      <c r="E32" s="166"/>
      <c r="F32" s="198"/>
      <c r="G32" s="175"/>
      <c r="H32" s="175"/>
      <c r="I32" s="193"/>
      <c r="J32" s="173"/>
      <c r="K32" s="196"/>
      <c r="L32" s="196"/>
      <c r="M32" s="196"/>
      <c r="N32" s="196"/>
      <c r="O32" s="196"/>
      <c r="P32" s="196"/>
      <c r="Q32" s="196"/>
      <c r="R32" s="196"/>
      <c r="S32" s="196"/>
      <c r="T32" s="196"/>
      <c r="U32" s="196"/>
      <c r="V32" s="196"/>
      <c r="W32" s="196"/>
      <c r="X32" s="196"/>
      <c r="Y32" s="196"/>
      <c r="Z32" s="196"/>
      <c r="AA32" s="196"/>
      <c r="AB32" s="196"/>
      <c r="AC32" s="196"/>
      <c r="AD32" s="196"/>
      <c r="AE32" s="196"/>
      <c r="AF32" s="196"/>
      <c r="AG32" s="196"/>
      <c r="AH32" s="196"/>
      <c r="AI32" s="196"/>
      <c r="AJ32" s="196"/>
      <c r="AK32" s="196"/>
      <c r="AL32" s="196"/>
      <c r="AM32" s="196"/>
      <c r="AN32" s="196"/>
      <c r="AO32" s="196"/>
      <c r="AP32" s="196"/>
      <c r="AQ32" s="196"/>
      <c r="AR32" s="196"/>
      <c r="AS32" s="196"/>
      <c r="AT32" s="196"/>
      <c r="AU32" s="196"/>
      <c r="AV32" s="196"/>
      <c r="AW32" s="196"/>
      <c r="AX32" s="196"/>
      <c r="AY32" s="196"/>
      <c r="AZ32" s="196"/>
      <c r="BA32" s="196"/>
      <c r="BB32" s="196"/>
      <c r="BC32" s="196"/>
      <c r="BD32" s="196"/>
      <c r="BE32" s="196"/>
      <c r="BF32" s="196"/>
      <c r="BG32" s="196"/>
      <c r="BH32" s="196"/>
      <c r="BI32" s="196"/>
      <c r="BJ32" s="196"/>
      <c r="BK32" s="196"/>
      <c r="BL32" s="196"/>
      <c r="BM32" s="196"/>
    </row>
    <row r="33" spans="1:65" s="191" customFormat="1">
      <c r="A33" s="165"/>
      <c r="B33" s="194"/>
      <c r="C33" s="193"/>
      <c r="D33" s="167"/>
      <c r="E33" s="166"/>
      <c r="F33" s="198"/>
      <c r="G33" s="175"/>
      <c r="H33" s="175"/>
      <c r="I33" s="193"/>
      <c r="J33" s="202"/>
      <c r="K33" s="190"/>
      <c r="L33" s="190"/>
      <c r="M33" s="190"/>
      <c r="N33" s="190"/>
      <c r="O33" s="190"/>
      <c r="P33" s="190"/>
      <c r="Q33" s="190"/>
      <c r="R33" s="190"/>
      <c r="S33" s="190"/>
      <c r="T33" s="190"/>
      <c r="U33" s="190"/>
      <c r="V33" s="190"/>
      <c r="W33" s="190"/>
      <c r="X33" s="190"/>
      <c r="Y33" s="190"/>
      <c r="Z33" s="190"/>
      <c r="AA33" s="190"/>
      <c r="AB33" s="190"/>
      <c r="AC33" s="190"/>
      <c r="AD33" s="190"/>
      <c r="AE33" s="190"/>
      <c r="AF33" s="190"/>
      <c r="AG33" s="190"/>
      <c r="AH33" s="190"/>
      <c r="AI33" s="190"/>
      <c r="AJ33" s="190"/>
      <c r="AK33" s="190"/>
      <c r="AL33" s="190"/>
      <c r="AM33" s="190"/>
      <c r="AN33" s="190"/>
      <c r="AO33" s="190"/>
      <c r="AP33" s="190"/>
      <c r="AQ33" s="190"/>
      <c r="AR33" s="190"/>
      <c r="AS33" s="190"/>
      <c r="AT33" s="190"/>
      <c r="AU33" s="190"/>
      <c r="AV33" s="190"/>
      <c r="AW33" s="190"/>
      <c r="AX33" s="190"/>
      <c r="AY33" s="190"/>
      <c r="AZ33" s="190"/>
      <c r="BA33" s="190"/>
      <c r="BB33" s="190"/>
      <c r="BC33" s="190"/>
      <c r="BD33" s="190"/>
      <c r="BE33" s="190"/>
      <c r="BF33" s="190"/>
      <c r="BG33" s="190"/>
      <c r="BH33" s="190"/>
      <c r="BI33" s="190"/>
      <c r="BJ33" s="190"/>
      <c r="BK33" s="190"/>
      <c r="BL33" s="190"/>
      <c r="BM33" s="190"/>
    </row>
    <row r="34" spans="1:65" s="191" customFormat="1">
      <c r="A34" s="165"/>
      <c r="B34" s="194"/>
      <c r="C34" s="193"/>
      <c r="D34" s="167"/>
      <c r="E34" s="166"/>
      <c r="F34" s="198"/>
      <c r="G34" s="175"/>
      <c r="H34" s="175"/>
      <c r="I34" s="193"/>
      <c r="J34" s="166"/>
      <c r="K34" s="190"/>
      <c r="L34" s="203"/>
      <c r="M34" s="190"/>
      <c r="N34" s="190"/>
      <c r="O34" s="190"/>
      <c r="P34" s="190"/>
      <c r="Q34" s="190"/>
      <c r="R34" s="190"/>
      <c r="S34" s="190"/>
      <c r="T34" s="190"/>
      <c r="U34" s="190"/>
      <c r="V34" s="190"/>
      <c r="W34" s="190"/>
      <c r="X34" s="190"/>
      <c r="Y34" s="190"/>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0"/>
      <c r="AZ34" s="190"/>
      <c r="BA34" s="190"/>
      <c r="BB34" s="190"/>
      <c r="BC34" s="190"/>
      <c r="BD34" s="190"/>
      <c r="BE34" s="190"/>
      <c r="BF34" s="190"/>
      <c r="BG34" s="190"/>
      <c r="BH34" s="190"/>
      <c r="BI34" s="190"/>
      <c r="BJ34" s="190"/>
      <c r="BK34" s="190"/>
      <c r="BL34" s="190"/>
      <c r="BM34" s="190"/>
    </row>
    <row r="35" spans="1:65" s="197" customFormat="1">
      <c r="A35" s="165"/>
      <c r="B35" s="194"/>
      <c r="C35" s="193"/>
      <c r="D35" s="167"/>
      <c r="E35" s="166"/>
      <c r="F35" s="175"/>
      <c r="G35" s="175"/>
      <c r="H35" s="175"/>
      <c r="I35" s="193"/>
      <c r="J35" s="193"/>
      <c r="K35" s="196"/>
      <c r="L35" s="196"/>
      <c r="M35" s="196"/>
      <c r="N35" s="196"/>
      <c r="O35" s="196"/>
      <c r="P35" s="196"/>
      <c r="Q35" s="196"/>
      <c r="R35" s="196"/>
      <c r="S35" s="196"/>
      <c r="T35" s="196"/>
      <c r="U35" s="196"/>
      <c r="V35" s="196"/>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6"/>
      <c r="BK35" s="196"/>
      <c r="BL35" s="196"/>
      <c r="BM35" s="196"/>
    </row>
    <row r="36" spans="1:65" s="197" customFormat="1">
      <c r="A36" s="165"/>
      <c r="B36" s="194"/>
      <c r="C36" s="193"/>
      <c r="D36" s="167"/>
      <c r="E36" s="166"/>
      <c r="F36" s="175"/>
      <c r="G36" s="175"/>
      <c r="H36" s="175"/>
      <c r="I36" s="193"/>
      <c r="J36" s="16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6"/>
      <c r="BD36" s="196"/>
      <c r="BE36" s="196"/>
      <c r="BF36" s="196"/>
      <c r="BG36" s="196"/>
      <c r="BH36" s="196"/>
      <c r="BI36" s="196"/>
      <c r="BJ36" s="196"/>
      <c r="BK36" s="196"/>
      <c r="BL36" s="196"/>
      <c r="BM36" s="196"/>
    </row>
    <row r="37" spans="1:65" s="191" customFormat="1">
      <c r="A37" s="165"/>
      <c r="B37" s="194"/>
      <c r="C37" s="193"/>
      <c r="D37" s="167"/>
      <c r="E37" s="166"/>
      <c r="F37" s="198"/>
      <c r="G37" s="175"/>
      <c r="H37" s="175"/>
      <c r="I37" s="193"/>
      <c r="J37" s="173"/>
      <c r="K37" s="190"/>
      <c r="L37" s="190"/>
      <c r="M37" s="190"/>
      <c r="N37" s="190"/>
      <c r="O37" s="190"/>
      <c r="P37" s="190"/>
      <c r="Q37" s="190"/>
      <c r="R37" s="190"/>
      <c r="S37" s="190"/>
      <c r="T37" s="190"/>
      <c r="U37" s="190"/>
      <c r="V37" s="190"/>
      <c r="W37" s="190"/>
      <c r="X37" s="190"/>
      <c r="Y37" s="190"/>
      <c r="Z37" s="190"/>
      <c r="AA37" s="190"/>
      <c r="AB37" s="190"/>
      <c r="AC37" s="190"/>
      <c r="AD37" s="190"/>
      <c r="AE37" s="190"/>
      <c r="AF37" s="190"/>
      <c r="AG37" s="190"/>
      <c r="AH37" s="190"/>
      <c r="AI37" s="190"/>
      <c r="AJ37" s="190"/>
      <c r="AK37" s="190"/>
      <c r="AL37" s="190"/>
      <c r="AM37" s="190"/>
      <c r="AN37" s="190"/>
      <c r="AO37" s="190"/>
      <c r="AP37" s="190"/>
      <c r="AQ37" s="190"/>
      <c r="AR37" s="190"/>
      <c r="AS37" s="190"/>
      <c r="AT37" s="190"/>
      <c r="AU37" s="190"/>
      <c r="AV37" s="190"/>
      <c r="AW37" s="190"/>
      <c r="AX37" s="190"/>
      <c r="AY37" s="190"/>
      <c r="AZ37" s="190"/>
      <c r="BA37" s="190"/>
      <c r="BB37" s="190"/>
      <c r="BC37" s="190"/>
      <c r="BD37" s="190"/>
      <c r="BE37" s="190"/>
      <c r="BF37" s="190"/>
      <c r="BG37" s="190"/>
      <c r="BH37" s="190"/>
      <c r="BI37" s="190"/>
      <c r="BJ37" s="190"/>
      <c r="BK37" s="190"/>
      <c r="BL37" s="190"/>
      <c r="BM37" s="190"/>
    </row>
    <row r="38" spans="1:65" s="197" customFormat="1">
      <c r="A38" s="181"/>
      <c r="B38" s="194"/>
      <c r="C38" s="193"/>
      <c r="D38" s="167"/>
      <c r="E38" s="170"/>
      <c r="F38" s="175"/>
      <c r="G38" s="175"/>
      <c r="H38" s="175"/>
      <c r="I38" s="170"/>
      <c r="J38" s="170"/>
      <c r="K38" s="196"/>
      <c r="L38" s="196"/>
      <c r="M38" s="196"/>
      <c r="N38" s="196"/>
      <c r="O38" s="196"/>
      <c r="P38" s="196"/>
      <c r="Q38" s="196"/>
      <c r="R38" s="196"/>
      <c r="S38" s="196"/>
      <c r="T38" s="196"/>
      <c r="U38" s="196"/>
      <c r="V38" s="196"/>
      <c r="W38" s="196"/>
      <c r="X38" s="196"/>
      <c r="Y38" s="196"/>
      <c r="Z38" s="196"/>
      <c r="AA38" s="196"/>
      <c r="AB38" s="196"/>
      <c r="AC38" s="196"/>
      <c r="AD38" s="196"/>
      <c r="AE38" s="196"/>
      <c r="AF38" s="196"/>
      <c r="AG38" s="196"/>
      <c r="AH38" s="196"/>
      <c r="AI38" s="196"/>
      <c r="AJ38" s="196"/>
      <c r="AK38" s="196"/>
      <c r="AL38" s="196"/>
      <c r="AM38" s="196"/>
      <c r="AN38" s="196"/>
      <c r="AO38" s="196"/>
      <c r="AP38" s="196"/>
      <c r="AQ38" s="196"/>
      <c r="AR38" s="196"/>
      <c r="AS38" s="196"/>
      <c r="AT38" s="196"/>
      <c r="AU38" s="196"/>
      <c r="AV38" s="196"/>
      <c r="AW38" s="196"/>
      <c r="AX38" s="196"/>
      <c r="AY38" s="196"/>
      <c r="AZ38" s="196"/>
      <c r="BA38" s="196"/>
      <c r="BB38" s="196"/>
      <c r="BC38" s="196"/>
      <c r="BD38" s="196"/>
      <c r="BE38" s="196"/>
      <c r="BF38" s="196"/>
      <c r="BG38" s="196"/>
      <c r="BH38" s="196"/>
      <c r="BI38" s="196"/>
      <c r="BJ38" s="196"/>
      <c r="BK38" s="196"/>
      <c r="BL38" s="196"/>
      <c r="BM38" s="196"/>
    </row>
    <row r="39" spans="1:65" s="197" customFormat="1" ht="12">
      <c r="A39" s="181"/>
      <c r="B39" s="194"/>
      <c r="C39" s="193"/>
      <c r="D39" s="182"/>
      <c r="E39" s="188"/>
      <c r="F39" s="175"/>
      <c r="G39" s="175"/>
      <c r="H39" s="175"/>
      <c r="I39" s="170"/>
      <c r="J39" s="193"/>
      <c r="K39" s="196"/>
      <c r="L39" s="196"/>
      <c r="M39" s="196"/>
      <c r="N39" s="196"/>
      <c r="O39" s="196"/>
      <c r="P39" s="196"/>
      <c r="Q39" s="196"/>
      <c r="R39" s="196"/>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6"/>
      <c r="BD39" s="196"/>
      <c r="BE39" s="196"/>
      <c r="BF39" s="196"/>
      <c r="BG39" s="196"/>
      <c r="BH39" s="196"/>
      <c r="BI39" s="196"/>
      <c r="BJ39" s="196"/>
      <c r="BK39" s="196"/>
      <c r="BL39" s="196"/>
      <c r="BM39" s="196"/>
    </row>
    <row r="40" spans="1:65" s="197" customFormat="1">
      <c r="A40" s="181"/>
      <c r="B40" s="170"/>
      <c r="C40" s="193"/>
      <c r="D40" s="182"/>
      <c r="E40" s="170"/>
      <c r="F40" s="175"/>
      <c r="G40" s="175"/>
      <c r="H40" s="169"/>
      <c r="I40" s="170"/>
      <c r="J40" s="170"/>
      <c r="K40" s="196"/>
      <c r="L40" s="196"/>
      <c r="M40" s="196"/>
      <c r="N40" s="196"/>
      <c r="O40" s="196"/>
      <c r="P40" s="196"/>
      <c r="Q40" s="196"/>
      <c r="R40" s="196"/>
      <c r="S40" s="196"/>
      <c r="T40" s="196"/>
      <c r="U40" s="196"/>
      <c r="V40" s="196"/>
      <c r="W40" s="196"/>
      <c r="X40" s="196"/>
      <c r="Y40" s="196"/>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6"/>
      <c r="BD40" s="196"/>
      <c r="BE40" s="196"/>
      <c r="BF40" s="196"/>
      <c r="BG40" s="196"/>
      <c r="BH40" s="196"/>
      <c r="BI40" s="196"/>
      <c r="BJ40" s="196"/>
      <c r="BK40" s="196"/>
      <c r="BL40" s="196"/>
      <c r="BM40" s="196"/>
    </row>
    <row r="41" spans="1:65" s="191" customFormat="1">
      <c r="A41" s="181"/>
      <c r="B41" s="170"/>
      <c r="C41" s="193"/>
      <c r="D41" s="182"/>
      <c r="E41" s="170"/>
      <c r="F41" s="175"/>
      <c r="G41" s="175"/>
      <c r="H41" s="169"/>
      <c r="I41" s="170"/>
      <c r="J41" s="170"/>
      <c r="K41" s="190"/>
      <c r="L41" s="190"/>
      <c r="M41" s="190"/>
      <c r="N41" s="190"/>
      <c r="O41" s="190"/>
      <c r="P41" s="190"/>
      <c r="Q41" s="190"/>
      <c r="R41" s="190"/>
      <c r="S41" s="190"/>
      <c r="T41" s="190"/>
      <c r="U41" s="190"/>
      <c r="V41" s="190"/>
      <c r="W41" s="190"/>
      <c r="X41" s="190"/>
      <c r="Y41" s="190"/>
      <c r="Z41" s="190"/>
      <c r="AA41" s="190"/>
      <c r="AB41" s="190"/>
      <c r="AC41" s="190"/>
      <c r="AD41" s="190"/>
      <c r="AE41" s="190"/>
      <c r="AF41" s="190"/>
      <c r="AG41" s="190"/>
      <c r="AH41" s="190"/>
      <c r="AI41" s="190"/>
      <c r="AJ41" s="190"/>
      <c r="AK41" s="190"/>
      <c r="AL41" s="190"/>
      <c r="AM41" s="190"/>
      <c r="AN41" s="190"/>
      <c r="AO41" s="190"/>
      <c r="AP41" s="190"/>
      <c r="AQ41" s="190"/>
      <c r="AR41" s="190"/>
      <c r="AS41" s="190"/>
      <c r="AT41" s="190"/>
      <c r="AU41" s="190"/>
      <c r="AV41" s="190"/>
      <c r="AW41" s="190"/>
      <c r="AX41" s="190"/>
      <c r="AY41" s="190"/>
      <c r="AZ41" s="190"/>
      <c r="BA41" s="190"/>
      <c r="BB41" s="190"/>
      <c r="BC41" s="190"/>
      <c r="BD41" s="190"/>
      <c r="BE41" s="190"/>
      <c r="BF41" s="190"/>
      <c r="BG41" s="190"/>
      <c r="BH41" s="190"/>
      <c r="BI41" s="190"/>
      <c r="BJ41" s="190"/>
      <c r="BK41" s="190"/>
      <c r="BL41" s="190"/>
      <c r="BM41" s="190"/>
    </row>
    <row r="42" spans="1:65" s="191" customFormat="1">
      <c r="A42" s="165"/>
      <c r="B42" s="166"/>
      <c r="C42" s="173"/>
      <c r="D42" s="167"/>
      <c r="E42" s="166"/>
      <c r="F42" s="198"/>
      <c r="G42" s="175"/>
      <c r="H42" s="169"/>
      <c r="I42" s="170"/>
      <c r="J42" s="173"/>
      <c r="K42" s="190"/>
      <c r="L42" s="190"/>
      <c r="M42" s="190"/>
      <c r="N42" s="190"/>
      <c r="O42" s="190"/>
      <c r="P42" s="190"/>
      <c r="Q42" s="190"/>
      <c r="R42" s="190"/>
      <c r="S42" s="190"/>
      <c r="T42" s="190"/>
      <c r="U42" s="190"/>
      <c r="V42" s="190"/>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c r="BD42" s="190"/>
      <c r="BE42" s="190"/>
      <c r="BF42" s="190"/>
      <c r="BG42" s="190"/>
      <c r="BH42" s="190"/>
      <c r="BI42" s="190"/>
      <c r="BJ42" s="190"/>
      <c r="BK42" s="190"/>
      <c r="BL42" s="190"/>
      <c r="BM42" s="190"/>
    </row>
    <row r="43" spans="1:65" s="191" customFormat="1">
      <c r="A43" s="165"/>
      <c r="B43" s="166"/>
      <c r="C43" s="173"/>
      <c r="D43" s="167"/>
      <c r="E43" s="166"/>
      <c r="F43" s="198"/>
      <c r="G43" s="175"/>
      <c r="H43" s="169"/>
      <c r="I43" s="170"/>
      <c r="J43" s="173"/>
      <c r="K43" s="190"/>
      <c r="L43" s="190"/>
      <c r="M43" s="190"/>
      <c r="N43" s="190"/>
      <c r="O43" s="190"/>
      <c r="P43" s="190"/>
      <c r="Q43" s="190"/>
      <c r="R43" s="190"/>
      <c r="S43" s="190"/>
      <c r="T43" s="190"/>
      <c r="U43" s="190"/>
      <c r="V43" s="190"/>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90"/>
    </row>
    <row r="44" spans="1:65" s="191" customFormat="1">
      <c r="A44" s="165"/>
      <c r="B44" s="166"/>
      <c r="C44" s="173"/>
      <c r="D44" s="167"/>
      <c r="E44" s="166"/>
      <c r="F44" s="198"/>
      <c r="G44" s="175"/>
      <c r="H44" s="169"/>
      <c r="I44" s="170"/>
      <c r="J44" s="173"/>
      <c r="K44" s="190"/>
      <c r="L44" s="190"/>
      <c r="M44" s="190"/>
      <c r="N44" s="190"/>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row>
    <row r="45" spans="1:65" s="191" customFormat="1">
      <c r="A45" s="165"/>
      <c r="B45" s="166"/>
      <c r="C45" s="173"/>
      <c r="D45" s="167"/>
      <c r="E45" s="166"/>
      <c r="F45" s="198"/>
      <c r="G45" s="175"/>
      <c r="H45" s="169"/>
      <c r="I45" s="170"/>
      <c r="J45" s="202"/>
      <c r="K45" s="190"/>
      <c r="L45" s="190"/>
      <c r="M45" s="190"/>
      <c r="N45" s="190"/>
      <c r="O45" s="190"/>
      <c r="P45" s="190"/>
      <c r="Q45" s="190"/>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90"/>
    </row>
    <row r="46" spans="1:65" s="191" customFormat="1">
      <c r="A46" s="165"/>
      <c r="B46" s="166"/>
      <c r="C46" s="173"/>
      <c r="D46" s="167"/>
      <c r="E46" s="166"/>
      <c r="F46" s="198"/>
      <c r="G46" s="175"/>
      <c r="H46" s="169"/>
      <c r="I46" s="170"/>
      <c r="J46" s="202"/>
      <c r="K46" s="190"/>
      <c r="L46" s="190"/>
      <c r="M46" s="190"/>
      <c r="N46" s="190"/>
      <c r="O46" s="190"/>
      <c r="P46" s="190"/>
      <c r="Q46" s="190"/>
      <c r="R46" s="190"/>
      <c r="S46" s="190"/>
      <c r="T46" s="190"/>
      <c r="U46" s="190"/>
      <c r="V46" s="190"/>
      <c r="W46" s="190"/>
      <c r="X46" s="190"/>
      <c r="Y46" s="190"/>
      <c r="Z46" s="190"/>
      <c r="AA46" s="190"/>
      <c r="AB46" s="190"/>
      <c r="AC46" s="190"/>
      <c r="AD46" s="190"/>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c r="BF46" s="190"/>
      <c r="BG46" s="190"/>
      <c r="BH46" s="190"/>
      <c r="BI46" s="190"/>
      <c r="BJ46" s="190"/>
      <c r="BK46" s="190"/>
      <c r="BL46" s="190"/>
      <c r="BM46" s="190"/>
    </row>
    <row r="47" spans="1:65" s="191" customFormat="1">
      <c r="A47" s="165"/>
      <c r="B47" s="166"/>
      <c r="C47" s="173"/>
      <c r="D47" s="167"/>
      <c r="E47" s="166"/>
      <c r="F47" s="198"/>
      <c r="G47" s="175"/>
      <c r="H47" s="169"/>
      <c r="I47" s="170"/>
      <c r="J47" s="202"/>
      <c r="K47" s="190"/>
      <c r="L47" s="190"/>
      <c r="M47" s="190"/>
      <c r="N47" s="190"/>
      <c r="O47" s="190"/>
      <c r="P47" s="190"/>
      <c r="Q47" s="190"/>
      <c r="R47" s="190"/>
      <c r="S47" s="190"/>
      <c r="T47" s="190"/>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c r="BJ47" s="190"/>
      <c r="BK47" s="190"/>
      <c r="BL47" s="190"/>
      <c r="BM47" s="190"/>
    </row>
    <row r="48" spans="1:65" s="191" customFormat="1">
      <c r="A48" s="181"/>
      <c r="B48" s="170"/>
      <c r="C48" s="193"/>
      <c r="D48" s="204"/>
      <c r="E48" s="170"/>
      <c r="F48" s="175"/>
      <c r="G48" s="175"/>
      <c r="H48" s="169"/>
      <c r="I48" s="170"/>
      <c r="J48" s="170"/>
      <c r="K48" s="190"/>
      <c r="L48" s="190"/>
      <c r="M48" s="190"/>
      <c r="N48" s="190"/>
      <c r="O48" s="190"/>
      <c r="P48" s="190"/>
      <c r="Q48" s="190"/>
      <c r="R48" s="190"/>
      <c r="S48" s="190"/>
      <c r="T48" s="190"/>
      <c r="U48" s="190"/>
      <c r="V48" s="190"/>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190"/>
      <c r="BG48" s="190"/>
      <c r="BH48" s="190"/>
      <c r="BI48" s="190"/>
      <c r="BJ48" s="190"/>
      <c r="BK48" s="190"/>
      <c r="BL48" s="190"/>
      <c r="BM48" s="190"/>
    </row>
    <row r="49" spans="1:65" s="191" customFormat="1">
      <c r="A49" s="181"/>
      <c r="B49" s="170"/>
      <c r="C49" s="193"/>
      <c r="D49" s="182"/>
      <c r="E49" s="170"/>
      <c r="F49" s="175"/>
      <c r="G49" s="175"/>
      <c r="H49" s="169"/>
      <c r="I49" s="170"/>
      <c r="J49" s="193"/>
      <c r="K49" s="190"/>
      <c r="L49" s="190"/>
      <c r="M49" s="190"/>
      <c r="N49" s="190"/>
      <c r="O49" s="190"/>
      <c r="P49" s="190"/>
      <c r="Q49" s="190"/>
      <c r="R49" s="190"/>
      <c r="S49" s="190"/>
      <c r="T49" s="190"/>
      <c r="U49" s="190"/>
      <c r="V49" s="190"/>
      <c r="W49" s="190"/>
      <c r="X49" s="190"/>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c r="BF49" s="190"/>
      <c r="BG49" s="190"/>
      <c r="BH49" s="190"/>
      <c r="BI49" s="190"/>
      <c r="BJ49" s="190"/>
      <c r="BK49" s="190"/>
      <c r="BL49" s="190"/>
      <c r="BM49" s="190"/>
    </row>
    <row r="50" spans="1:65" s="191" customFormat="1">
      <c r="A50" s="181"/>
      <c r="B50" s="170"/>
      <c r="C50" s="193"/>
      <c r="D50" s="182"/>
      <c r="E50" s="170"/>
      <c r="F50" s="175"/>
      <c r="G50" s="175"/>
      <c r="H50" s="169"/>
      <c r="I50" s="170"/>
      <c r="J50" s="193"/>
      <c r="K50" s="190"/>
      <c r="L50" s="190"/>
      <c r="M50" s="190"/>
      <c r="N50" s="190"/>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c r="AV50" s="190"/>
      <c r="AW50" s="190"/>
      <c r="AX50" s="190"/>
      <c r="AY50" s="190"/>
      <c r="AZ50" s="190"/>
      <c r="BA50" s="190"/>
      <c r="BB50" s="190"/>
      <c r="BC50" s="190"/>
      <c r="BD50" s="190"/>
      <c r="BE50" s="190"/>
      <c r="BF50" s="190"/>
      <c r="BG50" s="190"/>
      <c r="BH50" s="190"/>
      <c r="BI50" s="190"/>
      <c r="BJ50" s="190"/>
      <c r="BK50" s="190"/>
      <c r="BL50" s="190"/>
      <c r="BM50" s="190"/>
    </row>
    <row r="51" spans="1:65" s="191" customFormat="1">
      <c r="A51" s="165"/>
      <c r="B51" s="166"/>
      <c r="C51" s="173"/>
      <c r="D51" s="205"/>
      <c r="E51" s="166"/>
      <c r="F51" s="198"/>
      <c r="G51" s="175"/>
      <c r="H51" s="169"/>
      <c r="I51" s="170"/>
      <c r="J51" s="202"/>
      <c r="K51" s="190"/>
      <c r="L51" s="190"/>
      <c r="M51" s="190"/>
      <c r="N51" s="190"/>
      <c r="O51" s="190"/>
      <c r="P51" s="190"/>
      <c r="Q51" s="190"/>
      <c r="R51" s="190"/>
      <c r="S51" s="190"/>
      <c r="T51" s="190"/>
      <c r="U51" s="190"/>
      <c r="V51" s="190"/>
      <c r="W51" s="190"/>
      <c r="X51" s="190"/>
      <c r="Y51" s="190"/>
      <c r="Z51" s="190"/>
      <c r="AA51" s="190"/>
      <c r="AB51" s="190"/>
      <c r="AC51" s="190"/>
      <c r="AD51" s="190"/>
      <c r="AE51" s="190"/>
      <c r="AF51" s="190"/>
      <c r="AG51" s="190"/>
      <c r="AH51" s="190"/>
      <c r="AI51" s="190"/>
      <c r="AJ51" s="190"/>
      <c r="AK51" s="190"/>
      <c r="AL51" s="190"/>
      <c r="AM51" s="190"/>
      <c r="AN51" s="190"/>
      <c r="AO51" s="190"/>
      <c r="AP51" s="190"/>
      <c r="AQ51" s="190"/>
      <c r="AR51" s="190"/>
      <c r="AS51" s="190"/>
      <c r="AT51" s="190"/>
      <c r="AU51" s="190"/>
      <c r="AV51" s="190"/>
      <c r="AW51" s="190"/>
      <c r="AX51" s="190"/>
      <c r="AY51" s="190"/>
      <c r="AZ51" s="190"/>
      <c r="BA51" s="190"/>
      <c r="BB51" s="190"/>
      <c r="BC51" s="190"/>
      <c r="BD51" s="190"/>
      <c r="BE51" s="190"/>
      <c r="BF51" s="190"/>
      <c r="BG51" s="190"/>
      <c r="BH51" s="190"/>
      <c r="BI51" s="190"/>
      <c r="BJ51" s="190"/>
      <c r="BK51" s="190"/>
      <c r="BL51" s="190"/>
      <c r="BM51" s="190"/>
    </row>
    <row r="52" spans="1:65" s="191" customFormat="1">
      <c r="A52" s="165"/>
      <c r="B52" s="166"/>
      <c r="C52" s="173"/>
      <c r="D52" s="205"/>
      <c r="E52" s="166"/>
      <c r="F52" s="198"/>
      <c r="G52" s="175"/>
      <c r="H52" s="169"/>
      <c r="I52" s="170"/>
      <c r="J52" s="202"/>
      <c r="K52" s="190"/>
      <c r="L52" s="190"/>
      <c r="M52" s="190"/>
      <c r="N52" s="190"/>
      <c r="O52" s="190"/>
      <c r="P52" s="190"/>
      <c r="Q52" s="190"/>
      <c r="R52" s="190"/>
      <c r="S52" s="190"/>
      <c r="T52" s="190"/>
      <c r="U52" s="190"/>
      <c r="V52" s="190"/>
      <c r="W52" s="190"/>
      <c r="X52" s="190"/>
      <c r="Y52" s="190"/>
      <c r="Z52" s="190"/>
      <c r="AA52" s="190"/>
      <c r="AB52" s="190"/>
      <c r="AC52" s="190"/>
      <c r="AD52" s="190"/>
      <c r="AE52" s="190"/>
      <c r="AF52" s="190"/>
      <c r="AG52" s="190"/>
      <c r="AH52" s="190"/>
      <c r="AI52" s="190"/>
      <c r="AJ52" s="190"/>
      <c r="AK52" s="190"/>
      <c r="AL52" s="190"/>
      <c r="AM52" s="190"/>
      <c r="AN52" s="190"/>
      <c r="AO52" s="190"/>
      <c r="AP52" s="190"/>
      <c r="AQ52" s="190"/>
      <c r="AR52" s="190"/>
      <c r="AS52" s="190"/>
      <c r="AT52" s="190"/>
      <c r="AU52" s="190"/>
      <c r="AV52" s="190"/>
      <c r="AW52" s="190"/>
      <c r="AX52" s="190"/>
      <c r="AY52" s="190"/>
      <c r="AZ52" s="190"/>
      <c r="BA52" s="190"/>
      <c r="BB52" s="190"/>
      <c r="BC52" s="190"/>
      <c r="BD52" s="190"/>
      <c r="BE52" s="190"/>
      <c r="BF52" s="190"/>
      <c r="BG52" s="190"/>
      <c r="BH52" s="190"/>
      <c r="BI52" s="190"/>
      <c r="BJ52" s="190"/>
      <c r="BK52" s="190"/>
      <c r="BL52" s="190"/>
      <c r="BM52" s="190"/>
    </row>
    <row r="53" spans="1:65" s="191" customFormat="1">
      <c r="A53" s="165"/>
      <c r="B53" s="166"/>
      <c r="C53" s="173"/>
      <c r="D53" s="205"/>
      <c r="E53" s="166"/>
      <c r="F53" s="198"/>
      <c r="G53" s="175"/>
      <c r="H53" s="169"/>
      <c r="I53" s="170"/>
      <c r="J53" s="202"/>
      <c r="K53" s="190"/>
      <c r="L53" s="190"/>
      <c r="M53" s="190"/>
      <c r="N53" s="190"/>
      <c r="O53" s="190"/>
      <c r="P53" s="190"/>
      <c r="Q53" s="190"/>
      <c r="R53" s="190"/>
      <c r="S53" s="190"/>
      <c r="T53" s="190"/>
      <c r="U53" s="190"/>
      <c r="V53" s="190"/>
      <c r="W53" s="190"/>
      <c r="X53" s="190"/>
      <c r="Y53" s="190"/>
      <c r="Z53" s="190"/>
      <c r="AA53" s="190"/>
      <c r="AB53" s="190"/>
      <c r="AC53" s="190"/>
      <c r="AD53" s="190"/>
      <c r="AE53" s="190"/>
      <c r="AF53" s="190"/>
      <c r="AG53" s="190"/>
      <c r="AH53" s="190"/>
      <c r="AI53" s="190"/>
      <c r="AJ53" s="190"/>
      <c r="AK53" s="190"/>
      <c r="AL53" s="190"/>
      <c r="AM53" s="190"/>
      <c r="AN53" s="190"/>
      <c r="AO53" s="190"/>
      <c r="AP53" s="190"/>
      <c r="AQ53" s="190"/>
      <c r="AR53" s="190"/>
      <c r="AS53" s="190"/>
      <c r="AT53" s="190"/>
      <c r="AU53" s="190"/>
      <c r="AV53" s="190"/>
      <c r="AW53" s="190"/>
      <c r="AX53" s="190"/>
      <c r="AY53" s="190"/>
      <c r="AZ53" s="190"/>
      <c r="BA53" s="190"/>
      <c r="BB53" s="190"/>
      <c r="BC53" s="190"/>
      <c r="BD53" s="190"/>
      <c r="BE53" s="190"/>
      <c r="BF53" s="190"/>
      <c r="BG53" s="190"/>
      <c r="BH53" s="190"/>
      <c r="BI53" s="190"/>
      <c r="BJ53" s="190"/>
      <c r="BK53" s="190"/>
      <c r="BL53" s="190"/>
      <c r="BM53" s="190"/>
    </row>
    <row r="54" spans="1:65" s="191" customFormat="1">
      <c r="A54" s="165"/>
      <c r="B54" s="166"/>
      <c r="C54" s="173"/>
      <c r="D54" s="205"/>
      <c r="E54" s="166"/>
      <c r="F54" s="198"/>
      <c r="G54" s="175"/>
      <c r="H54" s="169"/>
      <c r="I54" s="170"/>
      <c r="J54" s="202"/>
      <c r="K54" s="190"/>
      <c r="L54" s="190"/>
      <c r="M54" s="190"/>
      <c r="N54" s="190"/>
      <c r="O54" s="190"/>
      <c r="P54" s="190"/>
      <c r="Q54" s="190"/>
      <c r="R54" s="190"/>
      <c r="S54" s="190"/>
      <c r="T54" s="190"/>
      <c r="U54" s="190"/>
      <c r="V54" s="190"/>
      <c r="W54" s="190"/>
      <c r="X54" s="190"/>
      <c r="Y54" s="190"/>
      <c r="Z54" s="190"/>
      <c r="AA54" s="190"/>
      <c r="AB54" s="190"/>
      <c r="AC54" s="190"/>
      <c r="AD54" s="190"/>
      <c r="AE54" s="190"/>
      <c r="AF54" s="190"/>
      <c r="AG54" s="190"/>
      <c r="AH54" s="190"/>
      <c r="AI54" s="190"/>
      <c r="AJ54" s="190"/>
      <c r="AK54" s="190"/>
      <c r="AL54" s="190"/>
      <c r="AM54" s="190"/>
      <c r="AN54" s="190"/>
      <c r="AO54" s="190"/>
      <c r="AP54" s="190"/>
      <c r="AQ54" s="190"/>
      <c r="AR54" s="190"/>
      <c r="AS54" s="190"/>
      <c r="AT54" s="190"/>
      <c r="AU54" s="190"/>
      <c r="AV54" s="190"/>
      <c r="AW54" s="190"/>
      <c r="AX54" s="190"/>
      <c r="AY54" s="190"/>
      <c r="AZ54" s="190"/>
      <c r="BA54" s="190"/>
      <c r="BB54" s="190"/>
      <c r="BC54" s="190"/>
      <c r="BD54" s="190"/>
      <c r="BE54" s="190"/>
      <c r="BF54" s="190"/>
      <c r="BG54" s="190"/>
      <c r="BH54" s="190"/>
      <c r="BI54" s="190"/>
      <c r="BJ54" s="190"/>
      <c r="BK54" s="190"/>
      <c r="BL54" s="190"/>
      <c r="BM54" s="190"/>
    </row>
    <row r="55" spans="1:65" s="191" customFormat="1">
      <c r="A55" s="165"/>
      <c r="B55" s="166"/>
      <c r="C55" s="173"/>
      <c r="D55" s="205"/>
      <c r="E55" s="166"/>
      <c r="F55" s="198"/>
      <c r="G55" s="175"/>
      <c r="H55" s="169"/>
      <c r="I55" s="170"/>
      <c r="J55" s="202"/>
      <c r="K55" s="190"/>
      <c r="L55" s="190"/>
      <c r="M55" s="190"/>
      <c r="N55" s="190"/>
      <c r="O55" s="190"/>
      <c r="P55" s="190"/>
      <c r="Q55" s="190"/>
      <c r="R55" s="190"/>
      <c r="S55" s="190"/>
      <c r="T55" s="190"/>
      <c r="U55" s="190"/>
      <c r="V55" s="190"/>
      <c r="W55" s="190"/>
      <c r="X55" s="190"/>
      <c r="Y55" s="190"/>
      <c r="Z55" s="190"/>
      <c r="AA55" s="190"/>
      <c r="AB55" s="190"/>
      <c r="AC55" s="190"/>
      <c r="AD55" s="190"/>
      <c r="AE55" s="190"/>
      <c r="AF55" s="190"/>
      <c r="AG55" s="190"/>
      <c r="AH55" s="190"/>
      <c r="AI55" s="190"/>
      <c r="AJ55" s="190"/>
      <c r="AK55" s="190"/>
      <c r="AL55" s="190"/>
      <c r="AM55" s="190"/>
      <c r="AN55" s="190"/>
      <c r="AO55" s="190"/>
      <c r="AP55" s="190"/>
      <c r="AQ55" s="190"/>
      <c r="AR55" s="190"/>
      <c r="AS55" s="190"/>
      <c r="AT55" s="190"/>
      <c r="AU55" s="190"/>
      <c r="AV55" s="190"/>
      <c r="AW55" s="190"/>
      <c r="AX55" s="190"/>
      <c r="AY55" s="190"/>
      <c r="AZ55" s="190"/>
      <c r="BA55" s="190"/>
      <c r="BB55" s="190"/>
      <c r="BC55" s="190"/>
      <c r="BD55" s="190"/>
      <c r="BE55" s="190"/>
      <c r="BF55" s="190"/>
      <c r="BG55" s="190"/>
      <c r="BH55" s="190"/>
      <c r="BI55" s="190"/>
      <c r="BJ55" s="190"/>
      <c r="BK55" s="190"/>
      <c r="BL55" s="190"/>
      <c r="BM55" s="190"/>
    </row>
    <row r="56" spans="1:65" s="191" customFormat="1">
      <c r="A56" s="165"/>
      <c r="B56" s="166"/>
      <c r="C56" s="173"/>
      <c r="D56" s="205"/>
      <c r="E56" s="166"/>
      <c r="F56" s="198"/>
      <c r="G56" s="175"/>
      <c r="H56" s="169"/>
      <c r="I56" s="170"/>
      <c r="J56" s="202"/>
      <c r="K56" s="190"/>
      <c r="L56" s="190"/>
      <c r="M56" s="190"/>
      <c r="N56" s="190"/>
      <c r="O56" s="190"/>
      <c r="P56" s="190"/>
      <c r="Q56" s="190"/>
      <c r="R56" s="190"/>
      <c r="S56" s="190"/>
      <c r="T56" s="190"/>
      <c r="U56" s="190"/>
      <c r="V56" s="190"/>
      <c r="W56" s="190"/>
      <c r="X56" s="190"/>
      <c r="Y56" s="190"/>
      <c r="Z56" s="190"/>
      <c r="AA56" s="190"/>
      <c r="AB56" s="190"/>
      <c r="AC56" s="190"/>
      <c r="AD56" s="190"/>
      <c r="AE56" s="190"/>
      <c r="AF56" s="190"/>
      <c r="AG56" s="190"/>
      <c r="AH56" s="190"/>
      <c r="AI56" s="190"/>
      <c r="AJ56" s="190"/>
      <c r="AK56" s="190"/>
      <c r="AL56" s="190"/>
      <c r="AM56" s="190"/>
      <c r="AN56" s="190"/>
      <c r="AO56" s="190"/>
      <c r="AP56" s="190"/>
      <c r="AQ56" s="190"/>
      <c r="AR56" s="190"/>
      <c r="AS56" s="190"/>
      <c r="AT56" s="190"/>
      <c r="AU56" s="190"/>
      <c r="AV56" s="190"/>
      <c r="AW56" s="190"/>
      <c r="AX56" s="190"/>
      <c r="AY56" s="190"/>
      <c r="AZ56" s="190"/>
      <c r="BA56" s="190"/>
      <c r="BB56" s="190"/>
      <c r="BC56" s="190"/>
      <c r="BD56" s="190"/>
      <c r="BE56" s="190"/>
      <c r="BF56" s="190"/>
      <c r="BG56" s="190"/>
      <c r="BH56" s="190"/>
      <c r="BI56" s="190"/>
      <c r="BJ56" s="190"/>
      <c r="BK56" s="190"/>
      <c r="BL56" s="190"/>
      <c r="BM56" s="190"/>
    </row>
    <row r="57" spans="1:65" s="191" customFormat="1">
      <c r="A57" s="165"/>
      <c r="B57" s="166"/>
      <c r="C57" s="173"/>
      <c r="D57" s="205"/>
      <c r="E57" s="166"/>
      <c r="F57" s="198"/>
      <c r="G57" s="175"/>
      <c r="H57" s="169"/>
      <c r="I57" s="170"/>
      <c r="J57" s="202"/>
      <c r="K57" s="190"/>
      <c r="L57" s="190"/>
      <c r="M57" s="190"/>
      <c r="N57" s="190"/>
      <c r="O57" s="190"/>
      <c r="P57" s="190"/>
      <c r="Q57" s="190"/>
      <c r="R57" s="190"/>
      <c r="S57" s="190"/>
      <c r="T57" s="190"/>
      <c r="U57" s="190"/>
      <c r="V57" s="190"/>
      <c r="W57" s="190"/>
      <c r="X57" s="190"/>
      <c r="Y57" s="190"/>
      <c r="Z57" s="190"/>
      <c r="AA57" s="190"/>
      <c r="AB57" s="190"/>
      <c r="AC57" s="190"/>
      <c r="AD57" s="190"/>
      <c r="AE57" s="190"/>
      <c r="AF57" s="190"/>
      <c r="AG57" s="190"/>
      <c r="AH57" s="190"/>
      <c r="AI57" s="190"/>
      <c r="AJ57" s="190"/>
      <c r="AK57" s="190"/>
      <c r="AL57" s="190"/>
      <c r="AM57" s="190"/>
      <c r="AN57" s="190"/>
      <c r="AO57" s="190"/>
      <c r="AP57" s="190"/>
      <c r="AQ57" s="190"/>
      <c r="AR57" s="190"/>
      <c r="AS57" s="190"/>
      <c r="AT57" s="190"/>
      <c r="AU57" s="190"/>
      <c r="AV57" s="190"/>
      <c r="AW57" s="190"/>
      <c r="AX57" s="190"/>
      <c r="AY57" s="190"/>
      <c r="AZ57" s="190"/>
      <c r="BA57" s="190"/>
      <c r="BB57" s="190"/>
      <c r="BC57" s="190"/>
      <c r="BD57" s="190"/>
      <c r="BE57" s="190"/>
      <c r="BF57" s="190"/>
      <c r="BG57" s="190"/>
      <c r="BH57" s="190"/>
      <c r="BI57" s="190"/>
      <c r="BJ57" s="190"/>
      <c r="BK57" s="190"/>
      <c r="BL57" s="190"/>
      <c r="BM57" s="190"/>
    </row>
    <row r="58" spans="1:65" s="191" customFormat="1">
      <c r="A58" s="165"/>
      <c r="B58" s="166"/>
      <c r="C58" s="173"/>
      <c r="D58" s="205"/>
      <c r="E58" s="166"/>
      <c r="F58" s="198"/>
      <c r="G58" s="175"/>
      <c r="H58" s="169"/>
      <c r="I58" s="170"/>
      <c r="J58" s="202"/>
      <c r="K58" s="190"/>
      <c r="L58" s="190"/>
      <c r="M58" s="190"/>
      <c r="N58" s="190"/>
      <c r="O58" s="190"/>
      <c r="P58" s="190"/>
      <c r="Q58" s="190"/>
      <c r="R58" s="190"/>
      <c r="S58" s="190"/>
      <c r="T58" s="190"/>
      <c r="U58" s="190"/>
      <c r="V58" s="190"/>
      <c r="W58" s="190"/>
      <c r="X58" s="190"/>
      <c r="Y58" s="190"/>
      <c r="Z58" s="190"/>
      <c r="AA58" s="190"/>
      <c r="AB58" s="190"/>
      <c r="AC58" s="190"/>
      <c r="AD58" s="190"/>
      <c r="AE58" s="190"/>
      <c r="AF58" s="190"/>
      <c r="AG58" s="190"/>
      <c r="AH58" s="190"/>
      <c r="AI58" s="190"/>
      <c r="AJ58" s="190"/>
      <c r="AK58" s="190"/>
      <c r="AL58" s="190"/>
      <c r="AM58" s="190"/>
      <c r="AN58" s="190"/>
      <c r="AO58" s="190"/>
      <c r="AP58" s="190"/>
      <c r="AQ58" s="190"/>
      <c r="AR58" s="190"/>
      <c r="AS58" s="190"/>
      <c r="AT58" s="190"/>
      <c r="AU58" s="190"/>
      <c r="AV58" s="190"/>
      <c r="AW58" s="190"/>
      <c r="AX58" s="190"/>
      <c r="AY58" s="190"/>
      <c r="AZ58" s="190"/>
      <c r="BA58" s="190"/>
      <c r="BB58" s="190"/>
      <c r="BC58" s="190"/>
      <c r="BD58" s="190"/>
      <c r="BE58" s="190"/>
      <c r="BF58" s="190"/>
      <c r="BG58" s="190"/>
      <c r="BH58" s="190"/>
      <c r="BI58" s="190"/>
      <c r="BJ58" s="190"/>
      <c r="BK58" s="190"/>
      <c r="BL58" s="190"/>
      <c r="BM58" s="190"/>
    </row>
    <row r="59" spans="1:65" s="207" customFormat="1">
      <c r="A59" s="206"/>
      <c r="B59" s="166"/>
      <c r="C59" s="173"/>
      <c r="D59" s="205"/>
      <c r="E59" s="166"/>
      <c r="F59" s="151"/>
      <c r="G59" s="175"/>
      <c r="H59" s="169"/>
      <c r="I59" s="170"/>
      <c r="J59" s="202"/>
      <c r="K59" s="190"/>
      <c r="L59" s="190"/>
      <c r="M59" s="190"/>
      <c r="N59" s="190"/>
      <c r="O59" s="190"/>
      <c r="P59" s="190"/>
      <c r="Q59" s="190"/>
      <c r="R59" s="190"/>
      <c r="S59" s="190"/>
      <c r="T59" s="190"/>
      <c r="U59" s="190"/>
      <c r="V59" s="190"/>
      <c r="W59" s="190"/>
      <c r="X59" s="190"/>
      <c r="Y59" s="190"/>
      <c r="Z59" s="190"/>
      <c r="AA59" s="190"/>
      <c r="AB59" s="190"/>
      <c r="AC59" s="190"/>
      <c r="AD59" s="190"/>
      <c r="AE59" s="190"/>
      <c r="AF59" s="190"/>
      <c r="AG59" s="190"/>
      <c r="AH59" s="190"/>
      <c r="AI59" s="190"/>
      <c r="AJ59" s="190"/>
      <c r="AK59" s="190"/>
      <c r="AL59" s="190"/>
      <c r="AM59" s="190"/>
      <c r="AN59" s="190"/>
      <c r="AO59" s="190"/>
      <c r="AP59" s="190"/>
      <c r="AQ59" s="190"/>
      <c r="AR59" s="190"/>
      <c r="AS59" s="190"/>
      <c r="AT59" s="190"/>
      <c r="AU59" s="190"/>
      <c r="AV59" s="190"/>
      <c r="AW59" s="190"/>
      <c r="AX59" s="190"/>
      <c r="AY59" s="190"/>
      <c r="AZ59" s="190"/>
      <c r="BA59" s="190"/>
      <c r="BB59" s="190"/>
      <c r="BC59" s="190"/>
      <c r="BD59" s="190"/>
      <c r="BE59" s="190"/>
      <c r="BF59" s="190"/>
      <c r="BG59" s="190"/>
      <c r="BH59" s="190"/>
      <c r="BI59" s="190"/>
      <c r="BJ59" s="190"/>
      <c r="BK59" s="190"/>
      <c r="BL59" s="190"/>
      <c r="BM59" s="190"/>
    </row>
    <row r="60" spans="1:65" s="191" customFormat="1">
      <c r="A60" s="206"/>
      <c r="B60" s="166"/>
      <c r="C60" s="173"/>
      <c r="D60" s="205"/>
      <c r="E60" s="166"/>
      <c r="F60" s="198"/>
      <c r="G60" s="175"/>
      <c r="H60" s="169"/>
      <c r="I60" s="170"/>
      <c r="J60" s="202"/>
      <c r="K60" s="190"/>
      <c r="L60" s="190"/>
      <c r="M60" s="190"/>
      <c r="N60" s="190"/>
      <c r="O60" s="190"/>
      <c r="P60" s="190"/>
      <c r="Q60" s="190"/>
      <c r="R60" s="190"/>
      <c r="S60" s="190"/>
      <c r="T60" s="190"/>
      <c r="U60" s="190"/>
      <c r="V60" s="190"/>
      <c r="W60" s="190"/>
      <c r="X60" s="190"/>
      <c r="Y60" s="190"/>
      <c r="Z60" s="190"/>
      <c r="AA60" s="190"/>
      <c r="AB60" s="190"/>
      <c r="AC60" s="190"/>
      <c r="AD60" s="190"/>
      <c r="AE60" s="190"/>
      <c r="AF60" s="190"/>
      <c r="AG60" s="190"/>
      <c r="AH60" s="190"/>
      <c r="AI60" s="190"/>
      <c r="AJ60" s="190"/>
      <c r="AK60" s="190"/>
      <c r="AL60" s="190"/>
      <c r="AM60" s="190"/>
      <c r="AN60" s="190"/>
      <c r="AO60" s="190"/>
      <c r="AP60" s="190"/>
      <c r="AQ60" s="190"/>
      <c r="AR60" s="190"/>
      <c r="AS60" s="190"/>
      <c r="AT60" s="190"/>
      <c r="AU60" s="190"/>
      <c r="AV60" s="190"/>
      <c r="AW60" s="190"/>
      <c r="AX60" s="190"/>
      <c r="AY60" s="190"/>
      <c r="AZ60" s="190"/>
      <c r="BA60" s="190"/>
      <c r="BB60" s="190"/>
      <c r="BC60" s="190"/>
      <c r="BD60" s="190"/>
      <c r="BE60" s="190"/>
      <c r="BF60" s="190"/>
      <c r="BG60" s="190"/>
      <c r="BH60" s="190"/>
      <c r="BI60" s="190"/>
      <c r="BJ60" s="190"/>
      <c r="BK60" s="190"/>
      <c r="BL60" s="190"/>
      <c r="BM60" s="190"/>
    </row>
    <row r="61" spans="1:65" s="191" customFormat="1">
      <c r="A61" s="206"/>
      <c r="B61" s="166"/>
      <c r="C61" s="173"/>
      <c r="D61" s="205"/>
      <c r="E61" s="166"/>
      <c r="F61" s="198"/>
      <c r="G61" s="175"/>
      <c r="H61" s="169"/>
      <c r="I61" s="170"/>
      <c r="J61" s="202"/>
      <c r="K61" s="190"/>
      <c r="L61" s="190"/>
      <c r="M61" s="190"/>
      <c r="N61" s="190"/>
      <c r="O61" s="190"/>
      <c r="P61" s="190"/>
      <c r="Q61" s="190"/>
      <c r="R61" s="190"/>
      <c r="S61" s="190"/>
      <c r="T61" s="190"/>
      <c r="U61" s="190"/>
      <c r="V61" s="190"/>
      <c r="W61" s="190"/>
      <c r="X61" s="190"/>
      <c r="Y61" s="190"/>
      <c r="Z61" s="190"/>
      <c r="AA61" s="190"/>
      <c r="AB61" s="190"/>
      <c r="AC61" s="190"/>
      <c r="AD61" s="190"/>
      <c r="AE61" s="190"/>
      <c r="AF61" s="190"/>
      <c r="AG61" s="190"/>
      <c r="AH61" s="190"/>
      <c r="AI61" s="190"/>
      <c r="AJ61" s="190"/>
      <c r="AK61" s="190"/>
      <c r="AL61" s="190"/>
      <c r="AM61" s="190"/>
      <c r="AN61" s="190"/>
      <c r="AO61" s="190"/>
      <c r="AP61" s="190"/>
      <c r="AQ61" s="190"/>
      <c r="AR61" s="190"/>
      <c r="AS61" s="190"/>
      <c r="AT61" s="190"/>
      <c r="AU61" s="190"/>
      <c r="AV61" s="190"/>
      <c r="AW61" s="190"/>
      <c r="AX61" s="190"/>
      <c r="AY61" s="190"/>
      <c r="AZ61" s="190"/>
      <c r="BA61" s="190"/>
      <c r="BB61" s="190"/>
      <c r="BC61" s="190"/>
      <c r="BD61" s="190"/>
      <c r="BE61" s="190"/>
      <c r="BF61" s="190"/>
      <c r="BG61" s="190"/>
      <c r="BH61" s="190"/>
      <c r="BI61" s="190"/>
      <c r="BJ61" s="190"/>
      <c r="BK61" s="190"/>
      <c r="BL61" s="190"/>
      <c r="BM61" s="190"/>
    </row>
    <row r="62" spans="1:65" s="191" customFormat="1">
      <c r="A62" s="206"/>
      <c r="B62" s="166"/>
      <c r="C62" s="173"/>
      <c r="D62" s="205"/>
      <c r="E62" s="166"/>
      <c r="F62" s="198"/>
      <c r="G62" s="175"/>
      <c r="H62" s="169"/>
      <c r="I62" s="170"/>
      <c r="J62" s="202"/>
      <c r="K62" s="190"/>
      <c r="L62" s="190"/>
      <c r="M62" s="190"/>
      <c r="N62" s="190"/>
      <c r="O62" s="190"/>
      <c r="P62" s="190"/>
      <c r="Q62" s="190"/>
      <c r="R62" s="190"/>
      <c r="S62" s="190"/>
      <c r="T62" s="190"/>
      <c r="U62" s="190"/>
      <c r="V62" s="190"/>
      <c r="W62" s="190"/>
      <c r="X62" s="190"/>
      <c r="Y62" s="190"/>
      <c r="Z62" s="190"/>
      <c r="AA62" s="190"/>
      <c r="AB62" s="190"/>
      <c r="AC62" s="190"/>
      <c r="AD62" s="190"/>
      <c r="AE62" s="190"/>
      <c r="AF62" s="190"/>
      <c r="AG62" s="190"/>
      <c r="AH62" s="190"/>
      <c r="AI62" s="190"/>
      <c r="AJ62" s="190"/>
      <c r="AK62" s="190"/>
      <c r="AL62" s="190"/>
      <c r="AM62" s="190"/>
      <c r="AN62" s="190"/>
      <c r="AO62" s="190"/>
      <c r="AP62" s="190"/>
      <c r="AQ62" s="190"/>
      <c r="AR62" s="190"/>
      <c r="AS62" s="190"/>
      <c r="AT62" s="190"/>
      <c r="AU62" s="190"/>
      <c r="AV62" s="190"/>
      <c r="AW62" s="190"/>
      <c r="AX62" s="190"/>
      <c r="AY62" s="190"/>
      <c r="AZ62" s="190"/>
      <c r="BA62" s="190"/>
      <c r="BB62" s="190"/>
      <c r="BC62" s="190"/>
      <c r="BD62" s="190"/>
      <c r="BE62" s="190"/>
      <c r="BF62" s="190"/>
      <c r="BG62" s="190"/>
      <c r="BH62" s="190"/>
      <c r="BI62" s="190"/>
      <c r="BJ62" s="190"/>
      <c r="BK62" s="190"/>
      <c r="BL62" s="190"/>
      <c r="BM62" s="190"/>
    </row>
    <row r="63" spans="1:65" s="191" customFormat="1">
      <c r="A63" s="208"/>
      <c r="B63" s="170"/>
      <c r="C63" s="193"/>
      <c r="D63" s="204"/>
      <c r="E63" s="170"/>
      <c r="F63" s="175"/>
      <c r="G63" s="209"/>
      <c r="H63" s="169"/>
      <c r="I63" s="170"/>
      <c r="J63" s="202"/>
      <c r="K63" s="190"/>
      <c r="L63" s="190"/>
      <c r="M63" s="190"/>
      <c r="N63" s="190"/>
      <c r="O63" s="190"/>
      <c r="P63" s="190"/>
      <c r="Q63" s="190"/>
      <c r="R63" s="190"/>
      <c r="S63" s="190"/>
      <c r="T63" s="190"/>
      <c r="U63" s="190"/>
      <c r="V63" s="190"/>
      <c r="W63" s="190"/>
      <c r="X63" s="190"/>
      <c r="Y63" s="190"/>
      <c r="Z63" s="190"/>
      <c r="AA63" s="190"/>
      <c r="AB63" s="190"/>
      <c r="AC63" s="190"/>
      <c r="AD63" s="190"/>
      <c r="AE63" s="190"/>
      <c r="AF63" s="190"/>
      <c r="AG63" s="190"/>
      <c r="AH63" s="190"/>
      <c r="AI63" s="190"/>
      <c r="AJ63" s="190"/>
      <c r="AK63" s="190"/>
      <c r="AL63" s="190"/>
      <c r="AM63" s="190"/>
      <c r="AN63" s="190"/>
      <c r="AO63" s="190"/>
      <c r="AP63" s="190"/>
      <c r="AQ63" s="190"/>
      <c r="AR63" s="190"/>
      <c r="AS63" s="190"/>
      <c r="AT63" s="190"/>
      <c r="AU63" s="190"/>
      <c r="AV63" s="190"/>
      <c r="AW63" s="190"/>
      <c r="AX63" s="190"/>
      <c r="AY63" s="190"/>
      <c r="AZ63" s="190"/>
      <c r="BA63" s="190"/>
      <c r="BB63" s="190"/>
      <c r="BC63" s="190"/>
      <c r="BD63" s="190"/>
      <c r="BE63" s="190"/>
      <c r="BF63" s="190"/>
      <c r="BG63" s="190"/>
      <c r="BH63" s="190"/>
      <c r="BI63" s="190"/>
      <c r="BJ63" s="190"/>
      <c r="BK63" s="190"/>
      <c r="BL63" s="190"/>
      <c r="BM63" s="190"/>
    </row>
    <row r="64" spans="1:65" s="191" customFormat="1">
      <c r="A64" s="208"/>
      <c r="B64" s="170"/>
      <c r="C64" s="193"/>
      <c r="D64" s="204"/>
      <c r="E64" s="170"/>
      <c r="F64" s="175"/>
      <c r="G64" s="175"/>
      <c r="H64" s="169"/>
      <c r="I64" s="170"/>
      <c r="J64" s="193"/>
      <c r="K64" s="190"/>
      <c r="L64" s="190"/>
      <c r="M64" s="190"/>
      <c r="N64" s="190"/>
      <c r="O64" s="190"/>
      <c r="P64" s="190"/>
      <c r="Q64" s="190"/>
      <c r="R64" s="190"/>
      <c r="S64" s="190"/>
      <c r="T64" s="190"/>
      <c r="U64" s="190"/>
      <c r="V64" s="190"/>
      <c r="W64" s="190"/>
      <c r="X64" s="190"/>
      <c r="Y64" s="190"/>
      <c r="Z64" s="190"/>
      <c r="AA64" s="190"/>
      <c r="AB64" s="190"/>
      <c r="AC64" s="190"/>
      <c r="AD64" s="190"/>
      <c r="AE64" s="190"/>
      <c r="AF64" s="190"/>
      <c r="AG64" s="190"/>
      <c r="AH64" s="190"/>
      <c r="AI64" s="190"/>
      <c r="AJ64" s="190"/>
      <c r="AK64" s="190"/>
      <c r="AL64" s="190"/>
      <c r="AM64" s="190"/>
      <c r="AN64" s="190"/>
      <c r="AO64" s="190"/>
      <c r="AP64" s="190"/>
      <c r="AQ64" s="190"/>
      <c r="AR64" s="190"/>
      <c r="AS64" s="190"/>
      <c r="AT64" s="190"/>
      <c r="AU64" s="190"/>
      <c r="AV64" s="190"/>
      <c r="AW64" s="190"/>
      <c r="AX64" s="190"/>
      <c r="AY64" s="190"/>
      <c r="AZ64" s="190"/>
      <c r="BA64" s="190"/>
      <c r="BB64" s="190"/>
      <c r="BC64" s="190"/>
      <c r="BD64" s="190"/>
      <c r="BE64" s="190"/>
      <c r="BF64" s="190"/>
      <c r="BG64" s="190"/>
      <c r="BH64" s="190"/>
      <c r="BI64" s="190"/>
      <c r="BJ64" s="190"/>
      <c r="BK64" s="190"/>
      <c r="BL64" s="190"/>
      <c r="BM64" s="190"/>
    </row>
    <row r="65" spans="1:65" s="191" customFormat="1">
      <c r="A65" s="208"/>
      <c r="B65" s="170"/>
      <c r="C65" s="193"/>
      <c r="D65" s="204"/>
      <c r="E65" s="170"/>
      <c r="F65" s="175"/>
      <c r="G65" s="175"/>
      <c r="H65" s="169"/>
      <c r="I65" s="170"/>
      <c r="J65" s="193"/>
      <c r="K65" s="190"/>
      <c r="L65" s="190"/>
      <c r="M65" s="190"/>
      <c r="N65" s="190"/>
      <c r="O65" s="190"/>
      <c r="P65" s="190"/>
      <c r="Q65" s="190"/>
      <c r="R65" s="190"/>
      <c r="S65" s="190"/>
      <c r="T65" s="190"/>
      <c r="U65" s="190"/>
      <c r="V65" s="190"/>
      <c r="W65" s="190"/>
      <c r="X65" s="190"/>
      <c r="Y65" s="190"/>
      <c r="Z65" s="190"/>
      <c r="AA65" s="190"/>
      <c r="AB65" s="190"/>
      <c r="AC65" s="190"/>
      <c r="AD65" s="190"/>
      <c r="AE65" s="190"/>
      <c r="AF65" s="190"/>
      <c r="AG65" s="190"/>
      <c r="AH65" s="190"/>
      <c r="AI65" s="190"/>
      <c r="AJ65" s="190"/>
      <c r="AK65" s="190"/>
      <c r="AL65" s="190"/>
      <c r="AM65" s="190"/>
      <c r="AN65" s="190"/>
      <c r="AO65" s="190"/>
      <c r="AP65" s="190"/>
      <c r="AQ65" s="190"/>
      <c r="AR65" s="190"/>
      <c r="AS65" s="190"/>
      <c r="AT65" s="190"/>
      <c r="AU65" s="190"/>
      <c r="AV65" s="190"/>
      <c r="AW65" s="190"/>
      <c r="AX65" s="190"/>
      <c r="AY65" s="190"/>
      <c r="AZ65" s="190"/>
      <c r="BA65" s="190"/>
      <c r="BB65" s="190"/>
      <c r="BC65" s="190"/>
      <c r="BD65" s="190"/>
      <c r="BE65" s="190"/>
      <c r="BF65" s="190"/>
      <c r="BG65" s="190"/>
      <c r="BH65" s="190"/>
      <c r="BI65" s="190"/>
      <c r="BJ65" s="190"/>
      <c r="BK65" s="190"/>
      <c r="BL65" s="190"/>
      <c r="BM65" s="190"/>
    </row>
    <row r="66" spans="1:65" s="191" customFormat="1">
      <c r="A66" s="208"/>
      <c r="B66" s="170"/>
      <c r="C66" s="193"/>
      <c r="D66" s="204"/>
      <c r="E66" s="170"/>
      <c r="F66" s="175"/>
      <c r="G66" s="175"/>
      <c r="H66" s="169"/>
      <c r="I66" s="170"/>
      <c r="J66" s="193"/>
      <c r="K66" s="190"/>
      <c r="L66" s="190"/>
      <c r="M66" s="190"/>
      <c r="N66" s="190"/>
      <c r="O66" s="190"/>
      <c r="P66" s="190"/>
      <c r="Q66" s="190"/>
      <c r="R66" s="190"/>
      <c r="S66" s="190"/>
      <c r="T66" s="190"/>
      <c r="U66" s="190"/>
      <c r="V66" s="190"/>
      <c r="W66" s="190"/>
      <c r="X66" s="190"/>
      <c r="Y66" s="190"/>
      <c r="Z66" s="190"/>
      <c r="AA66" s="190"/>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c r="BF66" s="190"/>
      <c r="BG66" s="190"/>
      <c r="BH66" s="190"/>
      <c r="BI66" s="190"/>
      <c r="BJ66" s="190"/>
      <c r="BK66" s="190"/>
      <c r="BL66" s="190"/>
      <c r="BM66" s="190"/>
    </row>
    <row r="67" spans="1:65" s="191" customFormat="1">
      <c r="A67" s="206"/>
      <c r="B67" s="166"/>
      <c r="C67" s="173"/>
      <c r="D67" s="205"/>
      <c r="E67" s="166"/>
      <c r="F67" s="198"/>
      <c r="G67" s="175"/>
      <c r="H67" s="169"/>
      <c r="I67" s="170"/>
      <c r="J67" s="173"/>
      <c r="K67" s="190"/>
      <c r="L67" s="190"/>
      <c r="M67" s="190"/>
      <c r="N67" s="190"/>
      <c r="O67" s="190"/>
      <c r="P67" s="190"/>
      <c r="Q67" s="190"/>
      <c r="R67" s="190"/>
      <c r="S67" s="190"/>
      <c r="T67" s="190"/>
      <c r="U67" s="190"/>
      <c r="V67" s="190"/>
      <c r="W67" s="190"/>
      <c r="X67" s="190"/>
      <c r="Y67" s="190"/>
      <c r="Z67" s="190"/>
      <c r="AA67" s="190"/>
      <c r="AB67" s="190"/>
      <c r="AC67" s="190"/>
      <c r="AD67" s="190"/>
      <c r="AE67" s="190"/>
      <c r="AF67" s="190"/>
      <c r="AG67" s="190"/>
      <c r="AH67" s="190"/>
      <c r="AI67" s="190"/>
      <c r="AJ67" s="190"/>
      <c r="AK67" s="190"/>
      <c r="AL67" s="190"/>
      <c r="AM67" s="190"/>
      <c r="AN67" s="190"/>
      <c r="AO67" s="190"/>
      <c r="AP67" s="190"/>
      <c r="AQ67" s="190"/>
      <c r="AR67" s="190"/>
      <c r="AS67" s="190"/>
      <c r="AT67" s="190"/>
      <c r="AU67" s="190"/>
      <c r="AV67" s="190"/>
      <c r="AW67" s="190"/>
      <c r="AX67" s="190"/>
      <c r="AY67" s="190"/>
      <c r="AZ67" s="190"/>
      <c r="BA67" s="190"/>
      <c r="BB67" s="190"/>
      <c r="BC67" s="190"/>
      <c r="BD67" s="190"/>
      <c r="BE67" s="190"/>
      <c r="BF67" s="190"/>
      <c r="BG67" s="190"/>
      <c r="BH67" s="190"/>
      <c r="BI67" s="190"/>
      <c r="BJ67" s="190"/>
      <c r="BK67" s="190"/>
      <c r="BL67" s="190"/>
      <c r="BM67" s="190"/>
    </row>
    <row r="68" spans="1:65" s="191" customFormat="1" ht="12">
      <c r="A68" s="210"/>
      <c r="B68" s="180"/>
      <c r="C68" s="211"/>
      <c r="D68" s="212"/>
      <c r="E68" s="180"/>
      <c r="F68" s="195"/>
      <c r="G68" s="195"/>
      <c r="H68" s="179"/>
      <c r="I68" s="211"/>
      <c r="J68" s="211"/>
      <c r="K68" s="190"/>
      <c r="L68" s="190"/>
      <c r="M68" s="190"/>
      <c r="N68" s="190"/>
      <c r="O68" s="190"/>
      <c r="P68" s="190"/>
      <c r="Q68" s="190"/>
      <c r="R68" s="190"/>
      <c r="S68" s="190"/>
      <c r="T68" s="190"/>
      <c r="U68" s="190"/>
      <c r="V68" s="190"/>
      <c r="W68" s="190"/>
      <c r="X68" s="190"/>
      <c r="Y68" s="190"/>
      <c r="Z68" s="190"/>
      <c r="AA68" s="190"/>
      <c r="AB68" s="190"/>
      <c r="AC68" s="190"/>
      <c r="AD68" s="190"/>
      <c r="AE68" s="190"/>
      <c r="AF68" s="190"/>
      <c r="AG68" s="190"/>
      <c r="AH68" s="190"/>
      <c r="AI68" s="190"/>
      <c r="AJ68" s="190"/>
      <c r="AK68" s="190"/>
      <c r="AL68" s="190"/>
      <c r="AM68" s="190"/>
      <c r="AN68" s="190"/>
      <c r="AO68" s="190"/>
      <c r="AP68" s="190"/>
      <c r="AQ68" s="190"/>
      <c r="AR68" s="190"/>
      <c r="AS68" s="190"/>
      <c r="AT68" s="190"/>
      <c r="AU68" s="190"/>
      <c r="AV68" s="190"/>
      <c r="AW68" s="190"/>
      <c r="AX68" s="190"/>
      <c r="AY68" s="190"/>
      <c r="AZ68" s="190"/>
      <c r="BA68" s="190"/>
      <c r="BB68" s="190"/>
      <c r="BC68" s="190"/>
      <c r="BD68" s="190"/>
      <c r="BE68" s="190"/>
      <c r="BF68" s="190"/>
      <c r="BG68" s="190"/>
      <c r="BH68" s="190"/>
      <c r="BI68" s="190"/>
      <c r="BJ68" s="190"/>
      <c r="BK68" s="190"/>
      <c r="BL68" s="190"/>
      <c r="BM68" s="190"/>
    </row>
    <row r="69" spans="1:65" s="197" customFormat="1">
      <c r="A69" s="208"/>
      <c r="B69" s="193"/>
      <c r="C69" s="193"/>
      <c r="D69" s="204"/>
      <c r="E69" s="170"/>
      <c r="F69" s="175"/>
      <c r="G69" s="175"/>
      <c r="H69" s="169"/>
      <c r="I69" s="170"/>
      <c r="J69" s="170"/>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6"/>
      <c r="AP69" s="196"/>
      <c r="AQ69" s="196"/>
      <c r="AR69" s="196"/>
      <c r="AS69" s="196"/>
      <c r="AT69" s="196"/>
      <c r="AU69" s="196"/>
      <c r="AV69" s="196"/>
      <c r="AW69" s="196"/>
      <c r="AX69" s="196"/>
      <c r="AY69" s="196"/>
      <c r="AZ69" s="196"/>
      <c r="BA69" s="196"/>
      <c r="BB69" s="196"/>
      <c r="BC69" s="196"/>
      <c r="BD69" s="196"/>
      <c r="BE69" s="196"/>
      <c r="BF69" s="196"/>
      <c r="BG69" s="196"/>
      <c r="BH69" s="196"/>
      <c r="BI69" s="196"/>
      <c r="BJ69" s="196"/>
      <c r="BK69" s="196"/>
      <c r="BL69" s="196"/>
      <c r="BM69" s="196"/>
    </row>
    <row r="70" spans="1:65" s="197" customFormat="1" ht="12">
      <c r="A70" s="210"/>
      <c r="B70" s="180"/>
      <c r="C70" s="211"/>
      <c r="D70" s="212"/>
      <c r="E70" s="180"/>
      <c r="F70" s="195"/>
      <c r="G70" s="195"/>
      <c r="H70" s="179"/>
      <c r="I70" s="211"/>
      <c r="J70" s="211"/>
      <c r="K70" s="196"/>
      <c r="L70" s="196"/>
      <c r="M70" s="196"/>
      <c r="N70" s="196"/>
      <c r="O70" s="196"/>
      <c r="P70" s="196"/>
      <c r="Q70" s="196"/>
      <c r="R70" s="196"/>
      <c r="S70" s="196"/>
      <c r="T70" s="196"/>
      <c r="U70" s="196"/>
      <c r="V70" s="196"/>
      <c r="W70" s="196"/>
      <c r="X70" s="196"/>
      <c r="Y70" s="196"/>
      <c r="Z70" s="196"/>
      <c r="AA70" s="196"/>
      <c r="AB70" s="196"/>
      <c r="AC70" s="196"/>
      <c r="AD70" s="196"/>
      <c r="AE70" s="196"/>
      <c r="AF70" s="196"/>
      <c r="AG70" s="196"/>
      <c r="AH70" s="196"/>
      <c r="AI70" s="196"/>
      <c r="AJ70" s="196"/>
      <c r="AK70" s="196"/>
      <c r="AL70" s="196"/>
      <c r="AM70" s="196"/>
      <c r="AN70" s="196"/>
      <c r="AO70" s="196"/>
      <c r="AP70" s="196"/>
      <c r="AQ70" s="196"/>
      <c r="AR70" s="196"/>
      <c r="AS70" s="196"/>
      <c r="AT70" s="196"/>
      <c r="AU70" s="196"/>
      <c r="AV70" s="196"/>
      <c r="AW70" s="196"/>
      <c r="AX70" s="196"/>
      <c r="AY70" s="196"/>
      <c r="AZ70" s="196"/>
      <c r="BA70" s="196"/>
      <c r="BB70" s="196"/>
      <c r="BC70" s="196"/>
      <c r="BD70" s="196"/>
      <c r="BE70" s="196"/>
      <c r="BF70" s="196"/>
      <c r="BG70" s="196"/>
      <c r="BH70" s="196"/>
      <c r="BI70" s="196"/>
      <c r="BJ70" s="196"/>
      <c r="BK70" s="196"/>
      <c r="BL70" s="196"/>
      <c r="BM70" s="196"/>
    </row>
    <row r="71" spans="1:65" s="191" customFormat="1">
      <c r="A71" s="208"/>
      <c r="B71" s="193"/>
      <c r="C71" s="193"/>
      <c r="D71" s="204"/>
      <c r="E71" s="170"/>
      <c r="F71" s="175"/>
      <c r="G71" s="175"/>
      <c r="H71" s="169"/>
      <c r="I71" s="170"/>
      <c r="J71" s="170"/>
      <c r="K71" s="190"/>
      <c r="L71" s="190"/>
      <c r="M71" s="190"/>
      <c r="N71" s="190"/>
      <c r="O71" s="190"/>
      <c r="P71" s="190"/>
      <c r="Q71" s="190"/>
      <c r="R71" s="190"/>
      <c r="S71" s="190"/>
      <c r="T71" s="190"/>
      <c r="U71" s="190"/>
      <c r="V71" s="190"/>
      <c r="W71" s="190"/>
      <c r="X71" s="190"/>
      <c r="Y71" s="190"/>
      <c r="Z71" s="190"/>
      <c r="AA71" s="190"/>
      <c r="AB71" s="190"/>
      <c r="AC71" s="190"/>
      <c r="AD71" s="190"/>
      <c r="AE71" s="190"/>
      <c r="AF71" s="190"/>
      <c r="AG71" s="190"/>
      <c r="AH71" s="190"/>
      <c r="AI71" s="190"/>
      <c r="AJ71" s="190"/>
      <c r="AK71" s="190"/>
      <c r="AL71" s="190"/>
      <c r="AM71" s="190"/>
      <c r="AN71" s="190"/>
      <c r="AO71" s="190"/>
      <c r="AP71" s="190"/>
      <c r="AQ71" s="190"/>
      <c r="AR71" s="190"/>
      <c r="AS71" s="190"/>
      <c r="AT71" s="190"/>
      <c r="AU71" s="190"/>
      <c r="AV71" s="190"/>
      <c r="AW71" s="190"/>
      <c r="AX71" s="190"/>
      <c r="AY71" s="190"/>
      <c r="AZ71" s="190"/>
      <c r="BA71" s="190"/>
      <c r="BB71" s="190"/>
      <c r="BC71" s="190"/>
      <c r="BD71" s="190"/>
      <c r="BE71" s="190"/>
      <c r="BF71" s="190"/>
      <c r="BG71" s="190"/>
      <c r="BH71" s="190"/>
      <c r="BI71" s="190"/>
      <c r="BJ71" s="190"/>
      <c r="BK71" s="190"/>
      <c r="BL71" s="190"/>
      <c r="BM71" s="190"/>
    </row>
    <row r="72" spans="1:65" s="191" customFormat="1">
      <c r="A72" s="208"/>
      <c r="B72" s="193"/>
      <c r="C72" s="193"/>
      <c r="D72" s="204"/>
      <c r="E72" s="170"/>
      <c r="F72" s="175"/>
      <c r="G72" s="175"/>
      <c r="H72" s="169"/>
      <c r="I72" s="170"/>
      <c r="J72" s="193"/>
      <c r="K72" s="190"/>
      <c r="L72" s="190"/>
      <c r="M72" s="190"/>
      <c r="N72" s="190"/>
      <c r="O72" s="190"/>
      <c r="P72" s="190"/>
      <c r="Q72" s="190"/>
      <c r="R72" s="190"/>
      <c r="S72" s="190"/>
      <c r="T72" s="190"/>
      <c r="U72" s="190"/>
      <c r="V72" s="190"/>
      <c r="W72" s="190"/>
      <c r="X72" s="190"/>
      <c r="Y72" s="190"/>
      <c r="Z72" s="190"/>
      <c r="AA72" s="190"/>
      <c r="AB72" s="190"/>
      <c r="AC72" s="190"/>
      <c r="AD72" s="190"/>
      <c r="AE72" s="190"/>
      <c r="AF72" s="190"/>
      <c r="AG72" s="190"/>
      <c r="AH72" s="190"/>
      <c r="AI72" s="190"/>
      <c r="AJ72" s="190"/>
      <c r="AK72" s="190"/>
      <c r="AL72" s="190"/>
      <c r="AM72" s="190"/>
      <c r="AN72" s="190"/>
      <c r="AO72" s="190"/>
      <c r="AP72" s="190"/>
      <c r="AQ72" s="190"/>
      <c r="AR72" s="190"/>
      <c r="AS72" s="190"/>
      <c r="AT72" s="190"/>
      <c r="AU72" s="190"/>
      <c r="AV72" s="190"/>
      <c r="AW72" s="190"/>
      <c r="AX72" s="190"/>
      <c r="AY72" s="190"/>
      <c r="AZ72" s="190"/>
      <c r="BA72" s="190"/>
      <c r="BB72" s="190"/>
      <c r="BC72" s="190"/>
      <c r="BD72" s="190"/>
      <c r="BE72" s="190"/>
      <c r="BF72" s="190"/>
      <c r="BG72" s="190"/>
      <c r="BH72" s="190"/>
      <c r="BI72" s="190"/>
      <c r="BJ72" s="190"/>
      <c r="BK72" s="190"/>
      <c r="BL72" s="190"/>
      <c r="BM72" s="190"/>
    </row>
    <row r="73" spans="1:65" s="191" customFormat="1">
      <c r="A73" s="208"/>
      <c r="B73" s="193"/>
      <c r="C73" s="193"/>
      <c r="D73" s="204"/>
      <c r="E73" s="170"/>
      <c r="F73" s="175"/>
      <c r="G73" s="175"/>
      <c r="H73" s="169"/>
      <c r="I73" s="170"/>
      <c r="J73" s="193"/>
      <c r="K73" s="190"/>
      <c r="L73" s="190"/>
      <c r="M73" s="190"/>
      <c r="N73" s="190"/>
      <c r="O73" s="190"/>
      <c r="P73" s="190"/>
      <c r="Q73" s="190"/>
      <c r="R73" s="190"/>
      <c r="S73" s="190"/>
      <c r="T73" s="190"/>
      <c r="U73" s="190"/>
      <c r="V73" s="190"/>
      <c r="W73" s="190"/>
      <c r="X73" s="190"/>
      <c r="Y73" s="190"/>
      <c r="Z73" s="190"/>
      <c r="AA73" s="190"/>
      <c r="AB73" s="190"/>
      <c r="AC73" s="190"/>
      <c r="AD73" s="190"/>
      <c r="AE73" s="190"/>
      <c r="AF73" s="190"/>
      <c r="AG73" s="190"/>
      <c r="AH73" s="190"/>
      <c r="AI73" s="190"/>
      <c r="AJ73" s="190"/>
      <c r="AK73" s="190"/>
      <c r="AL73" s="190"/>
      <c r="AM73" s="190"/>
      <c r="AN73" s="190"/>
      <c r="AO73" s="190"/>
      <c r="AP73" s="190"/>
      <c r="AQ73" s="190"/>
      <c r="AR73" s="190"/>
      <c r="AS73" s="190"/>
      <c r="AT73" s="190"/>
      <c r="AU73" s="190"/>
      <c r="AV73" s="190"/>
      <c r="AW73" s="190"/>
      <c r="AX73" s="190"/>
      <c r="AY73" s="190"/>
      <c r="AZ73" s="190"/>
      <c r="BA73" s="190"/>
      <c r="BB73" s="190"/>
      <c r="BC73" s="190"/>
      <c r="BD73" s="190"/>
      <c r="BE73" s="190"/>
      <c r="BF73" s="190"/>
      <c r="BG73" s="190"/>
      <c r="BH73" s="190"/>
      <c r="BI73" s="190"/>
      <c r="BJ73" s="190"/>
      <c r="BK73" s="190"/>
      <c r="BL73" s="190"/>
      <c r="BM73" s="190"/>
    </row>
    <row r="74" spans="1:65" s="197" customFormat="1">
      <c r="A74" s="208"/>
      <c r="B74" s="193"/>
      <c r="C74" s="193"/>
      <c r="D74" s="204"/>
      <c r="E74" s="170"/>
      <c r="F74" s="175"/>
      <c r="G74" s="175"/>
      <c r="H74" s="169"/>
      <c r="I74" s="170"/>
      <c r="J74" s="170"/>
      <c r="K74" s="196"/>
      <c r="L74" s="196"/>
      <c r="M74" s="196"/>
      <c r="N74" s="196"/>
      <c r="O74" s="196"/>
      <c r="P74" s="196"/>
      <c r="Q74" s="196"/>
      <c r="R74" s="196"/>
      <c r="S74" s="196"/>
      <c r="T74" s="196"/>
      <c r="U74" s="196"/>
      <c r="V74" s="196"/>
      <c r="W74" s="196"/>
      <c r="X74" s="196"/>
      <c r="Y74" s="196"/>
      <c r="Z74" s="196"/>
      <c r="AA74" s="196"/>
      <c r="AB74" s="196"/>
      <c r="AC74" s="196"/>
      <c r="AD74" s="196"/>
      <c r="AE74" s="196"/>
      <c r="AF74" s="196"/>
      <c r="AG74" s="196"/>
      <c r="AH74" s="196"/>
      <c r="AI74" s="196"/>
      <c r="AJ74" s="196"/>
      <c r="AK74" s="196"/>
      <c r="AL74" s="196"/>
      <c r="AM74" s="196"/>
      <c r="AN74" s="196"/>
      <c r="AO74" s="196"/>
      <c r="AP74" s="196"/>
      <c r="AQ74" s="196"/>
      <c r="AR74" s="196"/>
      <c r="AS74" s="196"/>
      <c r="AT74" s="196"/>
      <c r="AU74" s="196"/>
      <c r="AV74" s="196"/>
      <c r="AW74" s="196"/>
      <c r="AX74" s="196"/>
      <c r="AY74" s="196"/>
      <c r="AZ74" s="196"/>
      <c r="BA74" s="196"/>
      <c r="BB74" s="196"/>
      <c r="BC74" s="196"/>
      <c r="BD74" s="196"/>
      <c r="BE74" s="196"/>
      <c r="BF74" s="196"/>
      <c r="BG74" s="196"/>
      <c r="BH74" s="196"/>
      <c r="BI74" s="196"/>
      <c r="BJ74" s="196"/>
      <c r="BK74" s="196"/>
      <c r="BL74" s="196"/>
      <c r="BM74" s="196"/>
    </row>
    <row r="75" spans="1:65" s="197" customFormat="1" ht="24" customHeight="1">
      <c r="A75" s="208"/>
      <c r="B75" s="193"/>
      <c r="C75" s="193"/>
      <c r="D75" s="204"/>
      <c r="E75" s="170"/>
      <c r="F75" s="175"/>
      <c r="G75" s="175"/>
      <c r="H75" s="169"/>
      <c r="I75" s="170"/>
      <c r="J75" s="170"/>
      <c r="K75" s="196"/>
      <c r="L75" s="196"/>
      <c r="M75" s="196"/>
      <c r="N75" s="196"/>
      <c r="O75" s="196"/>
      <c r="P75" s="196"/>
      <c r="Q75" s="196"/>
      <c r="R75" s="196"/>
      <c r="S75" s="196"/>
      <c r="T75" s="196"/>
      <c r="U75" s="196"/>
      <c r="V75" s="196"/>
      <c r="W75" s="196"/>
      <c r="X75" s="196"/>
      <c r="Y75" s="196"/>
      <c r="Z75" s="196"/>
      <c r="AA75" s="196"/>
      <c r="AB75" s="196"/>
      <c r="AC75" s="196"/>
      <c r="AD75" s="196"/>
      <c r="AE75" s="196"/>
      <c r="AF75" s="196"/>
      <c r="AG75" s="196"/>
      <c r="AH75" s="196"/>
      <c r="AI75" s="196"/>
      <c r="AJ75" s="196"/>
      <c r="AK75" s="196"/>
      <c r="AL75" s="196"/>
      <c r="AM75" s="196"/>
      <c r="AN75" s="196"/>
      <c r="AO75" s="196"/>
      <c r="AP75" s="196"/>
      <c r="AQ75" s="196"/>
      <c r="AR75" s="196"/>
      <c r="AS75" s="196"/>
      <c r="AT75" s="196"/>
      <c r="AU75" s="196"/>
      <c r="AV75" s="196"/>
      <c r="AW75" s="196"/>
      <c r="AX75" s="196"/>
      <c r="AY75" s="196"/>
      <c r="AZ75" s="196"/>
      <c r="BA75" s="196"/>
      <c r="BB75" s="196"/>
      <c r="BC75" s="196"/>
      <c r="BD75" s="196"/>
      <c r="BE75" s="196"/>
      <c r="BF75" s="196"/>
      <c r="BG75" s="196"/>
      <c r="BH75" s="196"/>
      <c r="BI75" s="196"/>
      <c r="BJ75" s="196"/>
      <c r="BK75" s="196"/>
      <c r="BL75" s="196"/>
      <c r="BM75" s="196"/>
    </row>
    <row r="76" spans="1:65" s="197" customFormat="1" ht="24" customHeight="1">
      <c r="A76" s="208"/>
      <c r="B76" s="193"/>
      <c r="C76" s="193"/>
      <c r="D76" s="204"/>
      <c r="E76" s="170"/>
      <c r="F76" s="175"/>
      <c r="G76" s="175"/>
      <c r="H76" s="169"/>
      <c r="I76" s="170"/>
      <c r="J76" s="170"/>
      <c r="K76" s="196"/>
      <c r="L76" s="196"/>
      <c r="M76" s="196"/>
      <c r="N76" s="196"/>
      <c r="O76" s="196"/>
      <c r="P76" s="196"/>
      <c r="Q76" s="196"/>
      <c r="R76" s="196"/>
      <c r="S76" s="196"/>
      <c r="T76" s="196"/>
      <c r="U76" s="196"/>
      <c r="V76" s="196"/>
      <c r="W76" s="196"/>
      <c r="X76" s="196"/>
      <c r="Y76" s="196"/>
      <c r="Z76" s="196"/>
      <c r="AA76" s="196"/>
      <c r="AB76" s="196"/>
      <c r="AC76" s="196"/>
      <c r="AD76" s="196"/>
      <c r="AE76" s="196"/>
      <c r="AF76" s="196"/>
      <c r="AG76" s="196"/>
      <c r="AH76" s="196"/>
      <c r="AI76" s="196"/>
      <c r="AJ76" s="196"/>
      <c r="AK76" s="196"/>
      <c r="AL76" s="196"/>
      <c r="AM76" s="196"/>
      <c r="AN76" s="196"/>
      <c r="AO76" s="196"/>
      <c r="AP76" s="196"/>
      <c r="AQ76" s="196"/>
      <c r="AR76" s="196"/>
      <c r="AS76" s="196"/>
      <c r="AT76" s="196"/>
      <c r="AU76" s="196"/>
      <c r="AV76" s="196"/>
      <c r="AW76" s="196"/>
      <c r="AX76" s="196"/>
      <c r="AY76" s="196"/>
      <c r="AZ76" s="196"/>
      <c r="BA76" s="196"/>
      <c r="BB76" s="196"/>
      <c r="BC76" s="196"/>
      <c r="BD76" s="196"/>
      <c r="BE76" s="196"/>
      <c r="BF76" s="196"/>
      <c r="BG76" s="196"/>
      <c r="BH76" s="196"/>
      <c r="BI76" s="196"/>
      <c r="BJ76" s="196"/>
      <c r="BK76" s="196"/>
      <c r="BL76" s="196"/>
      <c r="BM76" s="196"/>
    </row>
    <row r="77" spans="1:65" s="191" customFormat="1">
      <c r="A77" s="208"/>
      <c r="B77" s="193"/>
      <c r="C77" s="193"/>
      <c r="D77" s="204"/>
      <c r="E77" s="170"/>
      <c r="F77" s="175"/>
      <c r="G77" s="175"/>
      <c r="H77" s="169"/>
      <c r="I77" s="170"/>
      <c r="J77" s="193"/>
      <c r="K77" s="190"/>
      <c r="L77" s="190"/>
      <c r="M77" s="190"/>
      <c r="N77" s="190"/>
      <c r="O77" s="190"/>
      <c r="P77" s="190"/>
      <c r="Q77" s="190"/>
      <c r="R77" s="190"/>
      <c r="S77" s="190"/>
      <c r="T77" s="190"/>
      <c r="U77" s="190"/>
      <c r="V77" s="190"/>
      <c r="W77" s="190"/>
      <c r="X77" s="190"/>
      <c r="Y77" s="190"/>
      <c r="Z77" s="190"/>
      <c r="AA77" s="190"/>
      <c r="AB77" s="190"/>
      <c r="AC77" s="190"/>
      <c r="AD77" s="190"/>
      <c r="AE77" s="190"/>
      <c r="AF77" s="190"/>
      <c r="AG77" s="190"/>
      <c r="AH77" s="190"/>
      <c r="AI77" s="190"/>
      <c r="AJ77" s="190"/>
      <c r="AK77" s="190"/>
      <c r="AL77" s="190"/>
      <c r="AM77" s="190"/>
      <c r="AN77" s="190"/>
      <c r="AO77" s="190"/>
      <c r="AP77" s="190"/>
      <c r="AQ77" s="190"/>
      <c r="AR77" s="190"/>
      <c r="AS77" s="190"/>
      <c r="AT77" s="190"/>
      <c r="AU77" s="190"/>
      <c r="AV77" s="190"/>
      <c r="AW77" s="190"/>
      <c r="AX77" s="190"/>
      <c r="AY77" s="190"/>
      <c r="AZ77" s="190"/>
      <c r="BA77" s="190"/>
      <c r="BB77" s="190"/>
      <c r="BC77" s="190"/>
      <c r="BD77" s="190"/>
      <c r="BE77" s="190"/>
      <c r="BF77" s="190"/>
      <c r="BG77" s="190"/>
      <c r="BH77" s="190"/>
      <c r="BI77" s="190"/>
      <c r="BJ77" s="190"/>
      <c r="BK77" s="190"/>
      <c r="BL77" s="190"/>
      <c r="BM77" s="190"/>
    </row>
    <row r="78" spans="1:65" s="197" customFormat="1">
      <c r="A78" s="208"/>
      <c r="B78" s="193"/>
      <c r="C78" s="193"/>
      <c r="D78" s="204"/>
      <c r="E78" s="170"/>
      <c r="F78" s="175"/>
      <c r="G78" s="175"/>
      <c r="H78" s="169"/>
      <c r="I78" s="170"/>
      <c r="J78" s="170"/>
      <c r="K78" s="196"/>
      <c r="L78" s="196"/>
      <c r="M78" s="196"/>
      <c r="N78" s="196"/>
      <c r="O78" s="196"/>
      <c r="P78" s="196"/>
      <c r="Q78" s="196"/>
      <c r="R78" s="196"/>
      <c r="S78" s="196"/>
      <c r="T78" s="196"/>
      <c r="U78" s="196"/>
      <c r="V78" s="196"/>
      <c r="W78" s="196"/>
      <c r="X78" s="196"/>
      <c r="Y78" s="196"/>
      <c r="Z78" s="196"/>
      <c r="AA78" s="196"/>
      <c r="AB78" s="196"/>
      <c r="AC78" s="196"/>
      <c r="AD78" s="196"/>
      <c r="AE78" s="196"/>
      <c r="AF78" s="196"/>
      <c r="AG78" s="196"/>
      <c r="AH78" s="196"/>
      <c r="AI78" s="196"/>
      <c r="AJ78" s="196"/>
      <c r="AK78" s="196"/>
      <c r="AL78" s="196"/>
      <c r="AM78" s="196"/>
      <c r="AN78" s="196"/>
      <c r="AO78" s="196"/>
      <c r="AP78" s="196"/>
      <c r="AQ78" s="196"/>
      <c r="AR78" s="196"/>
      <c r="AS78" s="196"/>
      <c r="AT78" s="196"/>
      <c r="AU78" s="196"/>
      <c r="AV78" s="196"/>
      <c r="AW78" s="196"/>
      <c r="AX78" s="196"/>
      <c r="AY78" s="196"/>
      <c r="AZ78" s="196"/>
      <c r="BA78" s="196"/>
      <c r="BB78" s="196"/>
      <c r="BC78" s="196"/>
      <c r="BD78" s="196"/>
      <c r="BE78" s="196"/>
      <c r="BF78" s="196"/>
      <c r="BG78" s="196"/>
      <c r="BH78" s="196"/>
      <c r="BI78" s="196"/>
      <c r="BJ78" s="196"/>
      <c r="BK78" s="196"/>
      <c r="BL78" s="196"/>
      <c r="BM78" s="196"/>
    </row>
    <row r="79" spans="1:65" s="197" customFormat="1">
      <c r="A79" s="208"/>
      <c r="B79" s="193"/>
      <c r="C79" s="193"/>
      <c r="D79" s="204"/>
      <c r="E79" s="170"/>
      <c r="F79" s="175"/>
      <c r="G79" s="175"/>
      <c r="H79" s="169"/>
      <c r="I79" s="170"/>
      <c r="J79" s="170"/>
      <c r="K79" s="196"/>
      <c r="L79" s="196"/>
      <c r="M79" s="196"/>
      <c r="N79" s="196"/>
      <c r="O79" s="196"/>
      <c r="P79" s="196"/>
      <c r="Q79" s="196"/>
      <c r="R79" s="196"/>
      <c r="S79" s="196"/>
      <c r="T79" s="196"/>
      <c r="U79" s="196"/>
      <c r="V79" s="196"/>
      <c r="W79" s="196"/>
      <c r="X79" s="196"/>
      <c r="Y79" s="196"/>
      <c r="Z79" s="196"/>
      <c r="AA79" s="196"/>
      <c r="AB79" s="196"/>
      <c r="AC79" s="196"/>
      <c r="AD79" s="196"/>
      <c r="AE79" s="196"/>
      <c r="AF79" s="196"/>
      <c r="AG79" s="196"/>
      <c r="AH79" s="196"/>
      <c r="AI79" s="196"/>
      <c r="AJ79" s="196"/>
      <c r="AK79" s="196"/>
      <c r="AL79" s="196"/>
      <c r="AM79" s="196"/>
      <c r="AN79" s="196"/>
      <c r="AO79" s="196"/>
      <c r="AP79" s="196"/>
      <c r="AQ79" s="196"/>
      <c r="AR79" s="196"/>
      <c r="AS79" s="196"/>
      <c r="AT79" s="196"/>
      <c r="AU79" s="196"/>
      <c r="AV79" s="196"/>
      <c r="AW79" s="196"/>
      <c r="AX79" s="196"/>
      <c r="AY79" s="196"/>
      <c r="AZ79" s="196"/>
      <c r="BA79" s="196"/>
      <c r="BB79" s="196"/>
      <c r="BC79" s="196"/>
      <c r="BD79" s="196"/>
      <c r="BE79" s="196"/>
      <c r="BF79" s="196"/>
      <c r="BG79" s="196"/>
      <c r="BH79" s="196"/>
      <c r="BI79" s="196"/>
      <c r="BJ79" s="196"/>
      <c r="BK79" s="196"/>
      <c r="BL79" s="196"/>
      <c r="BM79" s="196"/>
    </row>
    <row r="80" spans="1:65" s="191" customFormat="1">
      <c r="A80" s="208"/>
      <c r="B80" s="193"/>
      <c r="C80" s="193"/>
      <c r="D80" s="204"/>
      <c r="E80" s="170"/>
      <c r="F80" s="175"/>
      <c r="G80" s="175"/>
      <c r="H80" s="169"/>
      <c r="I80" s="170"/>
      <c r="J80" s="170"/>
      <c r="K80" s="190"/>
      <c r="L80" s="190"/>
      <c r="M80" s="190"/>
      <c r="N80" s="190"/>
      <c r="O80" s="190"/>
      <c r="P80" s="190"/>
      <c r="Q80" s="190"/>
      <c r="R80" s="190"/>
      <c r="S80" s="190"/>
      <c r="T80" s="190"/>
      <c r="U80" s="190"/>
      <c r="V80" s="190"/>
      <c r="W80" s="190"/>
      <c r="X80" s="190"/>
      <c r="Y80" s="190"/>
      <c r="Z80" s="190"/>
      <c r="AA80" s="190"/>
      <c r="AB80" s="190"/>
      <c r="AC80" s="190"/>
      <c r="AD80" s="190"/>
      <c r="AE80" s="190"/>
      <c r="AF80" s="190"/>
      <c r="AG80" s="190"/>
      <c r="AH80" s="190"/>
      <c r="AI80" s="190"/>
      <c r="AJ80" s="190"/>
      <c r="AK80" s="190"/>
      <c r="AL80" s="190"/>
      <c r="AM80" s="190"/>
      <c r="AN80" s="190"/>
      <c r="AO80" s="190"/>
      <c r="AP80" s="190"/>
      <c r="AQ80" s="190"/>
      <c r="AR80" s="190"/>
      <c r="AS80" s="190"/>
      <c r="AT80" s="190"/>
      <c r="AU80" s="190"/>
      <c r="AV80" s="190"/>
      <c r="AW80" s="190"/>
      <c r="AX80" s="190"/>
      <c r="AY80" s="190"/>
      <c r="AZ80" s="190"/>
      <c r="BA80" s="190"/>
      <c r="BB80" s="190"/>
      <c r="BC80" s="190"/>
      <c r="BD80" s="190"/>
      <c r="BE80" s="190"/>
      <c r="BF80" s="190"/>
      <c r="BG80" s="190"/>
      <c r="BH80" s="190"/>
      <c r="BI80" s="190"/>
      <c r="BJ80" s="190"/>
      <c r="BK80" s="190"/>
      <c r="BL80" s="190"/>
      <c r="BM80" s="190"/>
    </row>
    <row r="81" spans="1:65" s="191" customFormat="1">
      <c r="A81" s="208"/>
      <c r="B81" s="193"/>
      <c r="C81" s="193"/>
      <c r="D81" s="204"/>
      <c r="E81" s="170"/>
      <c r="F81" s="175"/>
      <c r="G81" s="175"/>
      <c r="H81" s="169"/>
      <c r="I81" s="170"/>
      <c r="J81" s="170"/>
      <c r="K81" s="190"/>
      <c r="L81" s="190"/>
      <c r="M81" s="190"/>
      <c r="N81" s="190"/>
      <c r="O81" s="190"/>
      <c r="P81" s="190"/>
      <c r="Q81" s="190"/>
      <c r="R81" s="190"/>
      <c r="S81" s="190"/>
      <c r="T81" s="190"/>
      <c r="U81" s="190"/>
      <c r="V81" s="190"/>
      <c r="W81" s="190"/>
      <c r="X81" s="190"/>
      <c r="Y81" s="190"/>
      <c r="Z81" s="190"/>
      <c r="AA81" s="190"/>
      <c r="AB81" s="190"/>
      <c r="AC81" s="190"/>
      <c r="AD81" s="190"/>
      <c r="AE81" s="190"/>
      <c r="AF81" s="190"/>
      <c r="AG81" s="190"/>
      <c r="AH81" s="190"/>
      <c r="AI81" s="190"/>
      <c r="AJ81" s="190"/>
      <c r="AK81" s="190"/>
      <c r="AL81" s="190"/>
      <c r="AM81" s="190"/>
      <c r="AN81" s="190"/>
      <c r="AO81" s="190"/>
      <c r="AP81" s="190"/>
      <c r="AQ81" s="190"/>
      <c r="AR81" s="190"/>
      <c r="AS81" s="190"/>
      <c r="AT81" s="190"/>
      <c r="AU81" s="190"/>
      <c r="AV81" s="190"/>
      <c r="AW81" s="190"/>
      <c r="AX81" s="190"/>
      <c r="AY81" s="190"/>
      <c r="AZ81" s="190"/>
      <c r="BA81" s="190"/>
      <c r="BB81" s="190"/>
      <c r="BC81" s="190"/>
      <c r="BD81" s="190"/>
      <c r="BE81" s="190"/>
      <c r="BF81" s="190"/>
      <c r="BG81" s="190"/>
      <c r="BH81" s="190"/>
      <c r="BI81" s="190"/>
      <c r="BJ81" s="190"/>
      <c r="BK81" s="190"/>
      <c r="BL81" s="190"/>
      <c r="BM81" s="190"/>
    </row>
    <row r="82" spans="1:65" s="191" customFormat="1">
      <c r="A82" s="208"/>
      <c r="B82" s="193"/>
      <c r="C82" s="193"/>
      <c r="D82" s="204"/>
      <c r="E82" s="170"/>
      <c r="F82" s="175"/>
      <c r="G82" s="175"/>
      <c r="H82" s="169"/>
      <c r="I82" s="170"/>
      <c r="J82" s="170"/>
      <c r="K82" s="190"/>
      <c r="L82" s="190"/>
      <c r="M82" s="190"/>
      <c r="N82" s="190"/>
      <c r="O82" s="190"/>
      <c r="P82" s="190"/>
      <c r="Q82" s="190"/>
      <c r="R82" s="190"/>
      <c r="S82" s="190"/>
      <c r="T82" s="190"/>
      <c r="U82" s="190"/>
      <c r="V82" s="190"/>
      <c r="W82" s="190"/>
      <c r="X82" s="190"/>
      <c r="Y82" s="190"/>
      <c r="Z82" s="190"/>
      <c r="AA82" s="190"/>
      <c r="AB82" s="190"/>
      <c r="AC82" s="190"/>
      <c r="AD82" s="190"/>
      <c r="AE82" s="190"/>
      <c r="AF82" s="190"/>
      <c r="AG82" s="190"/>
      <c r="AH82" s="190"/>
      <c r="AI82" s="190"/>
      <c r="AJ82" s="190"/>
      <c r="AK82" s="190"/>
      <c r="AL82" s="190"/>
      <c r="AM82" s="190"/>
      <c r="AN82" s="190"/>
      <c r="AO82" s="190"/>
      <c r="AP82" s="190"/>
      <c r="AQ82" s="190"/>
      <c r="AR82" s="190"/>
      <c r="AS82" s="190"/>
      <c r="AT82" s="190"/>
      <c r="AU82" s="190"/>
      <c r="AV82" s="190"/>
      <c r="AW82" s="190"/>
      <c r="AX82" s="190"/>
      <c r="AY82" s="190"/>
      <c r="AZ82" s="190"/>
      <c r="BA82" s="190"/>
      <c r="BB82" s="190"/>
      <c r="BC82" s="190"/>
      <c r="BD82" s="190"/>
      <c r="BE82" s="190"/>
      <c r="BF82" s="190"/>
      <c r="BG82" s="190"/>
      <c r="BH82" s="190"/>
      <c r="BI82" s="190"/>
      <c r="BJ82" s="190"/>
      <c r="BK82" s="190"/>
      <c r="BL82" s="190"/>
      <c r="BM82" s="190"/>
    </row>
    <row r="83" spans="1:65" s="191" customFormat="1">
      <c r="A83" s="208"/>
      <c r="B83" s="193"/>
      <c r="C83" s="193"/>
      <c r="D83" s="204"/>
      <c r="E83" s="170"/>
      <c r="F83" s="175"/>
      <c r="G83" s="175"/>
      <c r="H83" s="169"/>
      <c r="I83" s="170"/>
      <c r="J83" s="170"/>
      <c r="K83" s="190"/>
      <c r="L83" s="190"/>
      <c r="M83" s="190"/>
      <c r="N83" s="190"/>
      <c r="O83" s="190"/>
      <c r="P83" s="190"/>
      <c r="Q83" s="190"/>
      <c r="R83" s="190"/>
      <c r="S83" s="190"/>
      <c r="T83" s="190"/>
      <c r="U83" s="190"/>
      <c r="V83" s="190"/>
      <c r="W83" s="190"/>
      <c r="X83" s="190"/>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c r="AY83" s="190"/>
      <c r="AZ83" s="190"/>
      <c r="BA83" s="190"/>
      <c r="BB83" s="190"/>
      <c r="BC83" s="190"/>
      <c r="BD83" s="190"/>
      <c r="BE83" s="190"/>
      <c r="BF83" s="190"/>
      <c r="BG83" s="190"/>
      <c r="BH83" s="190"/>
      <c r="BI83" s="190"/>
      <c r="BJ83" s="190"/>
      <c r="BK83" s="190"/>
      <c r="BL83" s="190"/>
      <c r="BM83" s="190"/>
    </row>
    <row r="84" spans="1:65" s="191" customFormat="1">
      <c r="A84" s="208"/>
      <c r="B84" s="193"/>
      <c r="C84" s="193"/>
      <c r="D84" s="204"/>
      <c r="E84" s="170"/>
      <c r="F84" s="175"/>
      <c r="G84" s="175"/>
      <c r="H84" s="169"/>
      <c r="I84" s="170"/>
      <c r="J84" s="170"/>
      <c r="K84" s="190"/>
      <c r="L84" s="190"/>
      <c r="M84" s="190"/>
      <c r="N84" s="190"/>
      <c r="O84" s="190"/>
      <c r="P84" s="190"/>
      <c r="Q84" s="190"/>
      <c r="R84" s="190"/>
      <c r="S84" s="190"/>
      <c r="T84" s="190"/>
      <c r="U84" s="190"/>
      <c r="V84" s="190"/>
      <c r="W84" s="190"/>
      <c r="X84" s="190"/>
      <c r="Y84" s="190"/>
      <c r="Z84" s="190"/>
      <c r="AA84" s="190"/>
      <c r="AB84" s="190"/>
      <c r="AC84" s="190"/>
      <c r="AD84" s="190"/>
      <c r="AE84" s="190"/>
      <c r="AF84" s="190"/>
      <c r="AG84" s="190"/>
      <c r="AH84" s="190"/>
      <c r="AI84" s="190"/>
      <c r="AJ84" s="190"/>
      <c r="AK84" s="190"/>
      <c r="AL84" s="190"/>
      <c r="AM84" s="190"/>
      <c r="AN84" s="190"/>
      <c r="AO84" s="190"/>
      <c r="AP84" s="190"/>
      <c r="AQ84" s="190"/>
      <c r="AR84" s="190"/>
      <c r="AS84" s="190"/>
      <c r="AT84" s="190"/>
      <c r="AU84" s="190"/>
      <c r="AV84" s="190"/>
      <c r="AW84" s="190"/>
      <c r="AX84" s="190"/>
      <c r="AY84" s="190"/>
      <c r="AZ84" s="190"/>
      <c r="BA84" s="190"/>
      <c r="BB84" s="190"/>
      <c r="BC84" s="190"/>
      <c r="BD84" s="190"/>
      <c r="BE84" s="190"/>
      <c r="BF84" s="190"/>
      <c r="BG84" s="190"/>
      <c r="BH84" s="190"/>
      <c r="BI84" s="190"/>
      <c r="BJ84" s="190"/>
      <c r="BK84" s="190"/>
      <c r="BL84" s="190"/>
      <c r="BM84" s="190"/>
    </row>
    <row r="85" spans="1:65" s="197" customFormat="1">
      <c r="A85" s="208"/>
      <c r="B85" s="193"/>
      <c r="C85" s="193"/>
      <c r="D85" s="204"/>
      <c r="E85" s="170"/>
      <c r="F85" s="175"/>
      <c r="G85" s="175"/>
      <c r="H85" s="169"/>
      <c r="I85" s="170"/>
      <c r="J85" s="170"/>
      <c r="K85" s="196"/>
      <c r="L85" s="196"/>
      <c r="M85" s="196"/>
      <c r="N85" s="196"/>
      <c r="O85" s="196"/>
      <c r="P85" s="196"/>
      <c r="Q85" s="196"/>
      <c r="R85" s="196"/>
      <c r="S85" s="196"/>
      <c r="T85" s="196"/>
      <c r="U85" s="196"/>
      <c r="V85" s="196"/>
      <c r="W85" s="196"/>
      <c r="X85" s="196"/>
      <c r="Y85" s="196"/>
      <c r="Z85" s="196"/>
      <c r="AA85" s="196"/>
      <c r="AB85" s="196"/>
      <c r="AC85" s="196"/>
      <c r="AD85" s="196"/>
      <c r="AE85" s="196"/>
      <c r="AF85" s="196"/>
      <c r="AG85" s="196"/>
      <c r="AH85" s="196"/>
      <c r="AI85" s="196"/>
      <c r="AJ85" s="196"/>
      <c r="AK85" s="196"/>
      <c r="AL85" s="196"/>
      <c r="AM85" s="196"/>
      <c r="AN85" s="196"/>
      <c r="AO85" s="196"/>
      <c r="AP85" s="196"/>
      <c r="AQ85" s="196"/>
      <c r="AR85" s="196"/>
      <c r="AS85" s="196"/>
      <c r="AT85" s="196"/>
      <c r="AU85" s="196"/>
      <c r="AV85" s="196"/>
      <c r="AW85" s="196"/>
      <c r="AX85" s="196"/>
      <c r="AY85" s="196"/>
      <c r="AZ85" s="196"/>
      <c r="BA85" s="196"/>
      <c r="BB85" s="196"/>
      <c r="BC85" s="196"/>
      <c r="BD85" s="196"/>
      <c r="BE85" s="196"/>
      <c r="BF85" s="196"/>
      <c r="BG85" s="196"/>
      <c r="BH85" s="196"/>
      <c r="BI85" s="196"/>
      <c r="BJ85" s="196"/>
      <c r="BK85" s="196"/>
      <c r="BL85" s="196"/>
      <c r="BM85" s="196"/>
    </row>
    <row r="86" spans="1:65" s="191" customFormat="1">
      <c r="A86" s="208"/>
      <c r="B86" s="193"/>
      <c r="C86" s="193"/>
      <c r="D86" s="204"/>
      <c r="E86" s="170"/>
      <c r="F86" s="175"/>
      <c r="G86" s="175"/>
      <c r="H86" s="169"/>
      <c r="I86" s="170"/>
      <c r="J86" s="170"/>
      <c r="K86" s="190"/>
      <c r="L86" s="190"/>
      <c r="M86" s="190"/>
      <c r="N86" s="190"/>
      <c r="O86" s="190"/>
      <c r="P86" s="190"/>
      <c r="Q86" s="190"/>
      <c r="R86" s="190"/>
      <c r="S86" s="190"/>
      <c r="T86" s="190"/>
      <c r="U86" s="190"/>
      <c r="V86" s="190"/>
      <c r="W86" s="190"/>
      <c r="X86" s="190"/>
      <c r="Y86" s="190"/>
      <c r="Z86" s="190"/>
      <c r="AA86" s="190"/>
      <c r="AB86" s="190"/>
      <c r="AC86" s="190"/>
      <c r="AD86" s="190"/>
      <c r="AE86" s="190"/>
      <c r="AF86" s="190"/>
      <c r="AG86" s="190"/>
      <c r="AH86" s="190"/>
      <c r="AI86" s="190"/>
      <c r="AJ86" s="190"/>
      <c r="AK86" s="190"/>
      <c r="AL86" s="190"/>
      <c r="AM86" s="190"/>
      <c r="AN86" s="190"/>
      <c r="AO86" s="190"/>
      <c r="AP86" s="190"/>
      <c r="AQ86" s="190"/>
      <c r="AR86" s="190"/>
      <c r="AS86" s="190"/>
      <c r="AT86" s="190"/>
      <c r="AU86" s="190"/>
      <c r="AV86" s="190"/>
      <c r="AW86" s="190"/>
      <c r="AX86" s="190"/>
      <c r="AY86" s="190"/>
      <c r="AZ86" s="190"/>
      <c r="BA86" s="190"/>
      <c r="BB86" s="190"/>
      <c r="BC86" s="190"/>
      <c r="BD86" s="190"/>
      <c r="BE86" s="190"/>
      <c r="BF86" s="190"/>
      <c r="BG86" s="190"/>
      <c r="BH86" s="190"/>
      <c r="BI86" s="190"/>
      <c r="BJ86" s="190"/>
      <c r="BK86" s="190"/>
      <c r="BL86" s="190"/>
      <c r="BM86" s="190"/>
    </row>
    <row r="87" spans="1:65" s="191" customFormat="1">
      <c r="A87" s="208"/>
      <c r="B87" s="193"/>
      <c r="C87" s="193"/>
      <c r="D87" s="204"/>
      <c r="E87" s="170"/>
      <c r="F87" s="175"/>
      <c r="G87" s="175"/>
      <c r="H87" s="169"/>
      <c r="I87" s="170"/>
      <c r="J87" s="170"/>
      <c r="K87" s="190"/>
      <c r="L87" s="190"/>
      <c r="M87" s="190"/>
      <c r="N87" s="190"/>
      <c r="O87" s="190"/>
      <c r="P87" s="190"/>
      <c r="Q87" s="190"/>
      <c r="R87" s="190"/>
      <c r="S87" s="190"/>
      <c r="T87" s="190"/>
      <c r="U87" s="190"/>
      <c r="V87" s="190"/>
      <c r="W87" s="190"/>
      <c r="X87" s="190"/>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c r="BF87" s="190"/>
      <c r="BG87" s="190"/>
      <c r="BH87" s="190"/>
      <c r="BI87" s="190"/>
      <c r="BJ87" s="190"/>
      <c r="BK87" s="190"/>
      <c r="BL87" s="190"/>
      <c r="BM87" s="190"/>
    </row>
    <row r="88" spans="1:65">
      <c r="A88" s="208"/>
      <c r="B88" s="193"/>
      <c r="C88" s="193"/>
      <c r="D88" s="204"/>
      <c r="E88" s="170"/>
      <c r="F88" s="175"/>
      <c r="G88" s="175"/>
      <c r="H88" s="169"/>
      <c r="I88" s="170"/>
      <c r="J88" s="170"/>
    </row>
    <row r="89" spans="1:65">
      <c r="A89" s="208"/>
      <c r="B89" s="193"/>
      <c r="C89" s="193"/>
      <c r="D89" s="204"/>
      <c r="E89" s="170"/>
      <c r="F89" s="175"/>
      <c r="G89" s="175"/>
      <c r="H89" s="169"/>
      <c r="I89" s="193"/>
      <c r="J89" s="170"/>
    </row>
    <row r="90" spans="1:65" s="150" customFormat="1">
      <c r="A90" s="208"/>
      <c r="B90" s="193"/>
      <c r="C90" s="193"/>
      <c r="D90" s="204"/>
      <c r="E90" s="170"/>
      <c r="F90" s="175"/>
      <c r="G90" s="175"/>
      <c r="H90" s="169"/>
      <c r="I90" s="193"/>
      <c r="J90" s="170"/>
      <c r="K90" s="209"/>
      <c r="L90" s="209"/>
      <c r="M90" s="209"/>
      <c r="N90" s="209"/>
      <c r="O90" s="209"/>
      <c r="P90" s="209"/>
      <c r="Q90" s="209"/>
      <c r="R90" s="209"/>
      <c r="S90" s="209"/>
      <c r="T90" s="209"/>
      <c r="U90" s="209"/>
      <c r="V90" s="209"/>
      <c r="W90" s="209"/>
      <c r="X90" s="209"/>
      <c r="Y90" s="209"/>
      <c r="Z90" s="209"/>
      <c r="AA90" s="209"/>
      <c r="AB90" s="209"/>
      <c r="AC90" s="209"/>
      <c r="AD90" s="209"/>
      <c r="AE90" s="209"/>
      <c r="AF90" s="209"/>
      <c r="AG90" s="209"/>
      <c r="AH90" s="209"/>
      <c r="AI90" s="209"/>
      <c r="AJ90" s="209"/>
      <c r="AK90" s="209"/>
      <c r="AL90" s="209"/>
      <c r="AM90" s="209"/>
      <c r="AN90" s="209"/>
      <c r="AO90" s="209"/>
      <c r="AP90" s="209"/>
      <c r="AQ90" s="209"/>
      <c r="AR90" s="209"/>
      <c r="AS90" s="209"/>
      <c r="AT90" s="209"/>
      <c r="AU90" s="209"/>
      <c r="AV90" s="209"/>
      <c r="AW90" s="209"/>
      <c r="AX90" s="209"/>
      <c r="AY90" s="209"/>
      <c r="AZ90" s="209"/>
      <c r="BA90" s="209"/>
      <c r="BB90" s="209"/>
      <c r="BC90" s="209"/>
      <c r="BD90" s="209"/>
      <c r="BE90" s="209"/>
      <c r="BF90" s="209"/>
      <c r="BG90" s="209"/>
      <c r="BH90" s="209"/>
      <c r="BI90" s="209"/>
      <c r="BJ90" s="209"/>
      <c r="BK90" s="209"/>
      <c r="BL90" s="209"/>
      <c r="BM90" s="209"/>
    </row>
    <row r="91" spans="1:65">
      <c r="A91" s="208"/>
      <c r="B91" s="193"/>
      <c r="C91" s="193"/>
      <c r="D91" s="204"/>
      <c r="E91" s="170"/>
      <c r="F91" s="175"/>
      <c r="G91" s="175"/>
      <c r="H91" s="169"/>
      <c r="I91" s="193"/>
      <c r="J91" s="170"/>
    </row>
    <row r="92" spans="1:65">
      <c r="A92" s="208"/>
      <c r="B92" s="193"/>
      <c r="C92" s="193"/>
      <c r="D92" s="204"/>
      <c r="E92" s="170"/>
      <c r="F92" s="175"/>
      <c r="G92" s="175"/>
      <c r="H92" s="169"/>
      <c r="I92" s="193"/>
      <c r="J92" s="170"/>
    </row>
    <row r="93" spans="1:65" ht="12">
      <c r="F93" s="213">
        <f>SUM(F6:F92)</f>
        <v>120388959</v>
      </c>
      <c r="G93" s="213">
        <f>SUM(G6:G92)</f>
        <v>0</v>
      </c>
      <c r="H93" s="213">
        <f>F93-G93</f>
        <v>120388959</v>
      </c>
    </row>
    <row r="94" spans="1:65">
      <c r="J94" s="214"/>
    </row>
    <row r="95" spans="1:65" ht="12">
      <c r="B95" s="143" t="s">
        <v>286</v>
      </c>
      <c r="C95" s="144"/>
      <c r="D95" s="144"/>
      <c r="E95" s="86"/>
      <c r="F95" s="215"/>
      <c r="G95" s="145"/>
      <c r="H95" s="144" t="s">
        <v>287</v>
      </c>
    </row>
    <row r="97" spans="8:8">
      <c r="H97" s="147"/>
    </row>
    <row r="98" spans="8:8">
      <c r="H98" s="147"/>
    </row>
    <row r="99" spans="8:8">
      <c r="H99" s="147"/>
    </row>
  </sheetData>
  <autoFilter ref="A5:J93" xr:uid="{00000000-0009-0000-0000-000000000000}"/>
  <pageMargins left="0.70866141732283472" right="0.70866141732283472" top="0.74803149606299213" bottom="0.74803149606299213" header="0.31496062992125984" footer="0.31496062992125984"/>
  <pageSetup scale="70" orientation="landscape" r:id="rId1"/>
  <colBreaks count="1" manualBreakCount="1">
    <brk id="10" max="1048575" man="1"/>
  </col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26D95-B3CF-4BA3-AF43-01088A651D53}">
  <sheetPr>
    <tabColor rgb="FF00B0F0"/>
  </sheetPr>
  <dimension ref="A1:W988"/>
  <sheetViews>
    <sheetView workbookViewId="0">
      <pane xSplit="9" ySplit="3" topLeftCell="J4" activePane="bottomRight" state="frozen"/>
      <selection activeCell="J20" sqref="J20"/>
      <selection pane="topRight" activeCell="J20" sqref="J20"/>
      <selection pane="bottomLeft" activeCell="J20" sqref="J20"/>
      <selection pane="bottomRight" activeCell="J15" sqref="J15"/>
    </sheetView>
  </sheetViews>
  <sheetFormatPr baseColWidth="10" defaultColWidth="13" defaultRowHeight="15" customHeight="1"/>
  <cols>
    <col min="1" max="1" width="8.796875" style="47" customWidth="1"/>
    <col min="2" max="2" width="8.296875" style="47" customWidth="1"/>
    <col min="3" max="3" width="6.69921875" style="47" customWidth="1"/>
    <col min="4" max="4" width="7.3984375" style="47" customWidth="1"/>
    <col min="5" max="5" width="10.796875" style="47" customWidth="1"/>
    <col min="6" max="6" width="16.19921875" style="47" customWidth="1"/>
    <col min="7" max="8" width="8.69921875" style="47" customWidth="1"/>
    <col min="9" max="9" width="9.3984375" style="47" customWidth="1"/>
    <col min="10" max="10" width="26.296875" style="47" customWidth="1"/>
    <col min="11" max="11" width="14.59765625" style="47" customWidth="1"/>
    <col min="12" max="12" width="11" style="47" customWidth="1"/>
    <col min="13" max="13" width="13.69921875" style="47" customWidth="1"/>
    <col min="14" max="14" width="10.09765625" style="47" customWidth="1"/>
    <col min="15" max="15" width="8.796875" style="47" customWidth="1"/>
    <col min="16" max="16" width="11.5" style="47" customWidth="1"/>
    <col min="17" max="23" width="10.296875" style="47" customWidth="1"/>
    <col min="24" max="16384" width="13" style="47"/>
  </cols>
  <sheetData>
    <row r="1" spans="1:23" ht="20.399999999999999">
      <c r="A1" s="44" t="s">
        <v>252</v>
      </c>
      <c r="B1" s="44"/>
      <c r="C1" s="45"/>
      <c r="D1" s="45"/>
      <c r="E1" s="45"/>
      <c r="F1" s="45"/>
      <c r="G1" s="45"/>
      <c r="H1" s="45"/>
      <c r="I1" s="45"/>
      <c r="J1" s="45"/>
      <c r="K1" s="45"/>
      <c r="L1" s="46"/>
      <c r="M1" s="46"/>
      <c r="N1" s="46"/>
      <c r="O1" s="46"/>
      <c r="P1" s="46"/>
      <c r="Q1" s="45"/>
      <c r="R1" s="45"/>
      <c r="S1" s="45"/>
      <c r="T1" s="45"/>
      <c r="U1" s="45"/>
      <c r="V1" s="45"/>
      <c r="W1" s="45"/>
    </row>
    <row r="2" spans="1:23" ht="11.25" customHeight="1">
      <c r="A2" s="48"/>
      <c r="B2" s="48"/>
      <c r="C2" s="45"/>
      <c r="D2" s="45"/>
      <c r="E2" s="45"/>
      <c r="F2" s="45"/>
      <c r="G2" s="45"/>
      <c r="H2" s="45"/>
      <c r="I2" s="49">
        <v>1</v>
      </c>
      <c r="J2" s="49">
        <v>2</v>
      </c>
      <c r="K2" s="49">
        <v>3</v>
      </c>
      <c r="L2" s="49">
        <v>4</v>
      </c>
      <c r="M2" s="49">
        <v>5</v>
      </c>
      <c r="N2" s="49">
        <v>6</v>
      </c>
      <c r="O2" s="49">
        <v>7</v>
      </c>
      <c r="P2" s="49">
        <v>8</v>
      </c>
      <c r="Q2" s="45"/>
      <c r="R2" s="45"/>
      <c r="S2" s="45"/>
      <c r="T2" s="45"/>
      <c r="U2" s="45"/>
      <c r="V2" s="45"/>
      <c r="W2" s="45"/>
    </row>
    <row r="3" spans="1:23" ht="11.25" customHeight="1">
      <c r="A3" s="50" t="s">
        <v>253</v>
      </c>
      <c r="B3" s="50" t="s">
        <v>254</v>
      </c>
      <c r="C3" s="51" t="s">
        <v>255</v>
      </c>
      <c r="D3" s="51" t="s">
        <v>256</v>
      </c>
      <c r="E3" s="51" t="s">
        <v>257</v>
      </c>
      <c r="F3" s="51" t="s">
        <v>258</v>
      </c>
      <c r="G3" s="51" t="s">
        <v>268</v>
      </c>
      <c r="H3" s="51" t="s">
        <v>259</v>
      </c>
      <c r="I3" s="51" t="s">
        <v>260</v>
      </c>
      <c r="J3" s="52" t="s">
        <v>261</v>
      </c>
      <c r="K3" s="52" t="s">
        <v>262</v>
      </c>
      <c r="L3" s="53" t="s">
        <v>263</v>
      </c>
      <c r="M3" s="53" t="s">
        <v>223</v>
      </c>
      <c r="N3" s="53" t="s">
        <v>230</v>
      </c>
      <c r="O3" s="54" t="s">
        <v>264</v>
      </c>
      <c r="P3" s="55" t="s">
        <v>265</v>
      </c>
      <c r="Q3" s="56"/>
      <c r="R3" s="56"/>
      <c r="S3" s="56"/>
      <c r="T3" s="56"/>
      <c r="U3" s="56"/>
      <c r="V3" s="56"/>
      <c r="W3" s="56"/>
    </row>
    <row r="4" spans="1:23" ht="11.25" customHeight="1">
      <c r="A4" s="61"/>
      <c r="B4" s="61"/>
      <c r="C4" s="61"/>
      <c r="D4" s="61"/>
      <c r="E4" s="61"/>
      <c r="F4" s="61"/>
      <c r="G4" s="61"/>
      <c r="H4" s="61"/>
      <c r="I4" s="61"/>
      <c r="J4" s="61"/>
      <c r="K4" s="57"/>
      <c r="L4" s="58"/>
      <c r="M4" s="58"/>
      <c r="N4" s="58"/>
      <c r="O4" s="59"/>
      <c r="P4" s="60">
        <f>+SUM(P5:P6)</f>
        <v>0</v>
      </c>
      <c r="Q4" s="56"/>
      <c r="R4" s="56"/>
      <c r="S4" s="56"/>
      <c r="T4" s="56"/>
      <c r="U4" s="56"/>
      <c r="V4" s="56"/>
      <c r="W4" s="56"/>
    </row>
    <row r="5" spans="1:23" ht="14.4">
      <c r="A5" s="61"/>
      <c r="B5" s="61"/>
      <c r="C5" s="61"/>
      <c r="D5" s="61"/>
      <c r="E5" s="61"/>
      <c r="F5" s="61"/>
      <c r="G5" s="61"/>
      <c r="H5" s="61"/>
      <c r="I5" s="61"/>
      <c r="J5" s="61"/>
      <c r="K5" s="57"/>
      <c r="L5" s="58"/>
      <c r="M5" s="62"/>
      <c r="N5" s="58"/>
      <c r="O5" s="63"/>
      <c r="P5" s="64">
        <f>+L5*M5*N5*O5</f>
        <v>0</v>
      </c>
      <c r="Q5" s="56"/>
      <c r="R5" s="56"/>
      <c r="S5" s="56"/>
      <c r="T5" s="56"/>
      <c r="U5" s="56"/>
      <c r="V5" s="56"/>
      <c r="W5" s="56"/>
    </row>
    <row r="6" spans="1:23" ht="14.4">
      <c r="A6" s="61"/>
      <c r="B6" s="61"/>
      <c r="C6" s="61"/>
      <c r="D6" s="61"/>
      <c r="E6" s="61"/>
      <c r="F6" s="61"/>
      <c r="G6" s="61"/>
      <c r="H6" s="61"/>
      <c r="I6" s="61"/>
      <c r="J6" s="61"/>
      <c r="K6" s="57"/>
      <c r="L6" s="65"/>
      <c r="M6" s="66"/>
      <c r="N6" s="65"/>
      <c r="O6" s="67"/>
      <c r="P6" s="64">
        <f t="shared" ref="P6:P7" si="0">+L6*M6*N6*O6</f>
        <v>0</v>
      </c>
      <c r="Q6" s="56"/>
      <c r="R6" s="56"/>
      <c r="S6" s="56"/>
      <c r="T6" s="56"/>
      <c r="U6" s="56"/>
      <c r="V6" s="56"/>
      <c r="W6" s="56"/>
    </row>
    <row r="7" spans="1:23" ht="14.4">
      <c r="A7" s="61"/>
      <c r="B7" s="61"/>
      <c r="C7" s="61"/>
      <c r="D7" s="61"/>
      <c r="E7" s="61"/>
      <c r="F7" s="61"/>
      <c r="G7" s="61"/>
      <c r="H7" s="61"/>
      <c r="I7" s="61"/>
      <c r="J7" s="61"/>
      <c r="K7" s="68"/>
      <c r="L7" s="58"/>
      <c r="M7" s="58"/>
      <c r="N7" s="58"/>
      <c r="O7" s="69"/>
      <c r="P7" s="64">
        <f t="shared" si="0"/>
        <v>0</v>
      </c>
      <c r="Q7" s="56"/>
      <c r="R7" s="56"/>
      <c r="S7" s="56"/>
      <c r="T7" s="56"/>
      <c r="U7" s="56"/>
      <c r="V7" s="56"/>
      <c r="W7" s="56"/>
    </row>
    <row r="8" spans="1:23" ht="11.25" customHeight="1">
      <c r="A8" s="61"/>
      <c r="B8" s="61"/>
      <c r="C8" s="61"/>
      <c r="D8" s="61"/>
      <c r="E8" s="61"/>
      <c r="F8" s="61"/>
      <c r="G8" s="61"/>
      <c r="H8" s="61"/>
      <c r="I8" s="61"/>
      <c r="J8" s="61"/>
      <c r="K8" s="68"/>
      <c r="L8" s="58"/>
      <c r="M8" s="58"/>
      <c r="N8" s="58"/>
      <c r="O8" s="59"/>
      <c r="P8" s="60"/>
      <c r="Q8" s="56"/>
      <c r="R8" s="56"/>
      <c r="S8" s="56"/>
      <c r="T8" s="56"/>
      <c r="U8" s="56"/>
      <c r="V8" s="56"/>
      <c r="W8" s="56"/>
    </row>
    <row r="9" spans="1:23" ht="14.4">
      <c r="A9" s="61"/>
      <c r="B9" s="61"/>
      <c r="C9" s="61"/>
      <c r="D9" s="61"/>
      <c r="E9" s="61"/>
      <c r="F9" s="61"/>
      <c r="G9" s="61"/>
      <c r="H9" s="61"/>
      <c r="I9" s="61"/>
      <c r="J9" s="61"/>
      <c r="K9" s="68"/>
      <c r="L9" s="58"/>
      <c r="M9" s="70"/>
      <c r="N9" s="58"/>
      <c r="O9" s="71"/>
      <c r="P9" s="64">
        <f>+L9*M9*N9*O9</f>
        <v>0</v>
      </c>
      <c r="Q9" s="56"/>
      <c r="R9" s="56"/>
      <c r="S9" s="56"/>
      <c r="T9" s="56"/>
      <c r="U9" s="56"/>
      <c r="V9" s="56"/>
      <c r="W9" s="56"/>
    </row>
    <row r="10" spans="1:23" ht="11.25" customHeight="1">
      <c r="A10" s="61"/>
      <c r="B10" s="61"/>
      <c r="C10" s="61"/>
      <c r="D10" s="61"/>
      <c r="E10" s="61"/>
      <c r="F10" s="61"/>
      <c r="G10" s="61"/>
      <c r="H10" s="61"/>
      <c r="I10" s="61"/>
      <c r="J10" s="61"/>
      <c r="K10" s="68"/>
      <c r="L10" s="58"/>
      <c r="M10" s="58"/>
      <c r="N10" s="58"/>
      <c r="O10" s="59"/>
      <c r="P10" s="72">
        <f>+L10*M10*N10*O10</f>
        <v>0</v>
      </c>
      <c r="Q10" s="56"/>
      <c r="R10" s="56"/>
      <c r="S10" s="56"/>
      <c r="T10" s="56"/>
      <c r="U10" s="56"/>
      <c r="V10" s="56"/>
      <c r="W10" s="56"/>
    </row>
    <row r="11" spans="1:23" ht="11.25" customHeight="1">
      <c r="A11" s="61"/>
      <c r="B11" s="61"/>
      <c r="C11" s="61"/>
      <c r="D11" s="61"/>
      <c r="E11" s="61"/>
      <c r="F11" s="61"/>
      <c r="G11" s="61"/>
      <c r="H11" s="61"/>
      <c r="I11" s="61"/>
      <c r="J11" s="61"/>
      <c r="K11" s="57"/>
      <c r="L11" s="58"/>
      <c r="M11" s="58"/>
      <c r="N11" s="58"/>
      <c r="O11" s="59"/>
      <c r="P11" s="60"/>
      <c r="Q11" s="56"/>
      <c r="R11" s="56"/>
      <c r="S11" s="56"/>
      <c r="T11" s="56"/>
      <c r="U11" s="56"/>
      <c r="V11" s="56"/>
      <c r="W11" s="56"/>
    </row>
    <row r="12" spans="1:23" ht="14.4">
      <c r="A12" s="61"/>
      <c r="B12" s="61"/>
      <c r="C12" s="61"/>
      <c r="D12" s="61"/>
      <c r="E12" s="61"/>
      <c r="F12" s="61"/>
      <c r="G12" s="61"/>
      <c r="H12" s="61"/>
      <c r="I12" s="61"/>
      <c r="J12" s="61"/>
      <c r="K12" s="57"/>
      <c r="L12" s="58"/>
      <c r="M12" s="62"/>
      <c r="N12" s="58"/>
      <c r="O12" s="63"/>
      <c r="P12" s="64">
        <f>+L12*M12*N12*O12</f>
        <v>0</v>
      </c>
      <c r="Q12" s="56"/>
      <c r="R12" s="56"/>
      <c r="S12" s="56"/>
      <c r="T12" s="56"/>
      <c r="U12" s="56"/>
      <c r="V12" s="56"/>
      <c r="W12" s="56"/>
    </row>
    <row r="13" spans="1:23" ht="14.4">
      <c r="A13" s="61"/>
      <c r="B13" s="61"/>
      <c r="C13" s="61"/>
      <c r="D13" s="61"/>
      <c r="E13" s="61"/>
      <c r="F13" s="61"/>
      <c r="G13" s="61"/>
      <c r="H13" s="61"/>
      <c r="I13" s="61"/>
      <c r="J13" s="61"/>
      <c r="K13" s="57"/>
      <c r="L13" s="58"/>
      <c r="M13" s="58"/>
      <c r="N13" s="58"/>
      <c r="O13" s="59"/>
      <c r="P13" s="60"/>
      <c r="Q13" s="56"/>
      <c r="R13" s="56"/>
      <c r="S13" s="56"/>
      <c r="T13" s="56"/>
      <c r="U13" s="56"/>
      <c r="V13" s="56"/>
      <c r="W13" s="56"/>
    </row>
    <row r="14" spans="1:23" ht="14.4">
      <c r="A14" s="61"/>
      <c r="B14" s="61"/>
      <c r="C14" s="61"/>
      <c r="D14" s="61"/>
      <c r="E14" s="61"/>
      <c r="F14" s="61"/>
      <c r="G14" s="61"/>
      <c r="H14" s="61"/>
      <c r="I14" s="61"/>
      <c r="J14" s="61"/>
      <c r="K14" s="57"/>
      <c r="L14" s="58"/>
      <c r="M14" s="62"/>
      <c r="N14" s="58"/>
      <c r="O14" s="63"/>
      <c r="P14" s="64">
        <f>+L14*M14*N14*O14</f>
        <v>0</v>
      </c>
      <c r="Q14" s="56"/>
      <c r="R14" s="56"/>
      <c r="S14" s="56"/>
      <c r="T14" s="56"/>
      <c r="U14" s="56"/>
      <c r="V14" s="56"/>
      <c r="W14" s="56"/>
    </row>
    <row r="15" spans="1:23" ht="14.4">
      <c r="A15" s="61"/>
      <c r="B15" s="61"/>
      <c r="C15" s="61"/>
      <c r="D15" s="61"/>
      <c r="E15" s="61"/>
      <c r="F15" s="61"/>
      <c r="G15" s="61"/>
      <c r="H15" s="61"/>
      <c r="I15" s="61"/>
      <c r="J15" s="61"/>
      <c r="K15" s="68"/>
      <c r="L15" s="58"/>
      <c r="M15" s="73"/>
      <c r="N15" s="58"/>
      <c r="O15" s="73"/>
      <c r="P15" s="64"/>
      <c r="Q15" s="56"/>
      <c r="R15" s="56"/>
      <c r="S15" s="56"/>
      <c r="T15" s="56"/>
      <c r="U15" s="56"/>
      <c r="V15" s="56"/>
      <c r="W15" s="56"/>
    </row>
    <row r="16" spans="1:23" ht="14.4">
      <c r="A16" s="61"/>
      <c r="B16" s="61"/>
      <c r="C16" s="61"/>
      <c r="D16" s="61"/>
      <c r="E16" s="61"/>
      <c r="F16" s="61"/>
      <c r="G16" s="61"/>
      <c r="H16" s="61"/>
      <c r="I16" s="61"/>
      <c r="J16" s="61"/>
      <c r="K16" s="68"/>
      <c r="L16" s="58"/>
      <c r="M16" s="70"/>
      <c r="N16" s="58"/>
      <c r="O16" s="70"/>
      <c r="P16" s="64">
        <f>+L16*M16*N16*O16</f>
        <v>0</v>
      </c>
      <c r="Q16" s="56"/>
      <c r="R16" s="56"/>
      <c r="S16" s="56"/>
      <c r="T16" s="56"/>
      <c r="U16" s="56"/>
      <c r="V16" s="56"/>
      <c r="W16" s="56"/>
    </row>
    <row r="17" spans="1:23" ht="14.4">
      <c r="A17" s="61"/>
      <c r="B17" s="61"/>
      <c r="C17" s="61"/>
      <c r="D17" s="61"/>
      <c r="E17" s="61"/>
      <c r="F17" s="61"/>
      <c r="G17" s="61"/>
      <c r="H17" s="61"/>
      <c r="I17" s="61"/>
      <c r="J17" s="61"/>
      <c r="K17" s="68"/>
      <c r="L17" s="58"/>
      <c r="M17" s="70"/>
      <c r="N17" s="58"/>
      <c r="O17" s="70"/>
      <c r="P17" s="64">
        <f>+L17*M17*N17*O17</f>
        <v>0</v>
      </c>
      <c r="Q17" s="56"/>
      <c r="R17" s="56"/>
      <c r="S17" s="56"/>
      <c r="T17" s="56"/>
      <c r="U17" s="56"/>
      <c r="V17" s="56"/>
      <c r="W17" s="56"/>
    </row>
    <row r="18" spans="1:23" ht="14.4">
      <c r="A18" s="61"/>
      <c r="B18" s="61"/>
      <c r="C18" s="61"/>
      <c r="D18" s="61"/>
      <c r="E18" s="61"/>
      <c r="F18" s="61"/>
      <c r="G18" s="61"/>
      <c r="H18" s="61"/>
      <c r="I18" s="61"/>
      <c r="J18" s="61"/>
      <c r="K18" s="68"/>
      <c r="L18" s="58"/>
      <c r="M18" s="70"/>
      <c r="N18" s="58"/>
      <c r="O18" s="70"/>
      <c r="P18" s="64">
        <f>+L18*M18*N18*O18</f>
        <v>0</v>
      </c>
      <c r="Q18" s="56"/>
      <c r="R18" s="56"/>
      <c r="S18" s="56"/>
      <c r="T18" s="56"/>
      <c r="U18" s="56"/>
      <c r="V18" s="56"/>
      <c r="W18" s="56"/>
    </row>
    <row r="19" spans="1:23" ht="14.4">
      <c r="A19" s="61"/>
      <c r="B19" s="61"/>
      <c r="C19" s="61"/>
      <c r="D19" s="61"/>
      <c r="E19" s="61"/>
      <c r="F19" s="61"/>
      <c r="G19" s="61"/>
      <c r="H19" s="61"/>
      <c r="I19" s="61"/>
      <c r="J19" s="61"/>
      <c r="K19" s="68"/>
      <c r="L19" s="58"/>
      <c r="M19" s="73"/>
      <c r="N19" s="58"/>
      <c r="O19" s="73"/>
      <c r="P19" s="64"/>
      <c r="Q19" s="56"/>
      <c r="R19" s="56"/>
      <c r="S19" s="56"/>
      <c r="T19" s="56"/>
      <c r="U19" s="56"/>
      <c r="V19" s="56"/>
      <c r="W19" s="56"/>
    </row>
    <row r="20" spans="1:23" ht="14.4">
      <c r="A20" s="61"/>
      <c r="B20" s="61"/>
      <c r="C20" s="61"/>
      <c r="D20" s="61"/>
      <c r="E20" s="61"/>
      <c r="F20" s="61"/>
      <c r="G20" s="61"/>
      <c r="H20" s="61"/>
      <c r="I20" s="61"/>
      <c r="J20" s="61"/>
      <c r="K20" s="68"/>
      <c r="L20" s="58"/>
      <c r="M20" s="58"/>
      <c r="N20" s="58"/>
      <c r="O20" s="71"/>
      <c r="P20" s="64">
        <f t="shared" ref="P20:P21" si="1">+L20*M20*N20*O20</f>
        <v>0</v>
      </c>
      <c r="Q20" s="56"/>
      <c r="R20" s="56"/>
      <c r="S20" s="56"/>
      <c r="T20" s="56"/>
      <c r="U20" s="56"/>
      <c r="V20" s="56"/>
      <c r="W20" s="56"/>
    </row>
    <row r="21" spans="1:23" ht="14.4">
      <c r="A21" s="61"/>
      <c r="B21" s="61"/>
      <c r="C21" s="61"/>
      <c r="D21" s="61"/>
      <c r="E21" s="61"/>
      <c r="F21" s="61"/>
      <c r="G21" s="61"/>
      <c r="H21" s="61"/>
      <c r="I21" s="61"/>
      <c r="J21" s="61"/>
      <c r="K21" s="68"/>
      <c r="L21" s="58"/>
      <c r="M21" s="58"/>
      <c r="N21" s="58"/>
      <c r="O21" s="73"/>
      <c r="P21" s="64">
        <f t="shared" si="1"/>
        <v>0</v>
      </c>
      <c r="Q21" s="56"/>
      <c r="R21" s="56"/>
      <c r="S21" s="56"/>
      <c r="T21" s="56"/>
      <c r="U21" s="56"/>
      <c r="V21" s="56"/>
      <c r="W21" s="56"/>
    </row>
    <row r="22" spans="1:23" ht="11.25" customHeight="1">
      <c r="A22" s="61"/>
      <c r="B22" s="61"/>
      <c r="C22" s="61"/>
      <c r="D22" s="61"/>
      <c r="E22" s="61"/>
      <c r="F22" s="61"/>
      <c r="G22" s="61"/>
      <c r="H22" s="61"/>
      <c r="I22" s="61"/>
      <c r="J22" s="61"/>
      <c r="K22" s="68"/>
      <c r="L22" s="58"/>
      <c r="M22" s="58"/>
      <c r="N22" s="58"/>
      <c r="O22" s="59"/>
      <c r="P22" s="60"/>
      <c r="Q22" s="56"/>
      <c r="R22" s="56"/>
      <c r="S22" s="56"/>
      <c r="T22" s="56"/>
      <c r="U22" s="56"/>
      <c r="V22" s="56"/>
      <c r="W22" s="56"/>
    </row>
    <row r="23" spans="1:23" ht="11.25" customHeight="1">
      <c r="A23" s="74"/>
      <c r="B23" s="74"/>
      <c r="C23" s="74"/>
      <c r="D23" s="74"/>
      <c r="E23" s="74"/>
      <c r="F23" s="74"/>
      <c r="G23" s="74"/>
      <c r="H23" s="74"/>
      <c r="I23" s="74"/>
      <c r="J23" s="74" t="s">
        <v>267</v>
      </c>
      <c r="K23" s="75"/>
      <c r="L23" s="76"/>
      <c r="M23" s="77"/>
      <c r="N23" s="77"/>
      <c r="O23" s="78" t="s">
        <v>267</v>
      </c>
      <c r="P23" s="78">
        <f>SUM(P5:P22)</f>
        <v>0</v>
      </c>
      <c r="Q23" s="56"/>
      <c r="R23" s="56"/>
      <c r="S23" s="56"/>
      <c r="T23" s="56"/>
      <c r="U23" s="56"/>
      <c r="V23" s="56"/>
      <c r="W23" s="56"/>
    </row>
    <row r="24" spans="1:23" ht="11.25" customHeight="1">
      <c r="A24" s="48"/>
      <c r="B24" s="48"/>
      <c r="C24" s="45"/>
      <c r="D24" s="45"/>
      <c r="E24" s="45"/>
      <c r="F24" s="45"/>
      <c r="G24" s="45"/>
      <c r="H24" s="45"/>
      <c r="I24" s="45"/>
      <c r="J24" s="45"/>
      <c r="K24" s="45"/>
      <c r="L24" s="46"/>
      <c r="M24" s="46"/>
      <c r="N24" s="46"/>
      <c r="O24" s="46"/>
      <c r="P24" s="45"/>
      <c r="Q24" s="45"/>
      <c r="R24" s="45"/>
      <c r="S24" s="45"/>
      <c r="T24" s="45"/>
      <c r="U24" s="45"/>
      <c r="V24" s="45"/>
      <c r="W24" s="45"/>
    </row>
    <row r="25" spans="1:23" ht="11.25" customHeight="1">
      <c r="A25" s="48"/>
      <c r="B25" s="48"/>
      <c r="C25" s="45"/>
      <c r="D25" s="45"/>
      <c r="E25" s="45"/>
      <c r="F25" s="45"/>
      <c r="G25" s="45"/>
      <c r="H25" s="45"/>
      <c r="I25" s="45"/>
      <c r="J25" s="45"/>
      <c r="K25" s="45"/>
      <c r="L25" s="46"/>
      <c r="M25" s="46"/>
      <c r="N25" s="46"/>
      <c r="O25" s="46"/>
      <c r="P25" s="46"/>
      <c r="Q25" s="45"/>
      <c r="R25" s="45"/>
      <c r="S25" s="45"/>
      <c r="T25" s="45"/>
      <c r="U25" s="45"/>
      <c r="V25" s="45"/>
      <c r="W25" s="45"/>
    </row>
    <row r="26" spans="1:23" ht="11.25" customHeight="1">
      <c r="A26" s="48"/>
      <c r="B26" s="48"/>
      <c r="C26" s="45"/>
      <c r="D26" s="45"/>
      <c r="E26" s="45"/>
      <c r="F26" s="45"/>
      <c r="G26" s="45"/>
      <c r="H26" s="45"/>
      <c r="I26" s="45"/>
      <c r="J26" s="45"/>
      <c r="K26" s="45"/>
      <c r="L26" s="46"/>
      <c r="M26" s="46"/>
      <c r="N26" s="46"/>
      <c r="O26" s="46"/>
      <c r="P26" s="46"/>
      <c r="Q26" s="45"/>
      <c r="R26" s="45"/>
      <c r="S26" s="45"/>
      <c r="T26" s="45"/>
      <c r="U26" s="45"/>
      <c r="V26" s="45"/>
      <c r="W26" s="45"/>
    </row>
    <row r="27" spans="1:23" ht="11.25" customHeight="1">
      <c r="A27" s="48"/>
      <c r="B27" s="48"/>
      <c r="C27" s="45"/>
      <c r="D27" s="45"/>
      <c r="E27" s="45"/>
      <c r="F27" s="45"/>
      <c r="G27" s="45"/>
      <c r="H27" s="45"/>
      <c r="I27" s="45"/>
      <c r="J27" s="45"/>
      <c r="K27" s="45"/>
      <c r="L27" s="46"/>
      <c r="M27" s="46"/>
      <c r="N27" s="46"/>
      <c r="O27" s="46"/>
      <c r="P27" s="46"/>
      <c r="Q27" s="45"/>
      <c r="R27" s="45"/>
      <c r="S27" s="45"/>
      <c r="T27" s="45"/>
      <c r="U27" s="45"/>
      <c r="V27" s="45"/>
      <c r="W27" s="45"/>
    </row>
    <row r="28" spans="1:23" ht="11.25" customHeight="1">
      <c r="A28" s="48"/>
      <c r="B28" s="48"/>
      <c r="C28" s="45"/>
      <c r="D28" s="45"/>
      <c r="E28" s="45"/>
      <c r="F28" s="45"/>
      <c r="G28" s="45"/>
      <c r="H28" s="45"/>
      <c r="I28" s="45"/>
      <c r="J28" s="45"/>
      <c r="K28" s="45"/>
      <c r="L28" s="46"/>
      <c r="M28" s="46"/>
      <c r="N28" s="46"/>
      <c r="O28" s="46"/>
      <c r="P28" s="46"/>
      <c r="Q28" s="45"/>
      <c r="R28" s="45"/>
      <c r="S28" s="45"/>
      <c r="T28" s="45"/>
      <c r="U28" s="45"/>
      <c r="V28" s="45"/>
      <c r="W28" s="45"/>
    </row>
    <row r="29" spans="1:23" ht="11.25" customHeight="1">
      <c r="A29" s="48"/>
      <c r="B29" s="48"/>
      <c r="C29" s="45"/>
      <c r="D29" s="45"/>
      <c r="E29" s="45"/>
      <c r="F29" s="45"/>
      <c r="G29" s="45"/>
      <c r="H29" s="45"/>
      <c r="I29" s="45"/>
      <c r="J29" s="45"/>
      <c r="K29" s="45"/>
      <c r="L29" s="46"/>
      <c r="M29" s="46"/>
      <c r="N29" s="46"/>
      <c r="O29" s="46"/>
      <c r="P29" s="46"/>
      <c r="Q29" s="45"/>
      <c r="R29" s="45"/>
      <c r="S29" s="45"/>
      <c r="T29" s="45"/>
      <c r="U29" s="45"/>
      <c r="V29" s="45"/>
      <c r="W29" s="45"/>
    </row>
    <row r="30" spans="1:23" ht="11.25" customHeight="1">
      <c r="A30" s="48"/>
      <c r="B30" s="48"/>
      <c r="C30" s="45"/>
      <c r="D30" s="45"/>
      <c r="E30" s="45"/>
      <c r="F30" s="45"/>
      <c r="G30" s="45"/>
      <c r="H30" s="45"/>
      <c r="I30" s="45"/>
      <c r="J30" s="45"/>
      <c r="K30" s="45"/>
      <c r="L30" s="46"/>
      <c r="M30" s="46"/>
      <c r="N30" s="46"/>
      <c r="O30" s="46"/>
      <c r="P30" s="46"/>
      <c r="Q30" s="45"/>
      <c r="R30" s="45"/>
      <c r="S30" s="45"/>
      <c r="T30" s="45"/>
      <c r="U30" s="45"/>
      <c r="V30" s="45"/>
      <c r="W30" s="45"/>
    </row>
    <row r="31" spans="1:23" ht="11.25" customHeight="1">
      <c r="A31" s="48"/>
      <c r="B31" s="48"/>
      <c r="C31" s="45"/>
      <c r="D31" s="45"/>
      <c r="E31" s="45"/>
      <c r="F31" s="45"/>
      <c r="G31" s="45"/>
      <c r="H31" s="45"/>
      <c r="I31" s="45"/>
      <c r="J31" s="45"/>
      <c r="K31" s="45"/>
      <c r="L31" s="46"/>
      <c r="M31" s="46"/>
      <c r="N31" s="46"/>
      <c r="O31" s="46"/>
      <c r="P31" s="46"/>
      <c r="Q31" s="45"/>
      <c r="R31" s="45"/>
      <c r="S31" s="45"/>
      <c r="T31" s="45"/>
      <c r="U31" s="45"/>
      <c r="V31" s="45"/>
      <c r="W31" s="45"/>
    </row>
    <row r="32" spans="1:23" ht="11.25" customHeight="1">
      <c r="A32" s="48"/>
      <c r="B32" s="48"/>
      <c r="C32" s="45"/>
      <c r="D32" s="45"/>
      <c r="E32" s="45"/>
      <c r="F32" s="45"/>
      <c r="G32" s="45"/>
      <c r="H32" s="45"/>
      <c r="I32" s="45"/>
      <c r="J32" s="45"/>
      <c r="K32" s="45"/>
      <c r="L32" s="46"/>
      <c r="M32" s="46"/>
      <c r="N32" s="46"/>
      <c r="O32" s="46"/>
      <c r="P32" s="46"/>
      <c r="Q32" s="45"/>
      <c r="R32" s="45"/>
      <c r="S32" s="45"/>
      <c r="T32" s="45"/>
      <c r="U32" s="45"/>
      <c r="V32" s="45"/>
      <c r="W32" s="45"/>
    </row>
    <row r="33" spans="1:23" ht="11.25" customHeight="1">
      <c r="A33" s="48"/>
      <c r="B33" s="48"/>
      <c r="C33" s="45"/>
      <c r="D33" s="45"/>
      <c r="E33" s="45"/>
      <c r="F33" s="45"/>
      <c r="G33" s="45"/>
      <c r="H33" s="45"/>
      <c r="I33" s="45"/>
      <c r="J33" s="45"/>
      <c r="K33" s="45"/>
      <c r="L33" s="46"/>
      <c r="M33" s="46"/>
      <c r="N33" s="46"/>
      <c r="O33" s="46"/>
      <c r="P33" s="46"/>
      <c r="Q33" s="45"/>
      <c r="R33" s="45"/>
      <c r="S33" s="45"/>
      <c r="T33" s="45"/>
      <c r="U33" s="45"/>
      <c r="V33" s="45"/>
      <c r="W33" s="45"/>
    </row>
    <row r="34" spans="1:23" ht="11.25" customHeight="1">
      <c r="A34" s="48"/>
      <c r="B34" s="48"/>
      <c r="C34" s="45"/>
      <c r="D34" s="45"/>
      <c r="E34" s="45"/>
      <c r="F34" s="45"/>
      <c r="G34" s="45"/>
      <c r="H34" s="45"/>
      <c r="I34" s="45"/>
      <c r="J34" s="45"/>
      <c r="K34" s="45"/>
      <c r="L34" s="46"/>
      <c r="M34" s="46"/>
      <c r="N34" s="46"/>
      <c r="O34" s="46"/>
      <c r="P34" s="46"/>
      <c r="Q34" s="45"/>
      <c r="R34" s="45"/>
      <c r="S34" s="45"/>
      <c r="T34" s="45"/>
      <c r="U34" s="45"/>
      <c r="V34" s="45"/>
      <c r="W34" s="45"/>
    </row>
    <row r="35" spans="1:23" ht="11.25" customHeight="1">
      <c r="A35" s="48"/>
      <c r="B35" s="48"/>
      <c r="C35" s="45"/>
      <c r="D35" s="45"/>
      <c r="E35" s="45"/>
      <c r="F35" s="45"/>
      <c r="G35" s="45"/>
      <c r="H35" s="45"/>
      <c r="I35" s="45"/>
      <c r="J35" s="45"/>
      <c r="K35" s="45"/>
      <c r="L35" s="46"/>
      <c r="M35" s="46"/>
      <c r="N35" s="46"/>
      <c r="O35" s="46"/>
      <c r="P35" s="46"/>
      <c r="Q35" s="45"/>
      <c r="R35" s="45"/>
      <c r="S35" s="45"/>
      <c r="T35" s="45"/>
      <c r="U35" s="45"/>
      <c r="V35" s="45"/>
      <c r="W35" s="45"/>
    </row>
    <row r="36" spans="1:23" ht="11.25" customHeight="1">
      <c r="A36" s="48"/>
      <c r="B36" s="48"/>
      <c r="C36" s="45"/>
      <c r="D36" s="45"/>
      <c r="E36" s="45"/>
      <c r="F36" s="45"/>
      <c r="G36" s="45"/>
      <c r="H36" s="45"/>
      <c r="I36" s="45"/>
      <c r="J36" s="45"/>
      <c r="K36" s="45"/>
      <c r="L36" s="46"/>
      <c r="M36" s="46"/>
      <c r="N36" s="46"/>
      <c r="O36" s="46"/>
      <c r="P36" s="46"/>
      <c r="Q36" s="45"/>
      <c r="R36" s="45"/>
      <c r="S36" s="45"/>
      <c r="T36" s="45"/>
      <c r="U36" s="45"/>
      <c r="V36" s="45"/>
      <c r="W36" s="45"/>
    </row>
    <row r="37" spans="1:23" ht="11.25" customHeight="1">
      <c r="A37" s="48"/>
      <c r="B37" s="48"/>
      <c r="C37" s="45"/>
      <c r="D37" s="45"/>
      <c r="E37" s="45"/>
      <c r="F37" s="45"/>
      <c r="G37" s="45"/>
      <c r="H37" s="45"/>
      <c r="I37" s="45"/>
      <c r="J37" s="45"/>
      <c r="K37" s="45"/>
      <c r="L37" s="46"/>
      <c r="M37" s="46"/>
      <c r="N37" s="46"/>
      <c r="O37" s="46"/>
      <c r="P37" s="46"/>
      <c r="Q37" s="45"/>
      <c r="R37" s="45"/>
      <c r="S37" s="45"/>
      <c r="T37" s="45"/>
      <c r="U37" s="45"/>
      <c r="V37" s="45"/>
      <c r="W37" s="45"/>
    </row>
    <row r="38" spans="1:23" ht="11.25" customHeight="1">
      <c r="A38" s="48"/>
      <c r="B38" s="48"/>
      <c r="C38" s="45"/>
      <c r="D38" s="45"/>
      <c r="E38" s="45"/>
      <c r="F38" s="45"/>
      <c r="G38" s="45"/>
      <c r="H38" s="45"/>
      <c r="I38" s="45"/>
      <c r="J38" s="45"/>
      <c r="K38" s="45"/>
      <c r="L38" s="46"/>
      <c r="M38" s="46"/>
      <c r="N38" s="46"/>
      <c r="O38" s="46"/>
      <c r="P38" s="46"/>
      <c r="Q38" s="45"/>
      <c r="R38" s="45"/>
      <c r="S38" s="45"/>
      <c r="T38" s="45"/>
      <c r="U38" s="45"/>
      <c r="V38" s="45"/>
      <c r="W38" s="45"/>
    </row>
    <row r="39" spans="1:23" ht="11.25" customHeight="1">
      <c r="A39" s="48"/>
      <c r="B39" s="48"/>
      <c r="C39" s="45"/>
      <c r="D39" s="45"/>
      <c r="E39" s="45"/>
      <c r="F39" s="45"/>
      <c r="G39" s="45"/>
      <c r="H39" s="45"/>
      <c r="I39" s="45"/>
      <c r="J39" s="45"/>
      <c r="K39" s="45"/>
      <c r="L39" s="46"/>
      <c r="M39" s="46"/>
      <c r="N39" s="46"/>
      <c r="O39" s="46"/>
      <c r="P39" s="46"/>
      <c r="Q39" s="45"/>
      <c r="R39" s="45"/>
      <c r="S39" s="45"/>
      <c r="T39" s="45"/>
      <c r="U39" s="45"/>
      <c r="V39" s="45"/>
      <c r="W39" s="45"/>
    </row>
    <row r="40" spans="1:23" ht="11.25" customHeight="1">
      <c r="A40" s="48"/>
      <c r="B40" s="48"/>
      <c r="C40" s="45"/>
      <c r="D40" s="45"/>
      <c r="E40" s="45"/>
      <c r="F40" s="45"/>
      <c r="G40" s="45"/>
      <c r="H40" s="45"/>
      <c r="I40" s="45"/>
      <c r="J40" s="45"/>
      <c r="K40" s="45"/>
      <c r="L40" s="46"/>
      <c r="M40" s="46"/>
      <c r="N40" s="46"/>
      <c r="O40" s="46"/>
      <c r="P40" s="46"/>
      <c r="Q40" s="45"/>
      <c r="R40" s="45"/>
      <c r="S40" s="45"/>
      <c r="T40" s="45"/>
      <c r="U40" s="45"/>
      <c r="V40" s="45"/>
      <c r="W40" s="45"/>
    </row>
    <row r="41" spans="1:23" ht="11.25" customHeight="1">
      <c r="A41" s="48"/>
      <c r="B41" s="48"/>
      <c r="C41" s="45"/>
      <c r="D41" s="45"/>
      <c r="E41" s="45"/>
      <c r="F41" s="45"/>
      <c r="G41" s="45"/>
      <c r="H41" s="45"/>
      <c r="I41" s="45"/>
      <c r="J41" s="45"/>
      <c r="K41" s="45"/>
      <c r="L41" s="46"/>
      <c r="M41" s="46"/>
      <c r="N41" s="46"/>
      <c r="O41" s="46"/>
      <c r="P41" s="46"/>
      <c r="Q41" s="45"/>
      <c r="R41" s="45"/>
      <c r="S41" s="45"/>
      <c r="T41" s="45"/>
      <c r="U41" s="45"/>
      <c r="V41" s="45"/>
      <c r="W41" s="45"/>
    </row>
    <row r="42" spans="1:23" ht="11.25" customHeight="1">
      <c r="A42" s="48"/>
      <c r="B42" s="48"/>
      <c r="C42" s="45"/>
      <c r="D42" s="45"/>
      <c r="E42" s="45"/>
      <c r="F42" s="45"/>
      <c r="G42" s="45"/>
      <c r="H42" s="45"/>
      <c r="I42" s="45"/>
      <c r="J42" s="45"/>
      <c r="K42" s="45"/>
      <c r="L42" s="46"/>
      <c r="M42" s="46"/>
      <c r="N42" s="46"/>
      <c r="O42" s="46"/>
      <c r="P42" s="46"/>
      <c r="Q42" s="45"/>
      <c r="R42" s="45"/>
      <c r="S42" s="45"/>
      <c r="T42" s="45"/>
      <c r="U42" s="45"/>
      <c r="V42" s="45"/>
      <c r="W42" s="45"/>
    </row>
    <row r="43" spans="1:23" ht="11.25" customHeight="1">
      <c r="A43" s="48"/>
      <c r="B43" s="48"/>
      <c r="C43" s="45"/>
      <c r="D43" s="45"/>
      <c r="E43" s="45"/>
      <c r="F43" s="45"/>
      <c r="G43" s="45"/>
      <c r="H43" s="45"/>
      <c r="I43" s="45"/>
      <c r="J43" s="45"/>
      <c r="K43" s="45"/>
      <c r="L43" s="46"/>
      <c r="M43" s="46"/>
      <c r="N43" s="46"/>
      <c r="O43" s="46"/>
      <c r="P43" s="46"/>
      <c r="Q43" s="45"/>
      <c r="R43" s="45"/>
      <c r="S43" s="45"/>
      <c r="T43" s="45"/>
      <c r="U43" s="45"/>
      <c r="V43" s="45"/>
      <c r="W43" s="45"/>
    </row>
    <row r="44" spans="1:23" ht="11.25" customHeight="1">
      <c r="A44" s="48"/>
      <c r="B44" s="48"/>
      <c r="C44" s="45"/>
      <c r="D44" s="45"/>
      <c r="E44" s="45"/>
      <c r="F44" s="45"/>
      <c r="G44" s="45"/>
      <c r="H44" s="45"/>
      <c r="I44" s="45"/>
      <c r="J44" s="45"/>
      <c r="K44" s="45"/>
      <c r="L44" s="46"/>
      <c r="M44" s="46"/>
      <c r="N44" s="46"/>
      <c r="O44" s="46"/>
      <c r="P44" s="46"/>
      <c r="Q44" s="45"/>
      <c r="R44" s="45"/>
      <c r="S44" s="45"/>
      <c r="T44" s="45"/>
      <c r="U44" s="45"/>
      <c r="V44" s="45"/>
      <c r="W44" s="45"/>
    </row>
    <row r="45" spans="1:23" ht="11.25" customHeight="1">
      <c r="A45" s="48"/>
      <c r="B45" s="48"/>
      <c r="C45" s="45"/>
      <c r="D45" s="45"/>
      <c r="E45" s="45"/>
      <c r="F45" s="45"/>
      <c r="G45" s="45"/>
      <c r="H45" s="45"/>
      <c r="I45" s="45"/>
      <c r="J45" s="45"/>
      <c r="K45" s="45"/>
      <c r="L45" s="46"/>
      <c r="M45" s="46"/>
      <c r="N45" s="46"/>
      <c r="O45" s="46"/>
      <c r="P45" s="46"/>
      <c r="Q45" s="45"/>
      <c r="R45" s="45"/>
      <c r="S45" s="45"/>
      <c r="T45" s="45"/>
      <c r="U45" s="45"/>
      <c r="V45" s="45"/>
      <c r="W45" s="45"/>
    </row>
    <row r="46" spans="1:23" ht="11.25" customHeight="1">
      <c r="A46" s="48"/>
      <c r="B46" s="48"/>
      <c r="C46" s="45"/>
      <c r="D46" s="45"/>
      <c r="E46" s="45"/>
      <c r="F46" s="45"/>
      <c r="G46" s="45"/>
      <c r="H46" s="45"/>
      <c r="I46" s="45"/>
      <c r="J46" s="45"/>
      <c r="K46" s="45"/>
      <c r="L46" s="46"/>
      <c r="M46" s="46"/>
      <c r="N46" s="46"/>
      <c r="O46" s="46"/>
      <c r="P46" s="46"/>
      <c r="Q46" s="45"/>
      <c r="R46" s="45"/>
      <c r="S46" s="45"/>
      <c r="T46" s="45"/>
      <c r="U46" s="45"/>
      <c r="V46" s="45"/>
      <c r="W46" s="45"/>
    </row>
    <row r="47" spans="1:23" ht="11.25" customHeight="1">
      <c r="A47" s="48"/>
      <c r="B47" s="48"/>
      <c r="C47" s="45"/>
      <c r="D47" s="45"/>
      <c r="E47" s="45"/>
      <c r="F47" s="45"/>
      <c r="G47" s="45"/>
      <c r="H47" s="45"/>
      <c r="I47" s="45"/>
      <c r="J47" s="45"/>
      <c r="K47" s="45"/>
      <c r="L47" s="46"/>
      <c r="M47" s="46"/>
      <c r="N47" s="46"/>
      <c r="O47" s="46"/>
      <c r="P47" s="46"/>
      <c r="Q47" s="45"/>
      <c r="R47" s="45"/>
      <c r="S47" s="45"/>
      <c r="T47" s="45"/>
      <c r="U47" s="45"/>
      <c r="V47" s="45"/>
      <c r="W47" s="45"/>
    </row>
    <row r="48" spans="1:23" ht="11.25" customHeight="1">
      <c r="A48" s="48"/>
      <c r="B48" s="48"/>
      <c r="C48" s="45"/>
      <c r="D48" s="45"/>
      <c r="E48" s="45"/>
      <c r="F48" s="45"/>
      <c r="G48" s="45"/>
      <c r="H48" s="45"/>
      <c r="I48" s="45"/>
      <c r="J48" s="45"/>
      <c r="K48" s="45"/>
      <c r="L48" s="46"/>
      <c r="M48" s="46"/>
      <c r="N48" s="46"/>
      <c r="O48" s="46"/>
      <c r="P48" s="46"/>
      <c r="Q48" s="45"/>
      <c r="R48" s="45"/>
      <c r="S48" s="45"/>
      <c r="T48" s="45"/>
      <c r="U48" s="45"/>
      <c r="V48" s="45"/>
      <c r="W48" s="45"/>
    </row>
    <row r="49" spans="1:23" ht="11.25" customHeight="1">
      <c r="A49" s="48"/>
      <c r="B49" s="48"/>
      <c r="C49" s="45"/>
      <c r="D49" s="45"/>
      <c r="E49" s="45"/>
      <c r="F49" s="45"/>
      <c r="G49" s="45"/>
      <c r="H49" s="45"/>
      <c r="I49" s="45"/>
      <c r="J49" s="45"/>
      <c r="K49" s="45"/>
      <c r="L49" s="46"/>
      <c r="M49" s="46"/>
      <c r="N49" s="46"/>
      <c r="O49" s="46"/>
      <c r="P49" s="46"/>
      <c r="Q49" s="45"/>
      <c r="R49" s="45"/>
      <c r="S49" s="45"/>
      <c r="T49" s="45"/>
      <c r="U49" s="45"/>
      <c r="V49" s="45"/>
      <c r="W49" s="45"/>
    </row>
    <row r="50" spans="1:23" ht="11.25" customHeight="1">
      <c r="A50" s="48"/>
      <c r="B50" s="48"/>
      <c r="C50" s="45"/>
      <c r="D50" s="45"/>
      <c r="E50" s="45"/>
      <c r="F50" s="45"/>
      <c r="G50" s="45"/>
      <c r="H50" s="45"/>
      <c r="I50" s="45"/>
      <c r="J50" s="45"/>
      <c r="K50" s="45"/>
      <c r="L50" s="46"/>
      <c r="M50" s="46"/>
      <c r="N50" s="46"/>
      <c r="O50" s="46"/>
      <c r="P50" s="46"/>
      <c r="Q50" s="45"/>
      <c r="R50" s="45"/>
      <c r="S50" s="45"/>
      <c r="T50" s="45"/>
      <c r="U50" s="45"/>
      <c r="V50" s="45"/>
      <c r="W50" s="45"/>
    </row>
    <row r="51" spans="1:23" ht="11.25" customHeight="1">
      <c r="A51" s="48"/>
      <c r="B51" s="48"/>
      <c r="C51" s="45"/>
      <c r="D51" s="45"/>
      <c r="E51" s="45"/>
      <c r="F51" s="45"/>
      <c r="G51" s="45"/>
      <c r="H51" s="45"/>
      <c r="I51" s="45"/>
      <c r="J51" s="45"/>
      <c r="K51" s="45"/>
      <c r="L51" s="46"/>
      <c r="M51" s="46"/>
      <c r="N51" s="46"/>
      <c r="O51" s="46"/>
      <c r="P51" s="46"/>
      <c r="Q51" s="45"/>
      <c r="R51" s="45"/>
      <c r="S51" s="45"/>
      <c r="T51" s="45"/>
      <c r="U51" s="45"/>
      <c r="V51" s="45"/>
      <c r="W51" s="45"/>
    </row>
    <row r="52" spans="1:23" ht="11.25" customHeight="1">
      <c r="A52" s="48"/>
      <c r="B52" s="48"/>
      <c r="C52" s="45"/>
      <c r="D52" s="45"/>
      <c r="E52" s="45"/>
      <c r="F52" s="45"/>
      <c r="G52" s="45"/>
      <c r="H52" s="45"/>
      <c r="I52" s="45"/>
      <c r="J52" s="45"/>
      <c r="K52" s="45"/>
      <c r="L52" s="46"/>
      <c r="M52" s="46"/>
      <c r="N52" s="46"/>
      <c r="O52" s="46"/>
      <c r="P52" s="46"/>
      <c r="Q52" s="45"/>
      <c r="R52" s="45"/>
      <c r="S52" s="45"/>
      <c r="T52" s="45"/>
      <c r="U52" s="45"/>
      <c r="V52" s="45"/>
      <c r="W52" s="45"/>
    </row>
    <row r="53" spans="1:23" ht="11.25" customHeight="1">
      <c r="A53" s="48"/>
      <c r="B53" s="48"/>
      <c r="C53" s="45"/>
      <c r="D53" s="45"/>
      <c r="E53" s="45"/>
      <c r="F53" s="45"/>
      <c r="G53" s="45"/>
      <c r="H53" s="45"/>
      <c r="I53" s="45"/>
      <c r="J53" s="45"/>
      <c r="K53" s="45"/>
      <c r="L53" s="46"/>
      <c r="M53" s="46"/>
      <c r="N53" s="46"/>
      <c r="O53" s="46"/>
      <c r="P53" s="46"/>
      <c r="Q53" s="45"/>
      <c r="R53" s="45"/>
      <c r="S53" s="45"/>
      <c r="T53" s="45"/>
      <c r="U53" s="45"/>
      <c r="V53" s="45"/>
      <c r="W53" s="45"/>
    </row>
    <row r="54" spans="1:23" ht="11.25" customHeight="1">
      <c r="A54" s="48"/>
      <c r="B54" s="48"/>
      <c r="C54" s="45"/>
      <c r="D54" s="45"/>
      <c r="E54" s="45"/>
      <c r="F54" s="45"/>
      <c r="G54" s="45"/>
      <c r="H54" s="45"/>
      <c r="I54" s="45"/>
      <c r="J54" s="45"/>
      <c r="K54" s="45"/>
      <c r="L54" s="46"/>
      <c r="M54" s="46"/>
      <c r="N54" s="46"/>
      <c r="O54" s="46"/>
      <c r="P54" s="46"/>
      <c r="Q54" s="45"/>
      <c r="R54" s="45"/>
      <c r="S54" s="45"/>
      <c r="T54" s="45"/>
      <c r="U54" s="45"/>
      <c r="V54" s="45"/>
      <c r="W54" s="45"/>
    </row>
    <row r="55" spans="1:23" ht="11.25" customHeight="1">
      <c r="A55" s="48"/>
      <c r="B55" s="48"/>
      <c r="C55" s="45"/>
      <c r="D55" s="45"/>
      <c r="E55" s="45"/>
      <c r="F55" s="45"/>
      <c r="G55" s="45"/>
      <c r="H55" s="45"/>
      <c r="I55" s="45"/>
      <c r="J55" s="45"/>
      <c r="K55" s="45"/>
      <c r="L55" s="46"/>
      <c r="M55" s="46"/>
      <c r="N55" s="46"/>
      <c r="O55" s="46"/>
      <c r="P55" s="46"/>
      <c r="Q55" s="45"/>
      <c r="R55" s="45"/>
      <c r="S55" s="45"/>
      <c r="T55" s="45"/>
      <c r="U55" s="45"/>
      <c r="V55" s="45"/>
      <c r="W55" s="45"/>
    </row>
    <row r="56" spans="1:23" ht="11.25" customHeight="1">
      <c r="A56" s="48"/>
      <c r="B56" s="48"/>
      <c r="C56" s="45"/>
      <c r="D56" s="45"/>
      <c r="E56" s="45"/>
      <c r="F56" s="45"/>
      <c r="G56" s="45"/>
      <c r="H56" s="45"/>
      <c r="I56" s="45"/>
      <c r="J56" s="45"/>
      <c r="K56" s="45"/>
      <c r="L56" s="46"/>
      <c r="M56" s="46"/>
      <c r="N56" s="46"/>
      <c r="O56" s="46"/>
      <c r="P56" s="46"/>
      <c r="Q56" s="45"/>
      <c r="R56" s="45"/>
      <c r="S56" s="45"/>
      <c r="T56" s="45"/>
      <c r="U56" s="45"/>
      <c r="V56" s="45"/>
      <c r="W56" s="45"/>
    </row>
    <row r="57" spans="1:23" ht="11.25" customHeight="1">
      <c r="A57" s="48"/>
      <c r="B57" s="48"/>
      <c r="C57" s="45"/>
      <c r="D57" s="45"/>
      <c r="E57" s="45"/>
      <c r="F57" s="45"/>
      <c r="G57" s="45"/>
      <c r="H57" s="45"/>
      <c r="I57" s="45"/>
      <c r="J57" s="45"/>
      <c r="K57" s="45"/>
      <c r="L57" s="46"/>
      <c r="M57" s="46"/>
      <c r="N57" s="46"/>
      <c r="O57" s="46"/>
      <c r="P57" s="46"/>
      <c r="Q57" s="45"/>
      <c r="R57" s="45"/>
      <c r="S57" s="45"/>
      <c r="T57" s="45"/>
      <c r="U57" s="45"/>
      <c r="V57" s="45"/>
      <c r="W57" s="45"/>
    </row>
    <row r="58" spans="1:23" ht="11.25" customHeight="1">
      <c r="A58" s="48"/>
      <c r="B58" s="48"/>
      <c r="C58" s="45"/>
      <c r="D58" s="45"/>
      <c r="E58" s="45"/>
      <c r="F58" s="45"/>
      <c r="G58" s="45"/>
      <c r="H58" s="45"/>
      <c r="I58" s="45"/>
      <c r="J58" s="45"/>
      <c r="K58" s="45"/>
      <c r="L58" s="46"/>
      <c r="M58" s="46"/>
      <c r="N58" s="46"/>
      <c r="O58" s="46"/>
      <c r="P58" s="46"/>
      <c r="Q58" s="45"/>
      <c r="R58" s="45"/>
      <c r="S58" s="45"/>
      <c r="T58" s="45"/>
      <c r="U58" s="45"/>
      <c r="V58" s="45"/>
      <c r="W58" s="45"/>
    </row>
    <row r="59" spans="1:23" ht="11.25" customHeight="1">
      <c r="A59" s="48"/>
      <c r="B59" s="48"/>
      <c r="C59" s="45"/>
      <c r="D59" s="45"/>
      <c r="E59" s="45"/>
      <c r="F59" s="45"/>
      <c r="G59" s="45"/>
      <c r="H59" s="45"/>
      <c r="I59" s="45"/>
      <c r="J59" s="45"/>
      <c r="K59" s="45"/>
      <c r="L59" s="46"/>
      <c r="M59" s="46"/>
      <c r="N59" s="46"/>
      <c r="O59" s="46"/>
      <c r="P59" s="46"/>
      <c r="Q59" s="45"/>
      <c r="R59" s="45"/>
      <c r="S59" s="45"/>
      <c r="T59" s="45"/>
      <c r="U59" s="45"/>
      <c r="V59" s="45"/>
      <c r="W59" s="45"/>
    </row>
    <row r="60" spans="1:23" ht="11.25" customHeight="1">
      <c r="A60" s="48"/>
      <c r="B60" s="48"/>
      <c r="C60" s="45"/>
      <c r="D60" s="45"/>
      <c r="E60" s="45"/>
      <c r="F60" s="45"/>
      <c r="G60" s="45"/>
      <c r="H60" s="45"/>
      <c r="I60" s="45"/>
      <c r="J60" s="45"/>
      <c r="K60" s="45"/>
      <c r="L60" s="46"/>
      <c r="M60" s="46"/>
      <c r="N60" s="46"/>
      <c r="O60" s="46"/>
      <c r="P60" s="46"/>
      <c r="Q60" s="45"/>
      <c r="R60" s="45"/>
      <c r="S60" s="45"/>
      <c r="T60" s="45"/>
      <c r="U60" s="45"/>
      <c r="V60" s="45"/>
      <c r="W60" s="45"/>
    </row>
    <row r="61" spans="1:23" ht="11.25" customHeight="1">
      <c r="A61" s="48"/>
      <c r="B61" s="48"/>
      <c r="C61" s="45"/>
      <c r="D61" s="45"/>
      <c r="E61" s="45"/>
      <c r="F61" s="45"/>
      <c r="G61" s="45"/>
      <c r="H61" s="45"/>
      <c r="I61" s="45"/>
      <c r="J61" s="45"/>
      <c r="K61" s="45"/>
      <c r="L61" s="46"/>
      <c r="M61" s="46"/>
      <c r="N61" s="46"/>
      <c r="O61" s="46"/>
      <c r="P61" s="46"/>
      <c r="Q61" s="45"/>
      <c r="R61" s="45"/>
      <c r="S61" s="45"/>
      <c r="T61" s="45"/>
      <c r="U61" s="45"/>
      <c r="V61" s="45"/>
      <c r="W61" s="45"/>
    </row>
    <row r="62" spans="1:23" ht="11.25" customHeight="1">
      <c r="A62" s="48"/>
      <c r="B62" s="48"/>
      <c r="C62" s="45"/>
      <c r="D62" s="45"/>
      <c r="E62" s="45"/>
      <c r="F62" s="45"/>
      <c r="G62" s="45"/>
      <c r="H62" s="45"/>
      <c r="I62" s="45"/>
      <c r="J62" s="45"/>
      <c r="K62" s="45"/>
      <c r="L62" s="46"/>
      <c r="M62" s="46"/>
      <c r="N62" s="46"/>
      <c r="O62" s="46"/>
      <c r="P62" s="46"/>
      <c r="Q62" s="45"/>
      <c r="R62" s="45"/>
      <c r="S62" s="45"/>
      <c r="T62" s="45"/>
      <c r="U62" s="45"/>
      <c r="V62" s="45"/>
      <c r="W62" s="45"/>
    </row>
    <row r="63" spans="1:23" ht="11.25" customHeight="1">
      <c r="A63" s="48"/>
      <c r="B63" s="48"/>
      <c r="C63" s="45"/>
      <c r="D63" s="45"/>
      <c r="E63" s="45"/>
      <c r="F63" s="45"/>
      <c r="G63" s="45"/>
      <c r="H63" s="45"/>
      <c r="I63" s="45"/>
      <c r="J63" s="45"/>
      <c r="K63" s="45"/>
      <c r="L63" s="46"/>
      <c r="M63" s="46"/>
      <c r="N63" s="46"/>
      <c r="O63" s="46"/>
      <c r="P63" s="46"/>
      <c r="Q63" s="45"/>
      <c r="R63" s="45"/>
      <c r="S63" s="45"/>
      <c r="T63" s="45"/>
      <c r="U63" s="45"/>
      <c r="V63" s="45"/>
      <c r="W63" s="45"/>
    </row>
    <row r="64" spans="1:23" ht="11.25" customHeight="1">
      <c r="A64" s="48"/>
      <c r="B64" s="48"/>
      <c r="C64" s="45"/>
      <c r="D64" s="45"/>
      <c r="E64" s="45"/>
      <c r="F64" s="45"/>
      <c r="G64" s="45"/>
      <c r="H64" s="45"/>
      <c r="I64" s="45"/>
      <c r="J64" s="45"/>
      <c r="K64" s="45"/>
      <c r="L64" s="46"/>
      <c r="M64" s="46"/>
      <c r="N64" s="46"/>
      <c r="O64" s="46"/>
      <c r="P64" s="46"/>
      <c r="Q64" s="45"/>
      <c r="R64" s="45"/>
      <c r="S64" s="45"/>
      <c r="T64" s="45"/>
      <c r="U64" s="45"/>
      <c r="V64" s="45"/>
      <c r="W64" s="45"/>
    </row>
    <row r="65" spans="1:23" ht="11.25" customHeight="1">
      <c r="A65" s="48"/>
      <c r="B65" s="48"/>
      <c r="C65" s="45"/>
      <c r="D65" s="45"/>
      <c r="E65" s="45"/>
      <c r="F65" s="45"/>
      <c r="G65" s="45"/>
      <c r="H65" s="45"/>
      <c r="I65" s="45"/>
      <c r="J65" s="45"/>
      <c r="K65" s="45"/>
      <c r="L65" s="46"/>
      <c r="M65" s="46"/>
      <c r="N65" s="46"/>
      <c r="O65" s="46"/>
      <c r="P65" s="46"/>
      <c r="Q65" s="45"/>
      <c r="R65" s="45"/>
      <c r="S65" s="45"/>
      <c r="T65" s="45"/>
      <c r="U65" s="45"/>
      <c r="V65" s="45"/>
      <c r="W65" s="45"/>
    </row>
    <row r="66" spans="1:23" ht="11.25" customHeight="1">
      <c r="A66" s="48"/>
      <c r="B66" s="48"/>
      <c r="C66" s="45"/>
      <c r="D66" s="45"/>
      <c r="E66" s="45"/>
      <c r="F66" s="45"/>
      <c r="G66" s="45"/>
      <c r="H66" s="45"/>
      <c r="I66" s="45"/>
      <c r="J66" s="45"/>
      <c r="K66" s="45"/>
      <c r="L66" s="46"/>
      <c r="M66" s="46"/>
      <c r="N66" s="46"/>
      <c r="O66" s="46"/>
      <c r="P66" s="46"/>
      <c r="Q66" s="45"/>
      <c r="R66" s="45"/>
      <c r="S66" s="45"/>
      <c r="T66" s="45"/>
      <c r="U66" s="45"/>
      <c r="V66" s="45"/>
      <c r="W66" s="45"/>
    </row>
    <row r="67" spans="1:23" ht="11.25" customHeight="1">
      <c r="A67" s="48"/>
      <c r="B67" s="48"/>
      <c r="C67" s="45"/>
      <c r="D67" s="45"/>
      <c r="E67" s="45"/>
      <c r="F67" s="45"/>
      <c r="G67" s="45"/>
      <c r="H67" s="45"/>
      <c r="I67" s="45"/>
      <c r="J67" s="45"/>
      <c r="K67" s="45"/>
      <c r="L67" s="46"/>
      <c r="M67" s="46"/>
      <c r="N67" s="46"/>
      <c r="O67" s="46"/>
      <c r="P67" s="46"/>
      <c r="Q67" s="45"/>
      <c r="R67" s="45"/>
      <c r="S67" s="45"/>
      <c r="T67" s="45"/>
      <c r="U67" s="45"/>
      <c r="V67" s="45"/>
      <c r="W67" s="45"/>
    </row>
    <row r="68" spans="1:23" ht="11.25" customHeight="1">
      <c r="A68" s="48"/>
      <c r="B68" s="48"/>
      <c r="C68" s="45"/>
      <c r="D68" s="45"/>
      <c r="E68" s="45"/>
      <c r="F68" s="45"/>
      <c r="G68" s="45"/>
      <c r="H68" s="45"/>
      <c r="I68" s="45"/>
      <c r="J68" s="45"/>
      <c r="K68" s="45"/>
      <c r="L68" s="46"/>
      <c r="M68" s="46"/>
      <c r="N68" s="46"/>
      <c r="O68" s="46"/>
      <c r="P68" s="46"/>
      <c r="Q68" s="45"/>
      <c r="R68" s="45"/>
      <c r="S68" s="45"/>
      <c r="T68" s="45"/>
      <c r="U68" s="45"/>
      <c r="V68" s="45"/>
      <c r="W68" s="45"/>
    </row>
    <row r="69" spans="1:23" ht="11.25" customHeight="1">
      <c r="A69" s="48"/>
      <c r="B69" s="48"/>
      <c r="C69" s="45"/>
      <c r="D69" s="45"/>
      <c r="E69" s="45"/>
      <c r="F69" s="45"/>
      <c r="G69" s="45"/>
      <c r="H69" s="45"/>
      <c r="I69" s="45"/>
      <c r="J69" s="45"/>
      <c r="K69" s="45"/>
      <c r="L69" s="46"/>
      <c r="M69" s="46"/>
      <c r="N69" s="46"/>
      <c r="O69" s="46"/>
      <c r="P69" s="46"/>
      <c r="Q69" s="45"/>
      <c r="R69" s="45"/>
      <c r="S69" s="45"/>
      <c r="T69" s="45"/>
      <c r="U69" s="45"/>
      <c r="V69" s="45"/>
      <c r="W69" s="45"/>
    </row>
    <row r="70" spans="1:23" ht="11.25" customHeight="1">
      <c r="A70" s="48"/>
      <c r="B70" s="48"/>
      <c r="C70" s="45"/>
      <c r="D70" s="45"/>
      <c r="E70" s="45"/>
      <c r="F70" s="45"/>
      <c r="G70" s="45"/>
      <c r="H70" s="45"/>
      <c r="I70" s="45"/>
      <c r="J70" s="45"/>
      <c r="K70" s="45"/>
      <c r="L70" s="46"/>
      <c r="M70" s="46"/>
      <c r="N70" s="46"/>
      <c r="O70" s="46"/>
      <c r="P70" s="46"/>
      <c r="Q70" s="45"/>
      <c r="R70" s="45"/>
      <c r="S70" s="45"/>
      <c r="T70" s="45"/>
      <c r="U70" s="45"/>
      <c r="V70" s="45"/>
      <c r="W70" s="45"/>
    </row>
    <row r="71" spans="1:23" ht="11.25" customHeight="1">
      <c r="A71" s="48"/>
      <c r="B71" s="48"/>
      <c r="C71" s="45"/>
      <c r="D71" s="45"/>
      <c r="E71" s="45"/>
      <c r="F71" s="45"/>
      <c r="G71" s="45"/>
      <c r="H71" s="45"/>
      <c r="I71" s="45"/>
      <c r="J71" s="45"/>
      <c r="K71" s="45"/>
      <c r="L71" s="46"/>
      <c r="M71" s="46"/>
      <c r="N71" s="46"/>
      <c r="O71" s="46"/>
      <c r="P71" s="46"/>
      <c r="Q71" s="45"/>
      <c r="R71" s="45"/>
      <c r="S71" s="45"/>
      <c r="T71" s="45"/>
      <c r="U71" s="45"/>
      <c r="V71" s="45"/>
      <c r="W71" s="45"/>
    </row>
    <row r="72" spans="1:23" ht="11.25" customHeight="1">
      <c r="A72" s="48"/>
      <c r="B72" s="48"/>
      <c r="C72" s="45"/>
      <c r="D72" s="45"/>
      <c r="E72" s="45"/>
      <c r="F72" s="45"/>
      <c r="G72" s="45"/>
      <c r="H72" s="45"/>
      <c r="I72" s="45"/>
      <c r="J72" s="45"/>
      <c r="K72" s="45"/>
      <c r="L72" s="46"/>
      <c r="M72" s="46"/>
      <c r="N72" s="46"/>
      <c r="O72" s="46"/>
      <c r="P72" s="46"/>
      <c r="Q72" s="45"/>
      <c r="R72" s="45"/>
      <c r="S72" s="45"/>
      <c r="T72" s="45"/>
      <c r="U72" s="45"/>
      <c r="V72" s="45"/>
      <c r="W72" s="45"/>
    </row>
    <row r="73" spans="1:23" ht="11.25" customHeight="1">
      <c r="A73" s="48"/>
      <c r="B73" s="48"/>
      <c r="C73" s="45"/>
      <c r="D73" s="45"/>
      <c r="E73" s="45"/>
      <c r="F73" s="45"/>
      <c r="G73" s="45"/>
      <c r="H73" s="45"/>
      <c r="I73" s="45"/>
      <c r="J73" s="45"/>
      <c r="K73" s="45"/>
      <c r="L73" s="46"/>
      <c r="M73" s="46"/>
      <c r="N73" s="46"/>
      <c r="O73" s="46"/>
      <c r="P73" s="46"/>
      <c r="Q73" s="45"/>
      <c r="R73" s="45"/>
      <c r="S73" s="45"/>
      <c r="T73" s="45"/>
      <c r="U73" s="45"/>
      <c r="V73" s="45"/>
      <c r="W73" s="45"/>
    </row>
    <row r="74" spans="1:23" ht="11.25" customHeight="1">
      <c r="A74" s="48"/>
      <c r="B74" s="48"/>
      <c r="C74" s="45"/>
      <c r="D74" s="45"/>
      <c r="E74" s="45"/>
      <c r="F74" s="45"/>
      <c r="G74" s="45"/>
      <c r="H74" s="45"/>
      <c r="I74" s="45"/>
      <c r="J74" s="45"/>
      <c r="K74" s="45"/>
      <c r="L74" s="46"/>
      <c r="M74" s="46"/>
      <c r="N74" s="46"/>
      <c r="O74" s="46"/>
      <c r="P74" s="46"/>
      <c r="Q74" s="45"/>
      <c r="R74" s="45"/>
      <c r="S74" s="45"/>
      <c r="T74" s="45"/>
      <c r="U74" s="45"/>
      <c r="V74" s="45"/>
      <c r="W74" s="45"/>
    </row>
    <row r="75" spans="1:23" ht="11.25" customHeight="1">
      <c r="A75" s="48"/>
      <c r="B75" s="48"/>
      <c r="C75" s="45"/>
      <c r="D75" s="45"/>
      <c r="E75" s="45"/>
      <c r="F75" s="45"/>
      <c r="G75" s="45"/>
      <c r="H75" s="45"/>
      <c r="I75" s="45"/>
      <c r="J75" s="45"/>
      <c r="K75" s="45"/>
      <c r="L75" s="46"/>
      <c r="M75" s="46"/>
      <c r="N75" s="46"/>
      <c r="O75" s="46"/>
      <c r="P75" s="46"/>
      <c r="Q75" s="45"/>
      <c r="R75" s="45"/>
      <c r="S75" s="45"/>
      <c r="T75" s="45"/>
      <c r="U75" s="45"/>
      <c r="V75" s="45"/>
      <c r="W75" s="45"/>
    </row>
    <row r="76" spans="1:23" ht="11.25" customHeight="1">
      <c r="A76" s="48"/>
      <c r="B76" s="48"/>
      <c r="C76" s="45"/>
      <c r="D76" s="45"/>
      <c r="E76" s="45"/>
      <c r="F76" s="45"/>
      <c r="G76" s="45"/>
      <c r="H76" s="45"/>
      <c r="I76" s="45"/>
      <c r="J76" s="45"/>
      <c r="K76" s="45"/>
      <c r="L76" s="46"/>
      <c r="M76" s="46"/>
      <c r="N76" s="46"/>
      <c r="O76" s="46"/>
      <c r="P76" s="46"/>
      <c r="Q76" s="45"/>
      <c r="R76" s="45"/>
      <c r="S76" s="45"/>
      <c r="T76" s="45"/>
      <c r="U76" s="45"/>
      <c r="V76" s="45"/>
      <c r="W76" s="45"/>
    </row>
    <row r="77" spans="1:23" ht="11.25" customHeight="1">
      <c r="A77" s="48"/>
      <c r="B77" s="48"/>
      <c r="C77" s="45"/>
      <c r="D77" s="45"/>
      <c r="E77" s="45"/>
      <c r="F77" s="45"/>
      <c r="G77" s="45"/>
      <c r="H77" s="45"/>
      <c r="I77" s="45"/>
      <c r="J77" s="45"/>
      <c r="K77" s="45"/>
      <c r="L77" s="46"/>
      <c r="M77" s="46"/>
      <c r="N77" s="46"/>
      <c r="O77" s="46"/>
      <c r="P77" s="46"/>
      <c r="Q77" s="45"/>
      <c r="R77" s="45"/>
      <c r="S77" s="45"/>
      <c r="T77" s="45"/>
      <c r="U77" s="45"/>
      <c r="V77" s="45"/>
      <c r="W77" s="45"/>
    </row>
    <row r="78" spans="1:23" ht="11.25" customHeight="1">
      <c r="A78" s="48"/>
      <c r="B78" s="48"/>
      <c r="C78" s="45"/>
      <c r="D78" s="45"/>
      <c r="E78" s="45"/>
      <c r="F78" s="45"/>
      <c r="G78" s="45"/>
      <c r="H78" s="45"/>
      <c r="I78" s="45"/>
      <c r="J78" s="45"/>
      <c r="K78" s="45"/>
      <c r="L78" s="46"/>
      <c r="M78" s="46"/>
      <c r="N78" s="46"/>
      <c r="O78" s="46"/>
      <c r="P78" s="46"/>
      <c r="Q78" s="45"/>
      <c r="R78" s="45"/>
      <c r="S78" s="45"/>
      <c r="T78" s="45"/>
      <c r="U78" s="45"/>
      <c r="V78" s="45"/>
      <c r="W78" s="45"/>
    </row>
    <row r="79" spans="1:23" ht="11.25" customHeight="1">
      <c r="A79" s="48"/>
      <c r="B79" s="48"/>
      <c r="C79" s="45"/>
      <c r="D79" s="45"/>
      <c r="E79" s="45"/>
      <c r="F79" s="45"/>
      <c r="G79" s="45"/>
      <c r="H79" s="45"/>
      <c r="I79" s="45"/>
      <c r="J79" s="45"/>
      <c r="K79" s="45"/>
      <c r="L79" s="46"/>
      <c r="M79" s="46"/>
      <c r="N79" s="46"/>
      <c r="O79" s="46"/>
      <c r="P79" s="46"/>
      <c r="Q79" s="45"/>
      <c r="R79" s="45"/>
      <c r="S79" s="45"/>
      <c r="T79" s="45"/>
      <c r="U79" s="45"/>
      <c r="V79" s="45"/>
      <c r="W79" s="45"/>
    </row>
    <row r="80" spans="1:23" ht="11.25" customHeight="1">
      <c r="A80" s="48"/>
      <c r="B80" s="48"/>
      <c r="C80" s="45"/>
      <c r="D80" s="45"/>
      <c r="E80" s="45"/>
      <c r="F80" s="45"/>
      <c r="G80" s="45"/>
      <c r="H80" s="45"/>
      <c r="I80" s="45"/>
      <c r="J80" s="45"/>
      <c r="K80" s="45"/>
      <c r="L80" s="46"/>
      <c r="M80" s="46"/>
      <c r="N80" s="46"/>
      <c r="O80" s="46"/>
      <c r="P80" s="46"/>
      <c r="Q80" s="45"/>
      <c r="R80" s="45"/>
      <c r="S80" s="45"/>
      <c r="T80" s="45"/>
      <c r="U80" s="45"/>
      <c r="V80" s="45"/>
      <c r="W80" s="45"/>
    </row>
    <row r="81" spans="1:23" ht="11.25" customHeight="1">
      <c r="A81" s="48"/>
      <c r="B81" s="48"/>
      <c r="C81" s="45"/>
      <c r="D81" s="45"/>
      <c r="E81" s="45"/>
      <c r="F81" s="45"/>
      <c r="G81" s="45"/>
      <c r="H81" s="45"/>
      <c r="I81" s="45"/>
      <c r="J81" s="45"/>
      <c r="K81" s="45"/>
      <c r="L81" s="46"/>
      <c r="M81" s="46"/>
      <c r="N81" s="46"/>
      <c r="O81" s="46"/>
      <c r="P81" s="46"/>
      <c r="Q81" s="45"/>
      <c r="R81" s="45"/>
      <c r="S81" s="45"/>
      <c r="T81" s="45"/>
      <c r="U81" s="45"/>
      <c r="V81" s="45"/>
      <c r="W81" s="45"/>
    </row>
    <row r="82" spans="1:23" ht="11.25" customHeight="1">
      <c r="A82" s="48"/>
      <c r="B82" s="48"/>
      <c r="C82" s="45"/>
      <c r="D82" s="45"/>
      <c r="E82" s="45"/>
      <c r="F82" s="45"/>
      <c r="G82" s="45"/>
      <c r="H82" s="45"/>
      <c r="I82" s="45"/>
      <c r="J82" s="45"/>
      <c r="K82" s="45"/>
      <c r="L82" s="46"/>
      <c r="M82" s="46"/>
      <c r="N82" s="46"/>
      <c r="O82" s="46"/>
      <c r="P82" s="46"/>
      <c r="Q82" s="45"/>
      <c r="R82" s="45"/>
      <c r="S82" s="45"/>
      <c r="T82" s="45"/>
      <c r="U82" s="45"/>
      <c r="V82" s="45"/>
      <c r="W82" s="45"/>
    </row>
    <row r="83" spans="1:23" ht="11.25" customHeight="1">
      <c r="A83" s="48"/>
      <c r="B83" s="48"/>
      <c r="C83" s="45"/>
      <c r="D83" s="45"/>
      <c r="E83" s="45"/>
      <c r="F83" s="45"/>
      <c r="G83" s="45"/>
      <c r="H83" s="45"/>
      <c r="I83" s="45"/>
      <c r="J83" s="45"/>
      <c r="K83" s="45"/>
      <c r="L83" s="46"/>
      <c r="M83" s="46"/>
      <c r="N83" s="46"/>
      <c r="O83" s="46"/>
      <c r="P83" s="46"/>
      <c r="Q83" s="45"/>
      <c r="R83" s="45"/>
      <c r="S83" s="45"/>
      <c r="T83" s="45"/>
      <c r="U83" s="45"/>
      <c r="V83" s="45"/>
      <c r="W83" s="45"/>
    </row>
    <row r="84" spans="1:23" ht="11.25" customHeight="1">
      <c r="A84" s="48"/>
      <c r="B84" s="48"/>
      <c r="C84" s="45"/>
      <c r="D84" s="45"/>
      <c r="E84" s="45"/>
      <c r="F84" s="45"/>
      <c r="G84" s="45"/>
      <c r="H84" s="45"/>
      <c r="I84" s="45"/>
      <c r="J84" s="45"/>
      <c r="K84" s="45"/>
      <c r="L84" s="46"/>
      <c r="M84" s="46"/>
      <c r="N84" s="46"/>
      <c r="O84" s="46"/>
      <c r="P84" s="46"/>
      <c r="Q84" s="45"/>
      <c r="R84" s="45"/>
      <c r="S84" s="45"/>
      <c r="T84" s="45"/>
      <c r="U84" s="45"/>
      <c r="V84" s="45"/>
      <c r="W84" s="45"/>
    </row>
    <row r="85" spans="1:23" ht="11.25" customHeight="1">
      <c r="A85" s="48"/>
      <c r="B85" s="48"/>
      <c r="C85" s="45"/>
      <c r="D85" s="45"/>
      <c r="E85" s="45"/>
      <c r="F85" s="45"/>
      <c r="G85" s="45"/>
      <c r="H85" s="45"/>
      <c r="I85" s="45"/>
      <c r="J85" s="45"/>
      <c r="K85" s="45"/>
      <c r="L85" s="46"/>
      <c r="M85" s="46"/>
      <c r="N85" s="46"/>
      <c r="O85" s="46"/>
      <c r="P85" s="46"/>
      <c r="Q85" s="45"/>
      <c r="R85" s="45"/>
      <c r="S85" s="45"/>
      <c r="T85" s="45"/>
      <c r="U85" s="45"/>
      <c r="V85" s="45"/>
      <c r="W85" s="45"/>
    </row>
    <row r="86" spans="1:23" ht="11.25" customHeight="1">
      <c r="A86" s="48"/>
      <c r="B86" s="48"/>
      <c r="C86" s="45"/>
      <c r="D86" s="45"/>
      <c r="E86" s="45"/>
      <c r="F86" s="45"/>
      <c r="G86" s="45"/>
      <c r="H86" s="45"/>
      <c r="I86" s="45"/>
      <c r="J86" s="45"/>
      <c r="K86" s="45"/>
      <c r="L86" s="46"/>
      <c r="M86" s="46"/>
      <c r="N86" s="46"/>
      <c r="O86" s="46"/>
      <c r="P86" s="46"/>
      <c r="Q86" s="45"/>
      <c r="R86" s="45"/>
      <c r="S86" s="45"/>
      <c r="T86" s="45"/>
      <c r="U86" s="45"/>
      <c r="V86" s="45"/>
      <c r="W86" s="45"/>
    </row>
    <row r="87" spans="1:23" ht="11.25" customHeight="1">
      <c r="A87" s="48"/>
      <c r="B87" s="48"/>
      <c r="C87" s="45"/>
      <c r="D87" s="45"/>
      <c r="E87" s="45"/>
      <c r="F87" s="45"/>
      <c r="G87" s="45"/>
      <c r="H87" s="45"/>
      <c r="I87" s="45"/>
      <c r="J87" s="45"/>
      <c r="K87" s="45"/>
      <c r="L87" s="46"/>
      <c r="M87" s="46"/>
      <c r="N87" s="46"/>
      <c r="O87" s="46"/>
      <c r="P87" s="46"/>
      <c r="Q87" s="45"/>
      <c r="R87" s="45"/>
      <c r="S87" s="45"/>
      <c r="T87" s="45"/>
      <c r="U87" s="45"/>
      <c r="V87" s="45"/>
      <c r="W87" s="45"/>
    </row>
    <row r="88" spans="1:23" ht="11.25" customHeight="1">
      <c r="A88" s="48"/>
      <c r="B88" s="48"/>
      <c r="C88" s="45"/>
      <c r="D88" s="45"/>
      <c r="E88" s="45"/>
      <c r="F88" s="45"/>
      <c r="G88" s="45"/>
      <c r="H88" s="45"/>
      <c r="I88" s="45"/>
      <c r="J88" s="45"/>
      <c r="K88" s="45"/>
      <c r="L88" s="46"/>
      <c r="M88" s="46"/>
      <c r="N88" s="46"/>
      <c r="O88" s="46"/>
      <c r="P88" s="46"/>
      <c r="Q88" s="45"/>
      <c r="R88" s="45"/>
      <c r="S88" s="45"/>
      <c r="T88" s="45"/>
      <c r="U88" s="45"/>
      <c r="V88" s="45"/>
      <c r="W88" s="45"/>
    </row>
    <row r="89" spans="1:23" ht="11.25" customHeight="1">
      <c r="A89" s="48"/>
      <c r="B89" s="48"/>
      <c r="C89" s="45"/>
      <c r="D89" s="45"/>
      <c r="E89" s="45"/>
      <c r="F89" s="45"/>
      <c r="G89" s="45"/>
      <c r="H89" s="45"/>
      <c r="I89" s="45"/>
      <c r="J89" s="45"/>
      <c r="K89" s="45"/>
      <c r="L89" s="46"/>
      <c r="M89" s="46"/>
      <c r="N89" s="46"/>
      <c r="O89" s="46"/>
      <c r="P89" s="46"/>
      <c r="Q89" s="45"/>
      <c r="R89" s="45"/>
      <c r="S89" s="45"/>
      <c r="T89" s="45"/>
      <c r="U89" s="45"/>
      <c r="V89" s="45"/>
      <c r="W89" s="45"/>
    </row>
    <row r="90" spans="1:23" ht="11.25" customHeight="1">
      <c r="A90" s="48"/>
      <c r="B90" s="48"/>
      <c r="C90" s="45"/>
      <c r="D90" s="45"/>
      <c r="E90" s="45"/>
      <c r="F90" s="45"/>
      <c r="G90" s="45"/>
      <c r="H90" s="45"/>
      <c r="I90" s="45"/>
      <c r="J90" s="45"/>
      <c r="K90" s="45"/>
      <c r="L90" s="46"/>
      <c r="M90" s="46"/>
      <c r="N90" s="46"/>
      <c r="O90" s="46"/>
      <c r="P90" s="46"/>
      <c r="Q90" s="45"/>
      <c r="R90" s="45"/>
      <c r="S90" s="45"/>
      <c r="T90" s="45"/>
      <c r="U90" s="45"/>
      <c r="V90" s="45"/>
      <c r="W90" s="45"/>
    </row>
    <row r="91" spans="1:23" ht="11.25" customHeight="1">
      <c r="A91" s="48"/>
      <c r="B91" s="48"/>
      <c r="C91" s="45"/>
      <c r="D91" s="45"/>
      <c r="E91" s="45"/>
      <c r="F91" s="45"/>
      <c r="G91" s="45"/>
      <c r="H91" s="45"/>
      <c r="I91" s="45"/>
      <c r="J91" s="45"/>
      <c r="K91" s="45"/>
      <c r="L91" s="46"/>
      <c r="M91" s="46"/>
      <c r="N91" s="46"/>
      <c r="O91" s="46"/>
      <c r="P91" s="46"/>
      <c r="Q91" s="45"/>
      <c r="R91" s="45"/>
      <c r="S91" s="45"/>
      <c r="T91" s="45"/>
      <c r="U91" s="45"/>
      <c r="V91" s="45"/>
      <c r="W91" s="45"/>
    </row>
    <row r="92" spans="1:23" ht="11.25" customHeight="1">
      <c r="A92" s="48"/>
      <c r="B92" s="48"/>
      <c r="C92" s="45"/>
      <c r="D92" s="45"/>
      <c r="E92" s="45"/>
      <c r="F92" s="45"/>
      <c r="G92" s="45"/>
      <c r="H92" s="45"/>
      <c r="I92" s="45"/>
      <c r="J92" s="45"/>
      <c r="K92" s="45"/>
      <c r="L92" s="46"/>
      <c r="M92" s="46"/>
      <c r="N92" s="46"/>
      <c r="O92" s="46"/>
      <c r="P92" s="46"/>
      <c r="Q92" s="45"/>
      <c r="R92" s="45"/>
      <c r="S92" s="45"/>
      <c r="T92" s="45"/>
      <c r="U92" s="45"/>
      <c r="V92" s="45"/>
      <c r="W92" s="45"/>
    </row>
    <row r="93" spans="1:23" ht="11.25" customHeight="1">
      <c r="A93" s="48"/>
      <c r="B93" s="48"/>
      <c r="C93" s="45"/>
      <c r="D93" s="45"/>
      <c r="E93" s="45"/>
      <c r="F93" s="45"/>
      <c r="G93" s="45"/>
      <c r="H93" s="45"/>
      <c r="I93" s="45"/>
      <c r="J93" s="45"/>
      <c r="K93" s="45"/>
      <c r="L93" s="46"/>
      <c r="M93" s="46"/>
      <c r="N93" s="46"/>
      <c r="O93" s="46"/>
      <c r="P93" s="46"/>
      <c r="Q93" s="45"/>
      <c r="R93" s="45"/>
      <c r="S93" s="45"/>
      <c r="T93" s="45"/>
      <c r="U93" s="45"/>
      <c r="V93" s="45"/>
      <c r="W93" s="45"/>
    </row>
    <row r="94" spans="1:23" ht="11.25" customHeight="1">
      <c r="A94" s="48"/>
      <c r="B94" s="48"/>
      <c r="C94" s="45"/>
      <c r="D94" s="45"/>
      <c r="E94" s="45"/>
      <c r="F94" s="45"/>
      <c r="G94" s="45"/>
      <c r="H94" s="45"/>
      <c r="I94" s="45"/>
      <c r="J94" s="45"/>
      <c r="K94" s="45"/>
      <c r="L94" s="46"/>
      <c r="M94" s="46"/>
      <c r="N94" s="46"/>
      <c r="O94" s="46"/>
      <c r="P94" s="46"/>
      <c r="Q94" s="45"/>
      <c r="R94" s="45"/>
      <c r="S94" s="45"/>
      <c r="T94" s="45"/>
      <c r="U94" s="45"/>
      <c r="V94" s="45"/>
      <c r="W94" s="45"/>
    </row>
    <row r="95" spans="1:23" ht="11.25" customHeight="1">
      <c r="A95" s="48"/>
      <c r="B95" s="48"/>
      <c r="C95" s="45"/>
      <c r="D95" s="45"/>
      <c r="E95" s="45"/>
      <c r="F95" s="45"/>
      <c r="G95" s="45"/>
      <c r="H95" s="45"/>
      <c r="I95" s="45"/>
      <c r="J95" s="45"/>
      <c r="K95" s="45"/>
      <c r="L95" s="46"/>
      <c r="M95" s="46"/>
      <c r="N95" s="46"/>
      <c r="O95" s="46"/>
      <c r="P95" s="46"/>
      <c r="Q95" s="45"/>
      <c r="R95" s="45"/>
      <c r="S95" s="45"/>
      <c r="T95" s="45"/>
      <c r="U95" s="45"/>
      <c r="V95" s="45"/>
      <c r="W95" s="45"/>
    </row>
    <row r="96" spans="1:23" ht="11.25" customHeight="1">
      <c r="A96" s="48"/>
      <c r="B96" s="48"/>
      <c r="C96" s="45"/>
      <c r="D96" s="45"/>
      <c r="E96" s="45"/>
      <c r="F96" s="45"/>
      <c r="G96" s="45"/>
      <c r="H96" s="45"/>
      <c r="I96" s="45"/>
      <c r="J96" s="45"/>
      <c r="K96" s="45"/>
      <c r="L96" s="46"/>
      <c r="M96" s="46"/>
      <c r="N96" s="46"/>
      <c r="O96" s="46"/>
      <c r="P96" s="46"/>
      <c r="Q96" s="45"/>
      <c r="R96" s="45"/>
      <c r="S96" s="45"/>
      <c r="T96" s="45"/>
      <c r="U96" s="45"/>
      <c r="V96" s="45"/>
      <c r="W96" s="45"/>
    </row>
    <row r="97" spans="1:23" ht="11.25" customHeight="1">
      <c r="A97" s="48"/>
      <c r="B97" s="48"/>
      <c r="C97" s="45"/>
      <c r="D97" s="45"/>
      <c r="E97" s="45"/>
      <c r="F97" s="45"/>
      <c r="G97" s="45"/>
      <c r="H97" s="45"/>
      <c r="I97" s="45"/>
      <c r="J97" s="45"/>
      <c r="K97" s="45"/>
      <c r="L97" s="46"/>
      <c r="M97" s="46"/>
      <c r="N97" s="46"/>
      <c r="O97" s="46"/>
      <c r="P97" s="46"/>
      <c r="Q97" s="45"/>
      <c r="R97" s="45"/>
      <c r="S97" s="45"/>
      <c r="T97" s="45"/>
      <c r="U97" s="45"/>
      <c r="V97" s="45"/>
      <c r="W97" s="45"/>
    </row>
    <row r="98" spans="1:23" ht="11.25" customHeight="1">
      <c r="A98" s="48"/>
      <c r="B98" s="48"/>
      <c r="C98" s="45"/>
      <c r="D98" s="45"/>
      <c r="E98" s="45"/>
      <c r="F98" s="45"/>
      <c r="G98" s="45"/>
      <c r="H98" s="45"/>
      <c r="I98" s="45"/>
      <c r="J98" s="45"/>
      <c r="K98" s="45"/>
      <c r="L98" s="46"/>
      <c r="M98" s="46"/>
      <c r="N98" s="46"/>
      <c r="O98" s="46"/>
      <c r="P98" s="46"/>
      <c r="Q98" s="45"/>
      <c r="R98" s="45"/>
      <c r="S98" s="45"/>
      <c r="T98" s="45"/>
      <c r="U98" s="45"/>
      <c r="V98" s="45"/>
      <c r="W98" s="45"/>
    </row>
    <row r="99" spans="1:23" ht="11.25" customHeight="1">
      <c r="A99" s="48"/>
      <c r="B99" s="48"/>
      <c r="C99" s="45"/>
      <c r="D99" s="45"/>
      <c r="E99" s="45"/>
      <c r="F99" s="45"/>
      <c r="G99" s="45"/>
      <c r="H99" s="45"/>
      <c r="I99" s="45"/>
      <c r="J99" s="45"/>
      <c r="K99" s="45"/>
      <c r="L99" s="46"/>
      <c r="M99" s="46"/>
      <c r="N99" s="46"/>
      <c r="O99" s="46"/>
      <c r="P99" s="46"/>
      <c r="Q99" s="45"/>
      <c r="R99" s="45"/>
      <c r="S99" s="45"/>
      <c r="T99" s="45"/>
      <c r="U99" s="45"/>
      <c r="V99" s="45"/>
      <c r="W99" s="45"/>
    </row>
    <row r="100" spans="1:23" ht="11.25" customHeight="1">
      <c r="A100" s="48"/>
      <c r="B100" s="48"/>
      <c r="C100" s="45"/>
      <c r="D100" s="45"/>
      <c r="E100" s="45"/>
      <c r="F100" s="45"/>
      <c r="G100" s="45"/>
      <c r="H100" s="45"/>
      <c r="I100" s="45"/>
      <c r="J100" s="45"/>
      <c r="K100" s="45"/>
      <c r="L100" s="46"/>
      <c r="M100" s="46"/>
      <c r="N100" s="46"/>
      <c r="O100" s="46"/>
      <c r="P100" s="46"/>
      <c r="Q100" s="45"/>
      <c r="R100" s="45"/>
      <c r="S100" s="45"/>
      <c r="T100" s="45"/>
      <c r="U100" s="45"/>
      <c r="V100" s="45"/>
      <c r="W100" s="45"/>
    </row>
    <row r="101" spans="1:23" ht="11.25" customHeight="1">
      <c r="A101" s="48"/>
      <c r="B101" s="48"/>
      <c r="C101" s="45"/>
      <c r="D101" s="45"/>
      <c r="E101" s="45"/>
      <c r="F101" s="45"/>
      <c r="G101" s="45"/>
      <c r="H101" s="45"/>
      <c r="I101" s="45"/>
      <c r="J101" s="45"/>
      <c r="K101" s="45"/>
      <c r="L101" s="46"/>
      <c r="M101" s="46"/>
      <c r="N101" s="46"/>
      <c r="O101" s="46"/>
      <c r="P101" s="46"/>
      <c r="Q101" s="45"/>
      <c r="R101" s="45"/>
      <c r="S101" s="45"/>
      <c r="T101" s="45"/>
      <c r="U101" s="45"/>
      <c r="V101" s="45"/>
      <c r="W101" s="45"/>
    </row>
    <row r="102" spans="1:23" ht="11.25" customHeight="1">
      <c r="A102" s="48"/>
      <c r="B102" s="48"/>
      <c r="C102" s="45"/>
      <c r="D102" s="45"/>
      <c r="E102" s="45"/>
      <c r="F102" s="45"/>
      <c r="G102" s="45"/>
      <c r="H102" s="45"/>
      <c r="I102" s="45"/>
      <c r="J102" s="45"/>
      <c r="K102" s="45"/>
      <c r="L102" s="46"/>
      <c r="M102" s="46"/>
      <c r="N102" s="46"/>
      <c r="O102" s="46"/>
      <c r="P102" s="46"/>
      <c r="Q102" s="45"/>
      <c r="R102" s="45"/>
      <c r="S102" s="45"/>
      <c r="T102" s="45"/>
      <c r="U102" s="45"/>
      <c r="V102" s="45"/>
      <c r="W102" s="45"/>
    </row>
    <row r="103" spans="1:23" ht="11.25" customHeight="1">
      <c r="A103" s="48"/>
      <c r="B103" s="48"/>
      <c r="C103" s="45"/>
      <c r="D103" s="45"/>
      <c r="E103" s="45"/>
      <c r="F103" s="45"/>
      <c r="G103" s="45"/>
      <c r="H103" s="45"/>
      <c r="I103" s="45"/>
      <c r="J103" s="45"/>
      <c r="K103" s="45"/>
      <c r="L103" s="46"/>
      <c r="M103" s="46"/>
      <c r="N103" s="46"/>
      <c r="O103" s="46"/>
      <c r="P103" s="46"/>
      <c r="Q103" s="45"/>
      <c r="R103" s="45"/>
      <c r="S103" s="45"/>
      <c r="T103" s="45"/>
      <c r="U103" s="45"/>
      <c r="V103" s="45"/>
      <c r="W103" s="45"/>
    </row>
    <row r="104" spans="1:23" ht="11.25" customHeight="1">
      <c r="A104" s="48"/>
      <c r="B104" s="48"/>
      <c r="C104" s="45"/>
      <c r="D104" s="45"/>
      <c r="E104" s="45"/>
      <c r="F104" s="45"/>
      <c r="G104" s="45"/>
      <c r="H104" s="45"/>
      <c r="I104" s="45"/>
      <c r="J104" s="45"/>
      <c r="K104" s="45"/>
      <c r="L104" s="46"/>
      <c r="M104" s="46"/>
      <c r="N104" s="46"/>
      <c r="O104" s="46"/>
      <c r="P104" s="46"/>
      <c r="Q104" s="45"/>
      <c r="R104" s="45"/>
      <c r="S104" s="45"/>
      <c r="T104" s="45"/>
      <c r="U104" s="45"/>
      <c r="V104" s="45"/>
      <c r="W104" s="45"/>
    </row>
    <row r="105" spans="1:23" ht="11.25" customHeight="1">
      <c r="A105" s="48"/>
      <c r="B105" s="48"/>
      <c r="C105" s="45"/>
      <c r="D105" s="45"/>
      <c r="E105" s="45"/>
      <c r="F105" s="45"/>
      <c r="G105" s="45"/>
      <c r="H105" s="45"/>
      <c r="I105" s="45"/>
      <c r="J105" s="45"/>
      <c r="K105" s="45"/>
      <c r="L105" s="46"/>
      <c r="M105" s="46"/>
      <c r="N105" s="46"/>
      <c r="O105" s="46"/>
      <c r="P105" s="46"/>
      <c r="Q105" s="45"/>
      <c r="R105" s="45"/>
      <c r="S105" s="45"/>
      <c r="T105" s="45"/>
      <c r="U105" s="45"/>
      <c r="V105" s="45"/>
      <c r="W105" s="45"/>
    </row>
    <row r="106" spans="1:23" ht="11.25" customHeight="1">
      <c r="A106" s="48"/>
      <c r="B106" s="48"/>
      <c r="C106" s="45"/>
      <c r="D106" s="45"/>
      <c r="E106" s="45"/>
      <c r="F106" s="45"/>
      <c r="G106" s="45"/>
      <c r="H106" s="45"/>
      <c r="I106" s="45"/>
      <c r="J106" s="45"/>
      <c r="K106" s="45"/>
      <c r="L106" s="46"/>
      <c r="M106" s="46"/>
      <c r="N106" s="46"/>
      <c r="O106" s="46"/>
      <c r="P106" s="46"/>
      <c r="Q106" s="45"/>
      <c r="R106" s="45"/>
      <c r="S106" s="45"/>
      <c r="T106" s="45"/>
      <c r="U106" s="45"/>
      <c r="V106" s="45"/>
      <c r="W106" s="45"/>
    </row>
    <row r="107" spans="1:23" ht="11.25" customHeight="1">
      <c r="A107" s="48"/>
      <c r="B107" s="48"/>
      <c r="C107" s="45"/>
      <c r="D107" s="45"/>
      <c r="E107" s="45"/>
      <c r="F107" s="45"/>
      <c r="G107" s="45"/>
      <c r="H107" s="45"/>
      <c r="I107" s="45"/>
      <c r="J107" s="45"/>
      <c r="K107" s="45"/>
      <c r="L107" s="46"/>
      <c r="M107" s="46"/>
      <c r="N107" s="46"/>
      <c r="O107" s="46"/>
      <c r="P107" s="46"/>
      <c r="Q107" s="45"/>
      <c r="R107" s="45"/>
      <c r="S107" s="45"/>
      <c r="T107" s="45"/>
      <c r="U107" s="45"/>
      <c r="V107" s="45"/>
      <c r="W107" s="45"/>
    </row>
    <row r="108" spans="1:23" ht="11.25" customHeight="1">
      <c r="A108" s="48"/>
      <c r="B108" s="48"/>
      <c r="C108" s="45"/>
      <c r="D108" s="45"/>
      <c r="E108" s="45"/>
      <c r="F108" s="45"/>
      <c r="G108" s="45"/>
      <c r="H108" s="45"/>
      <c r="I108" s="45"/>
      <c r="J108" s="45"/>
      <c r="K108" s="45"/>
      <c r="L108" s="46"/>
      <c r="M108" s="46"/>
      <c r="N108" s="46"/>
      <c r="O108" s="46"/>
      <c r="P108" s="46"/>
      <c r="Q108" s="45"/>
      <c r="R108" s="45"/>
      <c r="S108" s="45"/>
      <c r="T108" s="45"/>
      <c r="U108" s="45"/>
      <c r="V108" s="45"/>
      <c r="W108" s="45"/>
    </row>
    <row r="109" spans="1:23" ht="11.25" customHeight="1">
      <c r="A109" s="48"/>
      <c r="B109" s="48"/>
      <c r="C109" s="45"/>
      <c r="D109" s="45"/>
      <c r="E109" s="45"/>
      <c r="F109" s="45"/>
      <c r="G109" s="45"/>
      <c r="H109" s="45"/>
      <c r="I109" s="45"/>
      <c r="J109" s="45"/>
      <c r="K109" s="45"/>
      <c r="L109" s="46"/>
      <c r="M109" s="46"/>
      <c r="N109" s="46"/>
      <c r="O109" s="46"/>
      <c r="P109" s="46"/>
      <c r="Q109" s="45"/>
      <c r="R109" s="45"/>
      <c r="S109" s="45"/>
      <c r="T109" s="45"/>
      <c r="U109" s="45"/>
      <c r="V109" s="45"/>
      <c r="W109" s="45"/>
    </row>
    <row r="110" spans="1:23" ht="11.25" customHeight="1">
      <c r="A110" s="48"/>
      <c r="B110" s="48"/>
      <c r="C110" s="45"/>
      <c r="D110" s="45"/>
      <c r="E110" s="45"/>
      <c r="F110" s="45"/>
      <c r="G110" s="45"/>
      <c r="H110" s="45"/>
      <c r="I110" s="45"/>
      <c r="J110" s="45"/>
      <c r="K110" s="45"/>
      <c r="L110" s="46"/>
      <c r="M110" s="46"/>
      <c r="N110" s="46"/>
      <c r="O110" s="46"/>
      <c r="P110" s="46"/>
      <c r="Q110" s="45"/>
      <c r="R110" s="45"/>
      <c r="S110" s="45"/>
      <c r="T110" s="45"/>
      <c r="U110" s="45"/>
      <c r="V110" s="45"/>
      <c r="W110" s="45"/>
    </row>
    <row r="111" spans="1:23" ht="11.25" customHeight="1">
      <c r="A111" s="48"/>
      <c r="B111" s="48"/>
      <c r="C111" s="45"/>
      <c r="D111" s="45"/>
      <c r="E111" s="45"/>
      <c r="F111" s="45"/>
      <c r="G111" s="45"/>
      <c r="H111" s="45"/>
      <c r="I111" s="45"/>
      <c r="J111" s="45"/>
      <c r="K111" s="45"/>
      <c r="L111" s="46"/>
      <c r="M111" s="46"/>
      <c r="N111" s="46"/>
      <c r="O111" s="46"/>
      <c r="P111" s="46"/>
      <c r="Q111" s="45"/>
      <c r="R111" s="45"/>
      <c r="S111" s="45"/>
      <c r="T111" s="45"/>
      <c r="U111" s="45"/>
      <c r="V111" s="45"/>
      <c r="W111" s="45"/>
    </row>
    <row r="112" spans="1:23" ht="11.25" customHeight="1">
      <c r="A112" s="48"/>
      <c r="B112" s="48"/>
      <c r="C112" s="45"/>
      <c r="D112" s="45"/>
      <c r="E112" s="45"/>
      <c r="F112" s="45"/>
      <c r="G112" s="45"/>
      <c r="H112" s="45"/>
      <c r="I112" s="45"/>
      <c r="J112" s="45"/>
      <c r="K112" s="45"/>
      <c r="L112" s="46"/>
      <c r="M112" s="46"/>
      <c r="N112" s="46"/>
      <c r="O112" s="46"/>
      <c r="P112" s="46"/>
      <c r="Q112" s="45"/>
      <c r="R112" s="45"/>
      <c r="S112" s="45"/>
      <c r="T112" s="45"/>
      <c r="U112" s="45"/>
      <c r="V112" s="45"/>
      <c r="W112" s="45"/>
    </row>
    <row r="113" spans="1:23" ht="11.25" customHeight="1">
      <c r="A113" s="48"/>
      <c r="B113" s="48"/>
      <c r="C113" s="45"/>
      <c r="D113" s="45"/>
      <c r="E113" s="45"/>
      <c r="F113" s="45"/>
      <c r="G113" s="45"/>
      <c r="H113" s="45"/>
      <c r="I113" s="45"/>
      <c r="J113" s="45"/>
      <c r="K113" s="45"/>
      <c r="L113" s="46"/>
      <c r="M113" s="46"/>
      <c r="N113" s="46"/>
      <c r="O113" s="46"/>
      <c r="P113" s="46"/>
      <c r="Q113" s="45"/>
      <c r="R113" s="45"/>
      <c r="S113" s="45"/>
      <c r="T113" s="45"/>
      <c r="U113" s="45"/>
      <c r="V113" s="45"/>
      <c r="W113" s="45"/>
    </row>
    <row r="114" spans="1:23" ht="11.25" customHeight="1">
      <c r="A114" s="48"/>
      <c r="B114" s="48"/>
      <c r="C114" s="45"/>
      <c r="D114" s="45"/>
      <c r="E114" s="45"/>
      <c r="F114" s="45"/>
      <c r="G114" s="45"/>
      <c r="H114" s="45"/>
      <c r="I114" s="45"/>
      <c r="J114" s="45"/>
      <c r="K114" s="45"/>
      <c r="L114" s="46"/>
      <c r="M114" s="46"/>
      <c r="N114" s="46"/>
      <c r="O114" s="46"/>
      <c r="P114" s="46"/>
      <c r="Q114" s="45"/>
      <c r="R114" s="45"/>
      <c r="S114" s="45"/>
      <c r="T114" s="45"/>
      <c r="U114" s="45"/>
      <c r="V114" s="45"/>
      <c r="W114" s="45"/>
    </row>
    <row r="115" spans="1:23" ht="11.25" customHeight="1">
      <c r="A115" s="48"/>
      <c r="B115" s="48"/>
      <c r="C115" s="45"/>
      <c r="D115" s="45"/>
      <c r="E115" s="45"/>
      <c r="F115" s="45"/>
      <c r="G115" s="45"/>
      <c r="H115" s="45"/>
      <c r="I115" s="45"/>
      <c r="J115" s="45"/>
      <c r="K115" s="45"/>
      <c r="L115" s="46"/>
      <c r="M115" s="46"/>
      <c r="N115" s="46"/>
      <c r="O115" s="46"/>
      <c r="P115" s="46"/>
      <c r="Q115" s="45"/>
      <c r="R115" s="45"/>
      <c r="S115" s="45"/>
      <c r="T115" s="45"/>
      <c r="U115" s="45"/>
      <c r="V115" s="45"/>
      <c r="W115" s="45"/>
    </row>
    <row r="116" spans="1:23" ht="11.25" customHeight="1">
      <c r="A116" s="48"/>
      <c r="B116" s="48"/>
      <c r="C116" s="45"/>
      <c r="D116" s="45"/>
      <c r="E116" s="45"/>
      <c r="F116" s="45"/>
      <c r="G116" s="45"/>
      <c r="H116" s="45"/>
      <c r="I116" s="45"/>
      <c r="J116" s="45"/>
      <c r="K116" s="45"/>
      <c r="L116" s="46"/>
      <c r="M116" s="46"/>
      <c r="N116" s="46"/>
      <c r="O116" s="46"/>
      <c r="P116" s="46"/>
      <c r="Q116" s="45"/>
      <c r="R116" s="45"/>
      <c r="S116" s="45"/>
      <c r="T116" s="45"/>
      <c r="U116" s="45"/>
      <c r="V116" s="45"/>
      <c r="W116" s="45"/>
    </row>
    <row r="117" spans="1:23" ht="11.25" customHeight="1">
      <c r="A117" s="48"/>
      <c r="B117" s="48"/>
      <c r="C117" s="45"/>
      <c r="D117" s="45"/>
      <c r="E117" s="45"/>
      <c r="F117" s="45"/>
      <c r="G117" s="45"/>
      <c r="H117" s="45"/>
      <c r="I117" s="45"/>
      <c r="J117" s="45"/>
      <c r="K117" s="45"/>
      <c r="L117" s="46"/>
      <c r="M117" s="46"/>
      <c r="N117" s="46"/>
      <c r="O117" s="46"/>
      <c r="P117" s="46"/>
      <c r="Q117" s="45"/>
      <c r="R117" s="45"/>
      <c r="S117" s="45"/>
      <c r="T117" s="45"/>
      <c r="U117" s="45"/>
      <c r="V117" s="45"/>
      <c r="W117" s="45"/>
    </row>
    <row r="118" spans="1:23" ht="11.25" customHeight="1">
      <c r="A118" s="48"/>
      <c r="B118" s="48"/>
      <c r="C118" s="45"/>
      <c r="D118" s="45"/>
      <c r="E118" s="45"/>
      <c r="F118" s="45"/>
      <c r="G118" s="45"/>
      <c r="H118" s="45"/>
      <c r="I118" s="45"/>
      <c r="J118" s="45"/>
      <c r="K118" s="45"/>
      <c r="L118" s="46"/>
      <c r="M118" s="46"/>
      <c r="N118" s="46"/>
      <c r="O118" s="46"/>
      <c r="P118" s="46"/>
      <c r="Q118" s="45"/>
      <c r="R118" s="45"/>
      <c r="S118" s="45"/>
      <c r="T118" s="45"/>
      <c r="U118" s="45"/>
      <c r="V118" s="45"/>
      <c r="W118" s="45"/>
    </row>
    <row r="119" spans="1:23" ht="11.25" customHeight="1">
      <c r="A119" s="48"/>
      <c r="B119" s="48"/>
      <c r="C119" s="45"/>
      <c r="D119" s="45"/>
      <c r="E119" s="45"/>
      <c r="F119" s="45"/>
      <c r="G119" s="45"/>
      <c r="H119" s="45"/>
      <c r="I119" s="45"/>
      <c r="J119" s="45"/>
      <c r="K119" s="45"/>
      <c r="L119" s="46"/>
      <c r="M119" s="46"/>
      <c r="N119" s="46"/>
      <c r="O119" s="46"/>
      <c r="P119" s="46"/>
      <c r="Q119" s="45"/>
      <c r="R119" s="45"/>
      <c r="S119" s="45"/>
      <c r="T119" s="45"/>
      <c r="U119" s="45"/>
      <c r="V119" s="45"/>
      <c r="W119" s="45"/>
    </row>
    <row r="120" spans="1:23" ht="11.25" customHeight="1">
      <c r="A120" s="48"/>
      <c r="B120" s="48"/>
      <c r="C120" s="45"/>
      <c r="D120" s="45"/>
      <c r="E120" s="45"/>
      <c r="F120" s="45"/>
      <c r="G120" s="45"/>
      <c r="H120" s="45"/>
      <c r="I120" s="45"/>
      <c r="J120" s="45"/>
      <c r="K120" s="45"/>
      <c r="L120" s="46"/>
      <c r="M120" s="46"/>
      <c r="N120" s="46"/>
      <c r="O120" s="46"/>
      <c r="P120" s="46"/>
      <c r="Q120" s="45"/>
      <c r="R120" s="45"/>
      <c r="S120" s="45"/>
      <c r="T120" s="45"/>
      <c r="U120" s="45"/>
      <c r="V120" s="45"/>
      <c r="W120" s="45"/>
    </row>
    <row r="121" spans="1:23" ht="11.25" customHeight="1">
      <c r="A121" s="48"/>
      <c r="B121" s="48"/>
      <c r="C121" s="45"/>
      <c r="D121" s="45"/>
      <c r="E121" s="45"/>
      <c r="F121" s="45"/>
      <c r="G121" s="45"/>
      <c r="H121" s="45"/>
      <c r="I121" s="45"/>
      <c r="J121" s="45"/>
      <c r="K121" s="45"/>
      <c r="L121" s="46"/>
      <c r="M121" s="46"/>
      <c r="N121" s="46"/>
      <c r="O121" s="46"/>
      <c r="P121" s="46"/>
      <c r="Q121" s="45"/>
      <c r="R121" s="45"/>
      <c r="S121" s="45"/>
      <c r="T121" s="45"/>
      <c r="U121" s="45"/>
      <c r="V121" s="45"/>
      <c r="W121" s="45"/>
    </row>
    <row r="122" spans="1:23" ht="11.25" customHeight="1">
      <c r="A122" s="48"/>
      <c r="B122" s="48"/>
      <c r="C122" s="45"/>
      <c r="D122" s="45"/>
      <c r="E122" s="45"/>
      <c r="F122" s="45"/>
      <c r="G122" s="45"/>
      <c r="H122" s="45"/>
      <c r="I122" s="45"/>
      <c r="J122" s="45"/>
      <c r="K122" s="45"/>
      <c r="L122" s="46"/>
      <c r="M122" s="46"/>
      <c r="N122" s="46"/>
      <c r="O122" s="46"/>
      <c r="P122" s="46"/>
      <c r="Q122" s="45"/>
      <c r="R122" s="45"/>
      <c r="S122" s="45"/>
      <c r="T122" s="45"/>
      <c r="U122" s="45"/>
      <c r="V122" s="45"/>
      <c r="W122" s="45"/>
    </row>
    <row r="123" spans="1:23" ht="11.25" customHeight="1">
      <c r="A123" s="48"/>
      <c r="B123" s="48"/>
      <c r="C123" s="45"/>
      <c r="D123" s="45"/>
      <c r="E123" s="45"/>
      <c r="F123" s="45"/>
      <c r="G123" s="45"/>
      <c r="H123" s="45"/>
      <c r="I123" s="45"/>
      <c r="J123" s="45"/>
      <c r="K123" s="45"/>
      <c r="L123" s="46"/>
      <c r="M123" s="46"/>
      <c r="N123" s="46"/>
      <c r="O123" s="46"/>
      <c r="P123" s="46"/>
      <c r="Q123" s="45"/>
      <c r="R123" s="45"/>
      <c r="S123" s="45"/>
      <c r="T123" s="45"/>
      <c r="U123" s="45"/>
      <c r="V123" s="45"/>
      <c r="W123" s="45"/>
    </row>
    <row r="124" spans="1:23" ht="11.25" customHeight="1">
      <c r="A124" s="48"/>
      <c r="B124" s="48"/>
      <c r="C124" s="45"/>
      <c r="D124" s="45"/>
      <c r="E124" s="45"/>
      <c r="F124" s="45"/>
      <c r="G124" s="45"/>
      <c r="H124" s="45"/>
      <c r="I124" s="45"/>
      <c r="J124" s="45"/>
      <c r="K124" s="45"/>
      <c r="L124" s="46"/>
      <c r="M124" s="46"/>
      <c r="N124" s="46"/>
      <c r="O124" s="46"/>
      <c r="P124" s="46"/>
      <c r="Q124" s="45"/>
      <c r="R124" s="45"/>
      <c r="S124" s="45"/>
      <c r="T124" s="45"/>
      <c r="U124" s="45"/>
      <c r="V124" s="45"/>
      <c r="W124" s="45"/>
    </row>
    <row r="125" spans="1:23" ht="11.25" customHeight="1">
      <c r="A125" s="48"/>
      <c r="B125" s="48"/>
      <c r="C125" s="45"/>
      <c r="D125" s="45"/>
      <c r="E125" s="45"/>
      <c r="F125" s="45"/>
      <c r="G125" s="45"/>
      <c r="H125" s="45"/>
      <c r="I125" s="45"/>
      <c r="J125" s="45"/>
      <c r="K125" s="45"/>
      <c r="L125" s="46"/>
      <c r="M125" s="46"/>
      <c r="N125" s="46"/>
      <c r="O125" s="46"/>
      <c r="P125" s="46"/>
      <c r="Q125" s="45"/>
      <c r="R125" s="45"/>
      <c r="S125" s="45"/>
      <c r="T125" s="45"/>
      <c r="U125" s="45"/>
      <c r="V125" s="45"/>
      <c r="W125" s="45"/>
    </row>
    <row r="126" spans="1:23" ht="11.25" customHeight="1">
      <c r="A126" s="48"/>
      <c r="B126" s="48"/>
      <c r="C126" s="45"/>
      <c r="D126" s="45"/>
      <c r="E126" s="45"/>
      <c r="F126" s="45"/>
      <c r="G126" s="45"/>
      <c r="H126" s="45"/>
      <c r="I126" s="45"/>
      <c r="J126" s="45"/>
      <c r="K126" s="45"/>
      <c r="L126" s="46"/>
      <c r="M126" s="46"/>
      <c r="N126" s="46"/>
      <c r="O126" s="46"/>
      <c r="P126" s="46"/>
      <c r="Q126" s="45"/>
      <c r="R126" s="45"/>
      <c r="S126" s="45"/>
      <c r="T126" s="45"/>
      <c r="U126" s="45"/>
      <c r="V126" s="45"/>
      <c r="W126" s="45"/>
    </row>
    <row r="127" spans="1:23" ht="11.25" customHeight="1">
      <c r="A127" s="48"/>
      <c r="B127" s="48"/>
      <c r="C127" s="45"/>
      <c r="D127" s="45"/>
      <c r="E127" s="45"/>
      <c r="F127" s="45"/>
      <c r="G127" s="45"/>
      <c r="H127" s="45"/>
      <c r="I127" s="45"/>
      <c r="J127" s="45"/>
      <c r="K127" s="45"/>
      <c r="L127" s="46"/>
      <c r="M127" s="46"/>
      <c r="N127" s="46"/>
      <c r="O127" s="46"/>
      <c r="P127" s="46"/>
      <c r="Q127" s="45"/>
      <c r="R127" s="45"/>
      <c r="S127" s="45"/>
      <c r="T127" s="45"/>
      <c r="U127" s="45"/>
      <c r="V127" s="45"/>
      <c r="W127" s="45"/>
    </row>
    <row r="128" spans="1:23" ht="11.25" customHeight="1">
      <c r="A128" s="48"/>
      <c r="B128" s="48"/>
      <c r="C128" s="45"/>
      <c r="D128" s="45"/>
      <c r="E128" s="45"/>
      <c r="F128" s="45"/>
      <c r="G128" s="45"/>
      <c r="H128" s="45"/>
      <c r="I128" s="45"/>
      <c r="J128" s="45"/>
      <c r="K128" s="45"/>
      <c r="L128" s="46"/>
      <c r="M128" s="46"/>
      <c r="N128" s="46"/>
      <c r="O128" s="46"/>
      <c r="P128" s="46"/>
      <c r="Q128" s="45"/>
      <c r="R128" s="45"/>
      <c r="S128" s="45"/>
      <c r="T128" s="45"/>
      <c r="U128" s="45"/>
      <c r="V128" s="45"/>
      <c r="W128" s="45"/>
    </row>
    <row r="129" spans="1:23" ht="11.25" customHeight="1">
      <c r="A129" s="48"/>
      <c r="B129" s="48"/>
      <c r="C129" s="45"/>
      <c r="D129" s="45"/>
      <c r="E129" s="45"/>
      <c r="F129" s="45"/>
      <c r="G129" s="45"/>
      <c r="H129" s="45"/>
      <c r="I129" s="45"/>
      <c r="J129" s="45"/>
      <c r="K129" s="45"/>
      <c r="L129" s="46"/>
      <c r="M129" s="46"/>
      <c r="N129" s="46"/>
      <c r="O129" s="46"/>
      <c r="P129" s="46"/>
      <c r="Q129" s="45"/>
      <c r="R129" s="45"/>
      <c r="S129" s="45"/>
      <c r="T129" s="45"/>
      <c r="U129" s="45"/>
      <c r="V129" s="45"/>
      <c r="W129" s="45"/>
    </row>
    <row r="130" spans="1:23" ht="11.25" customHeight="1">
      <c r="A130" s="48"/>
      <c r="B130" s="48"/>
      <c r="C130" s="45"/>
      <c r="D130" s="45"/>
      <c r="E130" s="45"/>
      <c r="F130" s="45"/>
      <c r="G130" s="45"/>
      <c r="H130" s="45"/>
      <c r="I130" s="45"/>
      <c r="J130" s="45"/>
      <c r="K130" s="45"/>
      <c r="L130" s="46"/>
      <c r="M130" s="46"/>
      <c r="N130" s="46"/>
      <c r="O130" s="46"/>
      <c r="P130" s="46"/>
      <c r="Q130" s="45"/>
      <c r="R130" s="45"/>
      <c r="S130" s="45"/>
      <c r="T130" s="45"/>
      <c r="U130" s="45"/>
      <c r="V130" s="45"/>
      <c r="W130" s="45"/>
    </row>
    <row r="131" spans="1:23" ht="11.25" customHeight="1">
      <c r="A131" s="48"/>
      <c r="B131" s="48"/>
      <c r="C131" s="45"/>
      <c r="D131" s="45"/>
      <c r="E131" s="45"/>
      <c r="F131" s="45"/>
      <c r="G131" s="45"/>
      <c r="H131" s="45"/>
      <c r="I131" s="45"/>
      <c r="J131" s="45"/>
      <c r="K131" s="45"/>
      <c r="L131" s="46"/>
      <c r="M131" s="46"/>
      <c r="N131" s="46"/>
      <c r="O131" s="46"/>
      <c r="P131" s="46"/>
      <c r="Q131" s="45"/>
      <c r="R131" s="45"/>
      <c r="S131" s="45"/>
      <c r="T131" s="45"/>
      <c r="U131" s="45"/>
      <c r="V131" s="45"/>
      <c r="W131" s="45"/>
    </row>
    <row r="132" spans="1:23" ht="11.25" customHeight="1">
      <c r="A132" s="48"/>
      <c r="B132" s="48"/>
      <c r="C132" s="45"/>
      <c r="D132" s="45"/>
      <c r="E132" s="45"/>
      <c r="F132" s="45"/>
      <c r="G132" s="45"/>
      <c r="H132" s="45"/>
      <c r="I132" s="45"/>
      <c r="J132" s="45"/>
      <c r="K132" s="45"/>
      <c r="L132" s="46"/>
      <c r="M132" s="46"/>
      <c r="N132" s="46"/>
      <c r="O132" s="46"/>
      <c r="P132" s="46"/>
      <c r="Q132" s="45"/>
      <c r="R132" s="45"/>
      <c r="S132" s="45"/>
      <c r="T132" s="45"/>
      <c r="U132" s="45"/>
      <c r="V132" s="45"/>
      <c r="W132" s="45"/>
    </row>
    <row r="133" spans="1:23" ht="11.25" customHeight="1">
      <c r="A133" s="48"/>
      <c r="B133" s="48"/>
      <c r="C133" s="45"/>
      <c r="D133" s="45"/>
      <c r="E133" s="45"/>
      <c r="F133" s="45"/>
      <c r="G133" s="45"/>
      <c r="H133" s="45"/>
      <c r="I133" s="45"/>
      <c r="J133" s="45"/>
      <c r="K133" s="45"/>
      <c r="L133" s="46"/>
      <c r="M133" s="46"/>
      <c r="N133" s="46"/>
      <c r="O133" s="46"/>
      <c r="P133" s="46"/>
      <c r="Q133" s="45"/>
      <c r="R133" s="45"/>
      <c r="S133" s="45"/>
      <c r="T133" s="45"/>
      <c r="U133" s="45"/>
      <c r="V133" s="45"/>
      <c r="W133" s="45"/>
    </row>
    <row r="134" spans="1:23" ht="11.25" customHeight="1">
      <c r="A134" s="48"/>
      <c r="B134" s="48"/>
      <c r="C134" s="45"/>
      <c r="D134" s="45"/>
      <c r="E134" s="45"/>
      <c r="F134" s="45"/>
      <c r="G134" s="45"/>
      <c r="H134" s="45"/>
      <c r="I134" s="45"/>
      <c r="J134" s="45"/>
      <c r="K134" s="45"/>
      <c r="L134" s="46"/>
      <c r="M134" s="46"/>
      <c r="N134" s="46"/>
      <c r="O134" s="46"/>
      <c r="P134" s="46"/>
      <c r="Q134" s="45"/>
      <c r="R134" s="45"/>
      <c r="S134" s="45"/>
      <c r="T134" s="45"/>
      <c r="U134" s="45"/>
      <c r="V134" s="45"/>
      <c r="W134" s="45"/>
    </row>
    <row r="135" spans="1:23" ht="11.25" customHeight="1">
      <c r="A135" s="48"/>
      <c r="B135" s="48"/>
      <c r="C135" s="45"/>
      <c r="D135" s="45"/>
      <c r="E135" s="45"/>
      <c r="F135" s="45"/>
      <c r="G135" s="45"/>
      <c r="H135" s="45"/>
      <c r="I135" s="45"/>
      <c r="J135" s="45"/>
      <c r="K135" s="45"/>
      <c r="L135" s="46"/>
      <c r="M135" s="46"/>
      <c r="N135" s="46"/>
      <c r="O135" s="46"/>
      <c r="P135" s="46"/>
      <c r="Q135" s="45"/>
      <c r="R135" s="45"/>
      <c r="S135" s="45"/>
      <c r="T135" s="45"/>
      <c r="U135" s="45"/>
      <c r="V135" s="45"/>
      <c r="W135" s="45"/>
    </row>
    <row r="136" spans="1:23" ht="11.25" customHeight="1">
      <c r="A136" s="48"/>
      <c r="B136" s="48"/>
      <c r="C136" s="45"/>
      <c r="D136" s="45"/>
      <c r="E136" s="45"/>
      <c r="F136" s="45"/>
      <c r="G136" s="45"/>
      <c r="H136" s="45"/>
      <c r="I136" s="45"/>
      <c r="J136" s="45"/>
      <c r="K136" s="45"/>
      <c r="L136" s="46"/>
      <c r="M136" s="46"/>
      <c r="N136" s="46"/>
      <c r="O136" s="46"/>
      <c r="P136" s="46"/>
      <c r="Q136" s="45"/>
      <c r="R136" s="45"/>
      <c r="S136" s="45"/>
      <c r="T136" s="45"/>
      <c r="U136" s="45"/>
      <c r="V136" s="45"/>
      <c r="W136" s="45"/>
    </row>
    <row r="137" spans="1:23" ht="11.25" customHeight="1">
      <c r="A137" s="48"/>
      <c r="B137" s="48"/>
      <c r="C137" s="45"/>
      <c r="D137" s="45"/>
      <c r="E137" s="45"/>
      <c r="F137" s="45"/>
      <c r="G137" s="45"/>
      <c r="H137" s="45"/>
      <c r="I137" s="45"/>
      <c r="J137" s="45"/>
      <c r="K137" s="45"/>
      <c r="L137" s="46"/>
      <c r="M137" s="46"/>
      <c r="N137" s="46"/>
      <c r="O137" s="46"/>
      <c r="P137" s="46"/>
      <c r="Q137" s="45"/>
      <c r="R137" s="45"/>
      <c r="S137" s="45"/>
      <c r="T137" s="45"/>
      <c r="U137" s="45"/>
      <c r="V137" s="45"/>
      <c r="W137" s="45"/>
    </row>
    <row r="138" spans="1:23" ht="11.25" customHeight="1">
      <c r="A138" s="48"/>
      <c r="B138" s="48"/>
      <c r="C138" s="45"/>
      <c r="D138" s="45"/>
      <c r="E138" s="45"/>
      <c r="F138" s="45"/>
      <c r="G138" s="45"/>
      <c r="H138" s="45"/>
      <c r="I138" s="45"/>
      <c r="J138" s="45"/>
      <c r="K138" s="45"/>
      <c r="L138" s="46"/>
      <c r="M138" s="46"/>
      <c r="N138" s="46"/>
      <c r="O138" s="46"/>
      <c r="P138" s="46"/>
      <c r="Q138" s="45"/>
      <c r="R138" s="45"/>
      <c r="S138" s="45"/>
      <c r="T138" s="45"/>
      <c r="U138" s="45"/>
      <c r="V138" s="45"/>
      <c r="W138" s="45"/>
    </row>
    <row r="139" spans="1:23" ht="11.25" customHeight="1">
      <c r="A139" s="48"/>
      <c r="B139" s="48"/>
      <c r="C139" s="45"/>
      <c r="D139" s="45"/>
      <c r="E139" s="45"/>
      <c r="F139" s="45"/>
      <c r="G139" s="45"/>
      <c r="H139" s="45"/>
      <c r="I139" s="45"/>
      <c r="J139" s="45"/>
      <c r="K139" s="45"/>
      <c r="L139" s="46"/>
      <c r="M139" s="46"/>
      <c r="N139" s="46"/>
      <c r="O139" s="46"/>
      <c r="P139" s="46"/>
      <c r="Q139" s="45"/>
      <c r="R139" s="45"/>
      <c r="S139" s="45"/>
      <c r="T139" s="45"/>
      <c r="U139" s="45"/>
      <c r="V139" s="45"/>
      <c r="W139" s="45"/>
    </row>
    <row r="140" spans="1:23" ht="11.25" customHeight="1">
      <c r="A140" s="48"/>
      <c r="B140" s="48"/>
      <c r="C140" s="45"/>
      <c r="D140" s="45"/>
      <c r="E140" s="45"/>
      <c r="F140" s="45"/>
      <c r="G140" s="45"/>
      <c r="H140" s="45"/>
      <c r="I140" s="45"/>
      <c r="J140" s="45"/>
      <c r="K140" s="45"/>
      <c r="L140" s="46"/>
      <c r="M140" s="46"/>
      <c r="N140" s="46"/>
      <c r="O140" s="46"/>
      <c r="P140" s="46"/>
      <c r="Q140" s="45"/>
      <c r="R140" s="45"/>
      <c r="S140" s="45"/>
      <c r="T140" s="45"/>
      <c r="U140" s="45"/>
      <c r="V140" s="45"/>
      <c r="W140" s="45"/>
    </row>
    <row r="141" spans="1:23" ht="11.25" customHeight="1">
      <c r="A141" s="48"/>
      <c r="B141" s="48"/>
      <c r="C141" s="45"/>
      <c r="D141" s="45"/>
      <c r="E141" s="45"/>
      <c r="F141" s="45"/>
      <c r="G141" s="45"/>
      <c r="H141" s="45"/>
      <c r="I141" s="45"/>
      <c r="J141" s="45"/>
      <c r="K141" s="45"/>
      <c r="L141" s="46"/>
      <c r="M141" s="46"/>
      <c r="N141" s="46"/>
      <c r="O141" s="46"/>
      <c r="P141" s="46"/>
      <c r="Q141" s="45"/>
      <c r="R141" s="45"/>
      <c r="S141" s="45"/>
      <c r="T141" s="45"/>
      <c r="U141" s="45"/>
      <c r="V141" s="45"/>
      <c r="W141" s="45"/>
    </row>
    <row r="142" spans="1:23" ht="11.25" customHeight="1">
      <c r="A142" s="48"/>
      <c r="B142" s="48"/>
      <c r="C142" s="45"/>
      <c r="D142" s="45"/>
      <c r="E142" s="45"/>
      <c r="F142" s="45"/>
      <c r="G142" s="45"/>
      <c r="H142" s="45"/>
      <c r="I142" s="45"/>
      <c r="J142" s="45"/>
      <c r="K142" s="45"/>
      <c r="L142" s="46"/>
      <c r="M142" s="46"/>
      <c r="N142" s="46"/>
      <c r="O142" s="46"/>
      <c r="P142" s="46"/>
      <c r="Q142" s="45"/>
      <c r="R142" s="45"/>
      <c r="S142" s="45"/>
      <c r="T142" s="45"/>
      <c r="U142" s="45"/>
      <c r="V142" s="45"/>
      <c r="W142" s="45"/>
    </row>
    <row r="143" spans="1:23" ht="11.25" customHeight="1">
      <c r="A143" s="48"/>
      <c r="B143" s="48"/>
      <c r="C143" s="45"/>
      <c r="D143" s="45"/>
      <c r="E143" s="45"/>
      <c r="F143" s="45"/>
      <c r="G143" s="45"/>
      <c r="H143" s="45"/>
      <c r="I143" s="45"/>
      <c r="J143" s="45"/>
      <c r="K143" s="45"/>
      <c r="L143" s="46"/>
      <c r="M143" s="46"/>
      <c r="N143" s="46"/>
      <c r="O143" s="46"/>
      <c r="P143" s="46"/>
      <c r="Q143" s="45"/>
      <c r="R143" s="45"/>
      <c r="S143" s="45"/>
      <c r="T143" s="45"/>
      <c r="U143" s="45"/>
      <c r="V143" s="45"/>
      <c r="W143" s="45"/>
    </row>
    <row r="144" spans="1:23" ht="11.25" customHeight="1">
      <c r="A144" s="48"/>
      <c r="B144" s="48"/>
      <c r="C144" s="45"/>
      <c r="D144" s="45"/>
      <c r="E144" s="45"/>
      <c r="F144" s="45"/>
      <c r="G144" s="45"/>
      <c r="H144" s="45"/>
      <c r="I144" s="45"/>
      <c r="J144" s="45"/>
      <c r="K144" s="45"/>
      <c r="L144" s="46"/>
      <c r="M144" s="46"/>
      <c r="N144" s="46"/>
      <c r="O144" s="46"/>
      <c r="P144" s="46"/>
      <c r="Q144" s="45"/>
      <c r="R144" s="45"/>
      <c r="S144" s="45"/>
      <c r="T144" s="45"/>
      <c r="U144" s="45"/>
      <c r="V144" s="45"/>
      <c r="W144" s="45"/>
    </row>
    <row r="145" spans="1:23" ht="11.25" customHeight="1">
      <c r="A145" s="48"/>
      <c r="B145" s="48"/>
      <c r="C145" s="45"/>
      <c r="D145" s="45"/>
      <c r="E145" s="45"/>
      <c r="F145" s="45"/>
      <c r="G145" s="45"/>
      <c r="H145" s="45"/>
      <c r="I145" s="45"/>
      <c r="J145" s="45"/>
      <c r="K145" s="45"/>
      <c r="L145" s="46"/>
      <c r="M145" s="46"/>
      <c r="N145" s="46"/>
      <c r="O145" s="46"/>
      <c r="P145" s="46"/>
      <c r="Q145" s="45"/>
      <c r="R145" s="45"/>
      <c r="S145" s="45"/>
      <c r="T145" s="45"/>
      <c r="U145" s="45"/>
      <c r="V145" s="45"/>
      <c r="W145" s="45"/>
    </row>
    <row r="146" spans="1:23" ht="11.25" customHeight="1">
      <c r="A146" s="48"/>
      <c r="B146" s="48"/>
      <c r="C146" s="45"/>
      <c r="D146" s="45"/>
      <c r="E146" s="45"/>
      <c r="F146" s="45"/>
      <c r="G146" s="45"/>
      <c r="H146" s="45"/>
      <c r="I146" s="45"/>
      <c r="J146" s="45"/>
      <c r="K146" s="45"/>
      <c r="L146" s="46"/>
      <c r="M146" s="46"/>
      <c r="N146" s="46"/>
      <c r="O146" s="46"/>
      <c r="P146" s="46"/>
      <c r="Q146" s="45"/>
      <c r="R146" s="45"/>
      <c r="S146" s="45"/>
      <c r="T146" s="45"/>
      <c r="U146" s="45"/>
      <c r="V146" s="45"/>
      <c r="W146" s="45"/>
    </row>
    <row r="147" spans="1:23" ht="11.25" customHeight="1">
      <c r="A147" s="48"/>
      <c r="B147" s="48"/>
      <c r="C147" s="45"/>
      <c r="D147" s="45"/>
      <c r="E147" s="45"/>
      <c r="F147" s="45"/>
      <c r="G147" s="45"/>
      <c r="H147" s="45"/>
      <c r="I147" s="45"/>
      <c r="J147" s="45"/>
      <c r="K147" s="45"/>
      <c r="L147" s="46"/>
      <c r="M147" s="46"/>
      <c r="N147" s="46"/>
      <c r="O147" s="46"/>
      <c r="P147" s="46"/>
      <c r="Q147" s="45"/>
      <c r="R147" s="45"/>
      <c r="S147" s="45"/>
      <c r="T147" s="45"/>
      <c r="U147" s="45"/>
      <c r="V147" s="45"/>
      <c r="W147" s="45"/>
    </row>
    <row r="148" spans="1:23" ht="11.25" customHeight="1">
      <c r="A148" s="48"/>
      <c r="B148" s="48"/>
      <c r="C148" s="45"/>
      <c r="D148" s="45"/>
      <c r="E148" s="45"/>
      <c r="F148" s="45"/>
      <c r="G148" s="45"/>
      <c r="H148" s="45"/>
      <c r="I148" s="45"/>
      <c r="J148" s="45"/>
      <c r="K148" s="45"/>
      <c r="L148" s="46"/>
      <c r="M148" s="46"/>
      <c r="N148" s="46"/>
      <c r="O148" s="46"/>
      <c r="P148" s="46"/>
      <c r="Q148" s="45"/>
      <c r="R148" s="45"/>
      <c r="S148" s="45"/>
      <c r="T148" s="45"/>
      <c r="U148" s="45"/>
      <c r="V148" s="45"/>
      <c r="W148" s="45"/>
    </row>
    <row r="149" spans="1:23" ht="11.25" customHeight="1">
      <c r="A149" s="48"/>
      <c r="B149" s="48"/>
      <c r="C149" s="45"/>
      <c r="D149" s="45"/>
      <c r="E149" s="45"/>
      <c r="F149" s="45"/>
      <c r="G149" s="45"/>
      <c r="H149" s="45"/>
      <c r="I149" s="45"/>
      <c r="J149" s="45"/>
      <c r="K149" s="45"/>
      <c r="L149" s="46"/>
      <c r="M149" s="46"/>
      <c r="N149" s="46"/>
      <c r="O149" s="46"/>
      <c r="P149" s="46"/>
      <c r="Q149" s="45"/>
      <c r="R149" s="45"/>
      <c r="S149" s="45"/>
      <c r="T149" s="45"/>
      <c r="U149" s="45"/>
      <c r="V149" s="45"/>
      <c r="W149" s="45"/>
    </row>
    <row r="150" spans="1:23" ht="11.25" customHeight="1">
      <c r="A150" s="48"/>
      <c r="B150" s="48"/>
      <c r="C150" s="45"/>
      <c r="D150" s="45"/>
      <c r="E150" s="45"/>
      <c r="F150" s="45"/>
      <c r="G150" s="45"/>
      <c r="H150" s="45"/>
      <c r="I150" s="45"/>
      <c r="J150" s="45"/>
      <c r="K150" s="45"/>
      <c r="L150" s="46"/>
      <c r="M150" s="46"/>
      <c r="N150" s="46"/>
      <c r="O150" s="46"/>
      <c r="P150" s="46"/>
      <c r="Q150" s="45"/>
      <c r="R150" s="45"/>
      <c r="S150" s="45"/>
      <c r="T150" s="45"/>
      <c r="U150" s="45"/>
      <c r="V150" s="45"/>
      <c r="W150" s="45"/>
    </row>
    <row r="151" spans="1:23" ht="11.25" customHeight="1">
      <c r="A151" s="48"/>
      <c r="B151" s="48"/>
      <c r="C151" s="45"/>
      <c r="D151" s="45"/>
      <c r="E151" s="45"/>
      <c r="F151" s="45"/>
      <c r="G151" s="45"/>
      <c r="H151" s="45"/>
      <c r="I151" s="45"/>
      <c r="J151" s="45"/>
      <c r="K151" s="45"/>
      <c r="L151" s="46"/>
      <c r="M151" s="46"/>
      <c r="N151" s="46"/>
      <c r="O151" s="46"/>
      <c r="P151" s="46"/>
      <c r="Q151" s="45"/>
      <c r="R151" s="45"/>
      <c r="S151" s="45"/>
      <c r="T151" s="45"/>
      <c r="U151" s="45"/>
      <c r="V151" s="45"/>
      <c r="W151" s="45"/>
    </row>
    <row r="152" spans="1:23" ht="11.25" customHeight="1">
      <c r="A152" s="48"/>
      <c r="B152" s="48"/>
      <c r="C152" s="45"/>
      <c r="D152" s="45"/>
      <c r="E152" s="45"/>
      <c r="F152" s="45"/>
      <c r="G152" s="45"/>
      <c r="H152" s="45"/>
      <c r="I152" s="45"/>
      <c r="J152" s="45"/>
      <c r="K152" s="45"/>
      <c r="L152" s="46"/>
      <c r="M152" s="46"/>
      <c r="N152" s="46"/>
      <c r="O152" s="46"/>
      <c r="P152" s="46"/>
      <c r="Q152" s="45"/>
      <c r="R152" s="45"/>
      <c r="S152" s="45"/>
      <c r="T152" s="45"/>
      <c r="U152" s="45"/>
      <c r="V152" s="45"/>
      <c r="W152" s="45"/>
    </row>
    <row r="153" spans="1:23" ht="11.25" customHeight="1">
      <c r="A153" s="48"/>
      <c r="B153" s="48"/>
      <c r="C153" s="45"/>
      <c r="D153" s="45"/>
      <c r="E153" s="45"/>
      <c r="F153" s="45"/>
      <c r="G153" s="45"/>
      <c r="H153" s="45"/>
      <c r="I153" s="45"/>
      <c r="J153" s="45"/>
      <c r="K153" s="45"/>
      <c r="L153" s="46"/>
      <c r="M153" s="46"/>
      <c r="N153" s="46"/>
      <c r="O153" s="46"/>
      <c r="P153" s="46"/>
      <c r="Q153" s="45"/>
      <c r="R153" s="45"/>
      <c r="S153" s="45"/>
      <c r="T153" s="45"/>
      <c r="U153" s="45"/>
      <c r="V153" s="45"/>
      <c r="W153" s="45"/>
    </row>
    <row r="154" spans="1:23" ht="11.25" customHeight="1">
      <c r="A154" s="48"/>
      <c r="B154" s="48"/>
      <c r="C154" s="45"/>
      <c r="D154" s="45"/>
      <c r="E154" s="45"/>
      <c r="F154" s="45"/>
      <c r="G154" s="45"/>
      <c r="H154" s="45"/>
      <c r="I154" s="45"/>
      <c r="J154" s="45"/>
      <c r="K154" s="45"/>
      <c r="L154" s="46"/>
      <c r="M154" s="46"/>
      <c r="N154" s="46"/>
      <c r="O154" s="46"/>
      <c r="P154" s="46"/>
      <c r="Q154" s="45"/>
      <c r="R154" s="45"/>
      <c r="S154" s="45"/>
      <c r="T154" s="45"/>
      <c r="U154" s="45"/>
      <c r="V154" s="45"/>
      <c r="W154" s="45"/>
    </row>
    <row r="155" spans="1:23" ht="11.25" customHeight="1">
      <c r="A155" s="48"/>
      <c r="B155" s="48"/>
      <c r="C155" s="45"/>
      <c r="D155" s="45"/>
      <c r="E155" s="45"/>
      <c r="F155" s="45"/>
      <c r="G155" s="45"/>
      <c r="H155" s="45"/>
      <c r="I155" s="45"/>
      <c r="J155" s="45"/>
      <c r="K155" s="45"/>
      <c r="L155" s="46"/>
      <c r="M155" s="46"/>
      <c r="N155" s="46"/>
      <c r="O155" s="46"/>
      <c r="P155" s="46"/>
      <c r="Q155" s="45"/>
      <c r="R155" s="45"/>
      <c r="S155" s="45"/>
      <c r="T155" s="45"/>
      <c r="U155" s="45"/>
      <c r="V155" s="45"/>
      <c r="W155" s="45"/>
    </row>
    <row r="156" spans="1:23" ht="11.25" customHeight="1">
      <c r="A156" s="48"/>
      <c r="B156" s="48"/>
      <c r="C156" s="45"/>
      <c r="D156" s="45"/>
      <c r="E156" s="45"/>
      <c r="F156" s="45"/>
      <c r="G156" s="45"/>
      <c r="H156" s="45"/>
      <c r="I156" s="45"/>
      <c r="J156" s="45"/>
      <c r="K156" s="45"/>
      <c r="L156" s="46"/>
      <c r="M156" s="46"/>
      <c r="N156" s="46"/>
      <c r="O156" s="46"/>
      <c r="P156" s="46"/>
      <c r="Q156" s="45"/>
      <c r="R156" s="45"/>
      <c r="S156" s="45"/>
      <c r="T156" s="45"/>
      <c r="U156" s="45"/>
      <c r="V156" s="45"/>
      <c r="W156" s="45"/>
    </row>
    <row r="157" spans="1:23" ht="11.25" customHeight="1">
      <c r="A157" s="48"/>
      <c r="B157" s="48"/>
      <c r="C157" s="45"/>
      <c r="D157" s="45"/>
      <c r="E157" s="45"/>
      <c r="F157" s="45"/>
      <c r="G157" s="45"/>
      <c r="H157" s="45"/>
      <c r="I157" s="45"/>
      <c r="J157" s="45"/>
      <c r="K157" s="45"/>
      <c r="L157" s="46"/>
      <c r="M157" s="46"/>
      <c r="N157" s="46"/>
      <c r="O157" s="46"/>
      <c r="P157" s="46"/>
      <c r="Q157" s="45"/>
      <c r="R157" s="45"/>
      <c r="S157" s="45"/>
      <c r="T157" s="45"/>
      <c r="U157" s="45"/>
      <c r="V157" s="45"/>
      <c r="W157" s="45"/>
    </row>
    <row r="158" spans="1:23" ht="11.25" customHeight="1">
      <c r="A158" s="48"/>
      <c r="B158" s="48"/>
      <c r="C158" s="45"/>
      <c r="D158" s="45"/>
      <c r="E158" s="45"/>
      <c r="F158" s="45"/>
      <c r="G158" s="45"/>
      <c r="H158" s="45"/>
      <c r="I158" s="45"/>
      <c r="J158" s="45"/>
      <c r="K158" s="45"/>
      <c r="L158" s="46"/>
      <c r="M158" s="46"/>
      <c r="N158" s="46"/>
      <c r="O158" s="46"/>
      <c r="P158" s="46"/>
      <c r="Q158" s="45"/>
      <c r="R158" s="45"/>
      <c r="S158" s="45"/>
      <c r="T158" s="45"/>
      <c r="U158" s="45"/>
      <c r="V158" s="45"/>
      <c r="W158" s="45"/>
    </row>
    <row r="159" spans="1:23" ht="11.25" customHeight="1">
      <c r="A159" s="48"/>
      <c r="B159" s="48"/>
      <c r="C159" s="45"/>
      <c r="D159" s="45"/>
      <c r="E159" s="45"/>
      <c r="F159" s="45"/>
      <c r="G159" s="45"/>
      <c r="H159" s="45"/>
      <c r="I159" s="45"/>
      <c r="J159" s="45"/>
      <c r="K159" s="45"/>
      <c r="L159" s="46"/>
      <c r="M159" s="46"/>
      <c r="N159" s="46"/>
      <c r="O159" s="46"/>
      <c r="P159" s="46"/>
      <c r="Q159" s="45"/>
      <c r="R159" s="45"/>
      <c r="S159" s="45"/>
      <c r="T159" s="45"/>
      <c r="U159" s="45"/>
      <c r="V159" s="45"/>
      <c r="W159" s="45"/>
    </row>
    <row r="160" spans="1:23" ht="11.25" customHeight="1">
      <c r="A160" s="48"/>
      <c r="B160" s="48"/>
      <c r="C160" s="45"/>
      <c r="D160" s="45"/>
      <c r="E160" s="45"/>
      <c r="F160" s="45"/>
      <c r="G160" s="45"/>
      <c r="H160" s="45"/>
      <c r="I160" s="45"/>
      <c r="J160" s="45"/>
      <c r="K160" s="45"/>
      <c r="L160" s="46"/>
      <c r="M160" s="46"/>
      <c r="N160" s="46"/>
      <c r="O160" s="46"/>
      <c r="P160" s="46"/>
      <c r="Q160" s="45"/>
      <c r="R160" s="45"/>
      <c r="S160" s="45"/>
      <c r="T160" s="45"/>
      <c r="U160" s="45"/>
      <c r="V160" s="45"/>
      <c r="W160" s="45"/>
    </row>
    <row r="161" spans="1:23" ht="11.25" customHeight="1">
      <c r="A161" s="48"/>
      <c r="B161" s="48"/>
      <c r="C161" s="45"/>
      <c r="D161" s="45"/>
      <c r="E161" s="45"/>
      <c r="F161" s="45"/>
      <c r="G161" s="45"/>
      <c r="H161" s="45"/>
      <c r="I161" s="45"/>
      <c r="J161" s="45"/>
      <c r="K161" s="45"/>
      <c r="L161" s="46"/>
      <c r="M161" s="46"/>
      <c r="N161" s="46"/>
      <c r="O161" s="46"/>
      <c r="P161" s="46"/>
      <c r="Q161" s="45"/>
      <c r="R161" s="45"/>
      <c r="S161" s="45"/>
      <c r="T161" s="45"/>
      <c r="U161" s="45"/>
      <c r="V161" s="45"/>
      <c r="W161" s="45"/>
    </row>
    <row r="162" spans="1:23" ht="11.25" customHeight="1">
      <c r="A162" s="48"/>
      <c r="B162" s="48"/>
      <c r="C162" s="45"/>
      <c r="D162" s="45"/>
      <c r="E162" s="45"/>
      <c r="F162" s="45"/>
      <c r="G162" s="45"/>
      <c r="H162" s="45"/>
      <c r="I162" s="45"/>
      <c r="J162" s="45"/>
      <c r="K162" s="45"/>
      <c r="L162" s="46"/>
      <c r="M162" s="46"/>
      <c r="N162" s="46"/>
      <c r="O162" s="46"/>
      <c r="P162" s="46"/>
      <c r="Q162" s="45"/>
      <c r="R162" s="45"/>
      <c r="S162" s="45"/>
      <c r="T162" s="45"/>
      <c r="U162" s="45"/>
      <c r="V162" s="45"/>
      <c r="W162" s="45"/>
    </row>
    <row r="163" spans="1:23" ht="11.25" customHeight="1">
      <c r="A163" s="48"/>
      <c r="B163" s="48"/>
      <c r="C163" s="45"/>
      <c r="D163" s="45"/>
      <c r="E163" s="45"/>
      <c r="F163" s="45"/>
      <c r="G163" s="45"/>
      <c r="H163" s="45"/>
      <c r="I163" s="45"/>
      <c r="J163" s="45"/>
      <c r="K163" s="45"/>
      <c r="L163" s="46"/>
      <c r="M163" s="46"/>
      <c r="N163" s="46"/>
      <c r="O163" s="46"/>
      <c r="P163" s="46"/>
      <c r="Q163" s="45"/>
      <c r="R163" s="45"/>
      <c r="S163" s="45"/>
      <c r="T163" s="45"/>
      <c r="U163" s="45"/>
      <c r="V163" s="45"/>
      <c r="W163" s="45"/>
    </row>
    <row r="164" spans="1:23" ht="11.25" customHeight="1">
      <c r="A164" s="48"/>
      <c r="B164" s="48"/>
      <c r="C164" s="45"/>
      <c r="D164" s="45"/>
      <c r="E164" s="45"/>
      <c r="F164" s="45"/>
      <c r="G164" s="45"/>
      <c r="H164" s="45"/>
      <c r="I164" s="45"/>
      <c r="J164" s="45"/>
      <c r="K164" s="45"/>
      <c r="L164" s="46"/>
      <c r="M164" s="46"/>
      <c r="N164" s="46"/>
      <c r="O164" s="46"/>
      <c r="P164" s="46"/>
      <c r="Q164" s="45"/>
      <c r="R164" s="45"/>
      <c r="S164" s="45"/>
      <c r="T164" s="45"/>
      <c r="U164" s="45"/>
      <c r="V164" s="45"/>
      <c r="W164" s="45"/>
    </row>
    <row r="165" spans="1:23" ht="11.25" customHeight="1">
      <c r="A165" s="48"/>
      <c r="B165" s="48"/>
      <c r="C165" s="45"/>
      <c r="D165" s="45"/>
      <c r="E165" s="45"/>
      <c r="F165" s="45"/>
      <c r="G165" s="45"/>
      <c r="H165" s="45"/>
      <c r="I165" s="45"/>
      <c r="J165" s="45"/>
      <c r="K165" s="45"/>
      <c r="L165" s="46"/>
      <c r="M165" s="46"/>
      <c r="N165" s="46"/>
      <c r="O165" s="46"/>
      <c r="P165" s="46"/>
      <c r="Q165" s="45"/>
      <c r="R165" s="45"/>
      <c r="S165" s="45"/>
      <c r="T165" s="45"/>
      <c r="U165" s="45"/>
      <c r="V165" s="45"/>
      <c r="W165" s="45"/>
    </row>
    <row r="166" spans="1:23" ht="11.25" customHeight="1">
      <c r="A166" s="48"/>
      <c r="B166" s="48"/>
      <c r="C166" s="45"/>
      <c r="D166" s="45"/>
      <c r="E166" s="45"/>
      <c r="F166" s="45"/>
      <c r="G166" s="45"/>
      <c r="H166" s="45"/>
      <c r="I166" s="45"/>
      <c r="J166" s="45"/>
      <c r="K166" s="45"/>
      <c r="L166" s="46"/>
      <c r="M166" s="46"/>
      <c r="N166" s="46"/>
      <c r="O166" s="46"/>
      <c r="P166" s="46"/>
      <c r="Q166" s="45"/>
      <c r="R166" s="45"/>
      <c r="S166" s="45"/>
      <c r="T166" s="45"/>
      <c r="U166" s="45"/>
      <c r="V166" s="45"/>
      <c r="W166" s="45"/>
    </row>
    <row r="167" spans="1:23" ht="11.25" customHeight="1">
      <c r="A167" s="48"/>
      <c r="B167" s="48"/>
      <c r="C167" s="45"/>
      <c r="D167" s="45"/>
      <c r="E167" s="45"/>
      <c r="F167" s="45"/>
      <c r="G167" s="45"/>
      <c r="H167" s="45"/>
      <c r="I167" s="45"/>
      <c r="J167" s="45"/>
      <c r="K167" s="45"/>
      <c r="L167" s="46"/>
      <c r="M167" s="46"/>
      <c r="N167" s="46"/>
      <c r="O167" s="46"/>
      <c r="P167" s="46"/>
      <c r="Q167" s="45"/>
      <c r="R167" s="45"/>
      <c r="S167" s="45"/>
      <c r="T167" s="45"/>
      <c r="U167" s="45"/>
      <c r="V167" s="45"/>
      <c r="W167" s="45"/>
    </row>
    <row r="168" spans="1:23" ht="11.25" customHeight="1">
      <c r="A168" s="48"/>
      <c r="B168" s="48"/>
      <c r="C168" s="45"/>
      <c r="D168" s="45"/>
      <c r="E168" s="45"/>
      <c r="F168" s="45"/>
      <c r="G168" s="45"/>
      <c r="H168" s="45"/>
      <c r="I168" s="45"/>
      <c r="J168" s="45"/>
      <c r="K168" s="45"/>
      <c r="L168" s="46"/>
      <c r="M168" s="46"/>
      <c r="N168" s="46"/>
      <c r="O168" s="46"/>
      <c r="P168" s="46"/>
      <c r="Q168" s="45"/>
      <c r="R168" s="45"/>
      <c r="S168" s="45"/>
      <c r="T168" s="45"/>
      <c r="U168" s="45"/>
      <c r="V168" s="45"/>
      <c r="W168" s="45"/>
    </row>
    <row r="169" spans="1:23" ht="11.25" customHeight="1">
      <c r="A169" s="48"/>
      <c r="B169" s="48"/>
      <c r="C169" s="45"/>
      <c r="D169" s="45"/>
      <c r="E169" s="45"/>
      <c r="F169" s="45"/>
      <c r="G169" s="45"/>
      <c r="H169" s="45"/>
      <c r="I169" s="45"/>
      <c r="J169" s="45"/>
      <c r="K169" s="45"/>
      <c r="L169" s="46"/>
      <c r="M169" s="46"/>
      <c r="N169" s="46"/>
      <c r="O169" s="46"/>
      <c r="P169" s="46"/>
      <c r="Q169" s="45"/>
      <c r="R169" s="45"/>
      <c r="S169" s="45"/>
      <c r="T169" s="45"/>
      <c r="U169" s="45"/>
      <c r="V169" s="45"/>
      <c r="W169" s="45"/>
    </row>
    <row r="170" spans="1:23" ht="11.25" customHeight="1">
      <c r="A170" s="48"/>
      <c r="B170" s="48"/>
      <c r="C170" s="45"/>
      <c r="D170" s="45"/>
      <c r="E170" s="45"/>
      <c r="F170" s="45"/>
      <c r="G170" s="45"/>
      <c r="H170" s="45"/>
      <c r="I170" s="45"/>
      <c r="J170" s="45"/>
      <c r="K170" s="45"/>
      <c r="L170" s="46"/>
      <c r="M170" s="46"/>
      <c r="N170" s="46"/>
      <c r="O170" s="46"/>
      <c r="P170" s="46"/>
      <c r="Q170" s="45"/>
      <c r="R170" s="45"/>
      <c r="S170" s="45"/>
      <c r="T170" s="45"/>
      <c r="U170" s="45"/>
      <c r="V170" s="45"/>
      <c r="W170" s="45"/>
    </row>
    <row r="171" spans="1:23" ht="11.25" customHeight="1">
      <c r="A171" s="48"/>
      <c r="B171" s="48"/>
      <c r="C171" s="45"/>
      <c r="D171" s="45"/>
      <c r="E171" s="45"/>
      <c r="F171" s="45"/>
      <c r="G171" s="45"/>
      <c r="H171" s="45"/>
      <c r="I171" s="45"/>
      <c r="J171" s="45"/>
      <c r="K171" s="45"/>
      <c r="L171" s="46"/>
      <c r="M171" s="46"/>
      <c r="N171" s="46"/>
      <c r="O171" s="46"/>
      <c r="P171" s="46"/>
      <c r="Q171" s="45"/>
      <c r="R171" s="45"/>
      <c r="S171" s="45"/>
      <c r="T171" s="45"/>
      <c r="U171" s="45"/>
      <c r="V171" s="45"/>
      <c r="W171" s="45"/>
    </row>
    <row r="172" spans="1:23" ht="11.25" customHeight="1">
      <c r="A172" s="48"/>
      <c r="B172" s="48"/>
      <c r="C172" s="45"/>
      <c r="D172" s="45"/>
      <c r="E172" s="45"/>
      <c r="F172" s="45"/>
      <c r="G172" s="45"/>
      <c r="H172" s="45"/>
      <c r="I172" s="45"/>
      <c r="J172" s="45"/>
      <c r="K172" s="45"/>
      <c r="L172" s="46"/>
      <c r="M172" s="46"/>
      <c r="N172" s="46"/>
      <c r="O172" s="46"/>
      <c r="P172" s="46"/>
      <c r="Q172" s="45"/>
      <c r="R172" s="45"/>
      <c r="S172" s="45"/>
      <c r="T172" s="45"/>
      <c r="U172" s="45"/>
      <c r="V172" s="45"/>
      <c r="W172" s="45"/>
    </row>
    <row r="173" spans="1:23" ht="11.25" customHeight="1">
      <c r="A173" s="48"/>
      <c r="B173" s="48"/>
      <c r="C173" s="45"/>
      <c r="D173" s="45"/>
      <c r="E173" s="45"/>
      <c r="F173" s="45"/>
      <c r="G173" s="45"/>
      <c r="H173" s="45"/>
      <c r="I173" s="45"/>
      <c r="J173" s="45"/>
      <c r="K173" s="45"/>
      <c r="L173" s="46"/>
      <c r="M173" s="46"/>
      <c r="N173" s="46"/>
      <c r="O173" s="46"/>
      <c r="P173" s="46"/>
      <c r="Q173" s="45"/>
      <c r="R173" s="45"/>
      <c r="S173" s="45"/>
      <c r="T173" s="45"/>
      <c r="U173" s="45"/>
      <c r="V173" s="45"/>
      <c r="W173" s="45"/>
    </row>
    <row r="174" spans="1:23" ht="11.25" customHeight="1">
      <c r="A174" s="48"/>
      <c r="B174" s="48"/>
      <c r="C174" s="45"/>
      <c r="D174" s="45"/>
      <c r="E174" s="45"/>
      <c r="F174" s="45"/>
      <c r="G174" s="45"/>
      <c r="H174" s="45"/>
      <c r="I174" s="45"/>
      <c r="J174" s="45"/>
      <c r="K174" s="45"/>
      <c r="L174" s="46"/>
      <c r="M174" s="46"/>
      <c r="N174" s="46"/>
      <c r="O174" s="46"/>
      <c r="P174" s="46"/>
      <c r="Q174" s="45"/>
      <c r="R174" s="45"/>
      <c r="S174" s="45"/>
      <c r="T174" s="45"/>
      <c r="U174" s="45"/>
      <c r="V174" s="45"/>
      <c r="W174" s="45"/>
    </row>
    <row r="175" spans="1:23" ht="11.25" customHeight="1">
      <c r="A175" s="48"/>
      <c r="B175" s="48"/>
      <c r="C175" s="45"/>
      <c r="D175" s="45"/>
      <c r="E175" s="45"/>
      <c r="F175" s="45"/>
      <c r="G175" s="45"/>
      <c r="H175" s="45"/>
      <c r="I175" s="45"/>
      <c r="J175" s="45"/>
      <c r="K175" s="45"/>
      <c r="L175" s="46"/>
      <c r="M175" s="46"/>
      <c r="N175" s="46"/>
      <c r="O175" s="46"/>
      <c r="P175" s="46"/>
      <c r="Q175" s="45"/>
      <c r="R175" s="45"/>
      <c r="S175" s="45"/>
      <c r="T175" s="45"/>
      <c r="U175" s="45"/>
      <c r="V175" s="45"/>
      <c r="W175" s="45"/>
    </row>
    <row r="176" spans="1:23" ht="11.25" customHeight="1">
      <c r="A176" s="48"/>
      <c r="B176" s="48"/>
      <c r="C176" s="45"/>
      <c r="D176" s="45"/>
      <c r="E176" s="45"/>
      <c r="F176" s="45"/>
      <c r="G176" s="45"/>
      <c r="H176" s="45"/>
      <c r="I176" s="45"/>
      <c r="J176" s="45"/>
      <c r="K176" s="45"/>
      <c r="L176" s="46"/>
      <c r="M176" s="46"/>
      <c r="N176" s="46"/>
      <c r="O176" s="46"/>
      <c r="P176" s="46"/>
      <c r="Q176" s="45"/>
      <c r="R176" s="45"/>
      <c r="S176" s="45"/>
      <c r="T176" s="45"/>
      <c r="U176" s="45"/>
      <c r="V176" s="45"/>
      <c r="W176" s="45"/>
    </row>
    <row r="177" spans="1:23" ht="11.25" customHeight="1">
      <c r="A177" s="48"/>
      <c r="B177" s="48"/>
      <c r="C177" s="45"/>
      <c r="D177" s="45"/>
      <c r="E177" s="45"/>
      <c r="F177" s="45"/>
      <c r="G177" s="45"/>
      <c r="H177" s="45"/>
      <c r="I177" s="45"/>
      <c r="J177" s="45"/>
      <c r="K177" s="45"/>
      <c r="L177" s="46"/>
      <c r="M177" s="46"/>
      <c r="N177" s="46"/>
      <c r="O177" s="46"/>
      <c r="P177" s="46"/>
      <c r="Q177" s="45"/>
      <c r="R177" s="45"/>
      <c r="S177" s="45"/>
      <c r="T177" s="45"/>
      <c r="U177" s="45"/>
      <c r="V177" s="45"/>
      <c r="W177" s="45"/>
    </row>
    <row r="178" spans="1:23" ht="11.25" customHeight="1">
      <c r="A178" s="48"/>
      <c r="B178" s="48"/>
      <c r="C178" s="45"/>
      <c r="D178" s="45"/>
      <c r="E178" s="45"/>
      <c r="F178" s="45"/>
      <c r="G178" s="45"/>
      <c r="H178" s="45"/>
      <c r="I178" s="45"/>
      <c r="J178" s="45"/>
      <c r="K178" s="45"/>
      <c r="L178" s="46"/>
      <c r="M178" s="46"/>
      <c r="N178" s="46"/>
      <c r="O178" s="46"/>
      <c r="P178" s="46"/>
      <c r="Q178" s="45"/>
      <c r="R178" s="45"/>
      <c r="S178" s="45"/>
      <c r="T178" s="45"/>
      <c r="U178" s="45"/>
      <c r="V178" s="45"/>
      <c r="W178" s="45"/>
    </row>
    <row r="179" spans="1:23" ht="11.25" customHeight="1">
      <c r="A179" s="48"/>
      <c r="B179" s="48"/>
      <c r="C179" s="45"/>
      <c r="D179" s="45"/>
      <c r="E179" s="45"/>
      <c r="F179" s="45"/>
      <c r="G179" s="45"/>
      <c r="H179" s="45"/>
      <c r="I179" s="45"/>
      <c r="J179" s="45"/>
      <c r="K179" s="45"/>
      <c r="L179" s="46"/>
      <c r="M179" s="46"/>
      <c r="N179" s="46"/>
      <c r="O179" s="46"/>
      <c r="P179" s="46"/>
      <c r="Q179" s="45"/>
      <c r="R179" s="45"/>
      <c r="S179" s="45"/>
      <c r="T179" s="45"/>
      <c r="U179" s="45"/>
      <c r="V179" s="45"/>
      <c r="W179" s="45"/>
    </row>
    <row r="180" spans="1:23" ht="11.25" customHeight="1">
      <c r="A180" s="48"/>
      <c r="B180" s="48"/>
      <c r="C180" s="45"/>
      <c r="D180" s="45"/>
      <c r="E180" s="45"/>
      <c r="F180" s="45"/>
      <c r="G180" s="45"/>
      <c r="H180" s="45"/>
      <c r="I180" s="45"/>
      <c r="J180" s="45"/>
      <c r="K180" s="45"/>
      <c r="L180" s="46"/>
      <c r="M180" s="46"/>
      <c r="N180" s="46"/>
      <c r="O180" s="46"/>
      <c r="P180" s="46"/>
      <c r="Q180" s="45"/>
      <c r="R180" s="45"/>
      <c r="S180" s="45"/>
      <c r="T180" s="45"/>
      <c r="U180" s="45"/>
      <c r="V180" s="45"/>
      <c r="W180" s="45"/>
    </row>
    <row r="181" spans="1:23" ht="11.25" customHeight="1">
      <c r="A181" s="48"/>
      <c r="B181" s="48"/>
      <c r="C181" s="45"/>
      <c r="D181" s="45"/>
      <c r="E181" s="45"/>
      <c r="F181" s="45"/>
      <c r="G181" s="45"/>
      <c r="H181" s="45"/>
      <c r="I181" s="45"/>
      <c r="J181" s="45"/>
      <c r="K181" s="45"/>
      <c r="L181" s="46"/>
      <c r="M181" s="46"/>
      <c r="N181" s="46"/>
      <c r="O181" s="46"/>
      <c r="P181" s="46"/>
      <c r="Q181" s="45"/>
      <c r="R181" s="45"/>
      <c r="S181" s="45"/>
      <c r="T181" s="45"/>
      <c r="U181" s="45"/>
      <c r="V181" s="45"/>
      <c r="W181" s="45"/>
    </row>
    <row r="182" spans="1:23" ht="11.25" customHeight="1">
      <c r="A182" s="48"/>
      <c r="B182" s="48"/>
      <c r="C182" s="45"/>
      <c r="D182" s="45"/>
      <c r="E182" s="45"/>
      <c r="F182" s="45"/>
      <c r="G182" s="45"/>
      <c r="H182" s="45"/>
      <c r="I182" s="45"/>
      <c r="J182" s="45"/>
      <c r="K182" s="45"/>
      <c r="L182" s="46"/>
      <c r="M182" s="46"/>
      <c r="N182" s="46"/>
      <c r="O182" s="46"/>
      <c r="P182" s="46"/>
      <c r="Q182" s="45"/>
      <c r="R182" s="45"/>
      <c r="S182" s="45"/>
      <c r="T182" s="45"/>
      <c r="U182" s="45"/>
      <c r="V182" s="45"/>
      <c r="W182" s="45"/>
    </row>
    <row r="183" spans="1:23" ht="11.25" customHeight="1">
      <c r="A183" s="48"/>
      <c r="B183" s="48"/>
      <c r="C183" s="45"/>
      <c r="D183" s="45"/>
      <c r="E183" s="45"/>
      <c r="F183" s="45"/>
      <c r="G183" s="45"/>
      <c r="H183" s="45"/>
      <c r="I183" s="45"/>
      <c r="J183" s="45"/>
      <c r="K183" s="45"/>
      <c r="L183" s="46"/>
      <c r="M183" s="46"/>
      <c r="N183" s="46"/>
      <c r="O183" s="46"/>
      <c r="P183" s="46"/>
      <c r="Q183" s="45"/>
      <c r="R183" s="45"/>
      <c r="S183" s="45"/>
      <c r="T183" s="45"/>
      <c r="U183" s="45"/>
      <c r="V183" s="45"/>
      <c r="W183" s="45"/>
    </row>
    <row r="184" spans="1:23" ht="11.25" customHeight="1">
      <c r="A184" s="48"/>
      <c r="B184" s="48"/>
      <c r="C184" s="45"/>
      <c r="D184" s="45"/>
      <c r="E184" s="45"/>
      <c r="F184" s="45"/>
      <c r="G184" s="45"/>
      <c r="H184" s="45"/>
      <c r="I184" s="45"/>
      <c r="J184" s="45"/>
      <c r="K184" s="45"/>
      <c r="L184" s="46"/>
      <c r="M184" s="46"/>
      <c r="N184" s="46"/>
      <c r="O184" s="46"/>
      <c r="P184" s="46"/>
      <c r="Q184" s="45"/>
      <c r="R184" s="45"/>
      <c r="S184" s="45"/>
      <c r="T184" s="45"/>
      <c r="U184" s="45"/>
      <c r="V184" s="45"/>
      <c r="W184" s="45"/>
    </row>
    <row r="185" spans="1:23" ht="11.25" customHeight="1">
      <c r="A185" s="48"/>
      <c r="B185" s="48"/>
      <c r="C185" s="45"/>
      <c r="D185" s="45"/>
      <c r="E185" s="45"/>
      <c r="F185" s="45"/>
      <c r="G185" s="45"/>
      <c r="H185" s="45"/>
      <c r="I185" s="45"/>
      <c r="J185" s="45"/>
      <c r="K185" s="45"/>
      <c r="L185" s="46"/>
      <c r="M185" s="46"/>
      <c r="N185" s="46"/>
      <c r="O185" s="46"/>
      <c r="P185" s="46"/>
      <c r="Q185" s="45"/>
      <c r="R185" s="45"/>
      <c r="S185" s="45"/>
      <c r="T185" s="45"/>
      <c r="U185" s="45"/>
      <c r="V185" s="45"/>
      <c r="W185" s="45"/>
    </row>
    <row r="186" spans="1:23" ht="11.25" customHeight="1">
      <c r="A186" s="48"/>
      <c r="B186" s="48"/>
      <c r="C186" s="45"/>
      <c r="D186" s="45"/>
      <c r="E186" s="45"/>
      <c r="F186" s="45"/>
      <c r="G186" s="45"/>
      <c r="H186" s="45"/>
      <c r="I186" s="45"/>
      <c r="J186" s="45"/>
      <c r="K186" s="45"/>
      <c r="L186" s="46"/>
      <c r="M186" s="46"/>
      <c r="N186" s="46"/>
      <c r="O186" s="46"/>
      <c r="P186" s="46"/>
      <c r="Q186" s="45"/>
      <c r="R186" s="45"/>
      <c r="S186" s="45"/>
      <c r="T186" s="45"/>
      <c r="U186" s="45"/>
      <c r="V186" s="45"/>
      <c r="W186" s="45"/>
    </row>
    <row r="187" spans="1:23" ht="11.25" customHeight="1">
      <c r="A187" s="48"/>
      <c r="B187" s="48"/>
      <c r="C187" s="45"/>
      <c r="D187" s="45"/>
      <c r="E187" s="45"/>
      <c r="F187" s="45"/>
      <c r="G187" s="45"/>
      <c r="H187" s="45"/>
      <c r="I187" s="45"/>
      <c r="J187" s="45"/>
      <c r="K187" s="45"/>
      <c r="L187" s="46"/>
      <c r="M187" s="46"/>
      <c r="N187" s="46"/>
      <c r="O187" s="46"/>
      <c r="P187" s="46"/>
      <c r="Q187" s="45"/>
      <c r="R187" s="45"/>
      <c r="S187" s="45"/>
      <c r="T187" s="45"/>
      <c r="U187" s="45"/>
      <c r="V187" s="45"/>
      <c r="W187" s="45"/>
    </row>
    <row r="188" spans="1:23" ht="11.25" customHeight="1">
      <c r="A188" s="48"/>
      <c r="B188" s="48"/>
      <c r="C188" s="45"/>
      <c r="D188" s="45"/>
      <c r="E188" s="45"/>
      <c r="F188" s="45"/>
      <c r="G188" s="45"/>
      <c r="H188" s="45"/>
      <c r="I188" s="45"/>
      <c r="J188" s="45"/>
      <c r="K188" s="45"/>
      <c r="L188" s="46"/>
      <c r="M188" s="46"/>
      <c r="N188" s="46"/>
      <c r="O188" s="46"/>
      <c r="P188" s="46"/>
      <c r="Q188" s="45"/>
      <c r="R188" s="45"/>
      <c r="S188" s="45"/>
      <c r="T188" s="45"/>
      <c r="U188" s="45"/>
      <c r="V188" s="45"/>
      <c r="W188" s="45"/>
    </row>
    <row r="189" spans="1:23" ht="11.25" customHeight="1">
      <c r="A189" s="48"/>
      <c r="B189" s="48"/>
      <c r="C189" s="45"/>
      <c r="D189" s="45"/>
      <c r="E189" s="45"/>
      <c r="F189" s="45"/>
      <c r="G189" s="45"/>
      <c r="H189" s="45"/>
      <c r="I189" s="45"/>
      <c r="J189" s="45"/>
      <c r="K189" s="45"/>
      <c r="L189" s="46"/>
      <c r="M189" s="46"/>
      <c r="N189" s="46"/>
      <c r="O189" s="46"/>
      <c r="P189" s="46"/>
      <c r="Q189" s="45"/>
      <c r="R189" s="45"/>
      <c r="S189" s="45"/>
      <c r="T189" s="45"/>
      <c r="U189" s="45"/>
      <c r="V189" s="45"/>
      <c r="W189" s="45"/>
    </row>
    <row r="190" spans="1:23" ht="11.25" customHeight="1">
      <c r="A190" s="48"/>
      <c r="B190" s="48"/>
      <c r="C190" s="45"/>
      <c r="D190" s="45"/>
      <c r="E190" s="45"/>
      <c r="F190" s="45"/>
      <c r="G190" s="45"/>
      <c r="H190" s="45"/>
      <c r="I190" s="45"/>
      <c r="J190" s="45"/>
      <c r="K190" s="45"/>
      <c r="L190" s="46"/>
      <c r="M190" s="46"/>
      <c r="N190" s="46"/>
      <c r="O190" s="46"/>
      <c r="P190" s="46"/>
      <c r="Q190" s="45"/>
      <c r="R190" s="45"/>
      <c r="S190" s="45"/>
      <c r="T190" s="45"/>
      <c r="U190" s="45"/>
      <c r="V190" s="45"/>
      <c r="W190" s="45"/>
    </row>
    <row r="191" spans="1:23" ht="11.25" customHeight="1">
      <c r="A191" s="48"/>
      <c r="B191" s="48"/>
      <c r="C191" s="45"/>
      <c r="D191" s="45"/>
      <c r="E191" s="45"/>
      <c r="F191" s="45"/>
      <c r="G191" s="45"/>
      <c r="H191" s="45"/>
      <c r="I191" s="45"/>
      <c r="J191" s="45"/>
      <c r="K191" s="45"/>
      <c r="L191" s="46"/>
      <c r="M191" s="46"/>
      <c r="N191" s="46"/>
      <c r="O191" s="46"/>
      <c r="P191" s="46"/>
      <c r="Q191" s="45"/>
      <c r="R191" s="45"/>
      <c r="S191" s="45"/>
      <c r="T191" s="45"/>
      <c r="U191" s="45"/>
      <c r="V191" s="45"/>
      <c r="W191" s="45"/>
    </row>
    <row r="192" spans="1:23" ht="11.25" customHeight="1">
      <c r="A192" s="48"/>
      <c r="B192" s="48"/>
      <c r="C192" s="45"/>
      <c r="D192" s="45"/>
      <c r="E192" s="45"/>
      <c r="F192" s="45"/>
      <c r="G192" s="45"/>
      <c r="H192" s="45"/>
      <c r="I192" s="45"/>
      <c r="J192" s="45"/>
      <c r="K192" s="45"/>
      <c r="L192" s="46"/>
      <c r="M192" s="46"/>
      <c r="N192" s="46"/>
      <c r="O192" s="46"/>
      <c r="P192" s="46"/>
      <c r="Q192" s="45"/>
      <c r="R192" s="45"/>
      <c r="S192" s="45"/>
      <c r="T192" s="45"/>
      <c r="U192" s="45"/>
      <c r="V192" s="45"/>
      <c r="W192" s="45"/>
    </row>
    <row r="193" spans="1:23" ht="11.25" customHeight="1">
      <c r="A193" s="48"/>
      <c r="B193" s="48"/>
      <c r="C193" s="45"/>
      <c r="D193" s="45"/>
      <c r="E193" s="45"/>
      <c r="F193" s="45"/>
      <c r="G193" s="45"/>
      <c r="H193" s="45"/>
      <c r="I193" s="45"/>
      <c r="J193" s="45"/>
      <c r="K193" s="45"/>
      <c r="L193" s="46"/>
      <c r="M193" s="46"/>
      <c r="N193" s="46"/>
      <c r="O193" s="46"/>
      <c r="P193" s="46"/>
      <c r="Q193" s="45"/>
      <c r="R193" s="45"/>
      <c r="S193" s="45"/>
      <c r="T193" s="45"/>
      <c r="U193" s="45"/>
      <c r="V193" s="45"/>
      <c r="W193" s="45"/>
    </row>
    <row r="194" spans="1:23" ht="11.25" customHeight="1">
      <c r="A194" s="48"/>
      <c r="B194" s="48"/>
      <c r="C194" s="45"/>
      <c r="D194" s="45"/>
      <c r="E194" s="45"/>
      <c r="F194" s="45"/>
      <c r="G194" s="45"/>
      <c r="H194" s="45"/>
      <c r="I194" s="45"/>
      <c r="J194" s="45"/>
      <c r="K194" s="45"/>
      <c r="L194" s="46"/>
      <c r="M194" s="46"/>
      <c r="N194" s="46"/>
      <c r="O194" s="46"/>
      <c r="P194" s="46"/>
      <c r="Q194" s="45"/>
      <c r="R194" s="45"/>
      <c r="S194" s="45"/>
      <c r="T194" s="45"/>
      <c r="U194" s="45"/>
      <c r="V194" s="45"/>
      <c r="W194" s="45"/>
    </row>
    <row r="195" spans="1:23" ht="11.25" customHeight="1">
      <c r="A195" s="48"/>
      <c r="B195" s="48"/>
      <c r="C195" s="45"/>
      <c r="D195" s="45"/>
      <c r="E195" s="45"/>
      <c r="F195" s="45"/>
      <c r="G195" s="45"/>
      <c r="H195" s="45"/>
      <c r="I195" s="45"/>
      <c r="J195" s="45"/>
      <c r="K195" s="45"/>
      <c r="L195" s="46"/>
      <c r="M195" s="46"/>
      <c r="N195" s="46"/>
      <c r="O195" s="46"/>
      <c r="P195" s="46"/>
      <c r="Q195" s="45"/>
      <c r="R195" s="45"/>
      <c r="S195" s="45"/>
      <c r="T195" s="45"/>
      <c r="U195" s="45"/>
      <c r="V195" s="45"/>
      <c r="W195" s="45"/>
    </row>
    <row r="196" spans="1:23" ht="11.25" customHeight="1">
      <c r="A196" s="48"/>
      <c r="B196" s="48"/>
      <c r="C196" s="45"/>
      <c r="D196" s="45"/>
      <c r="E196" s="45"/>
      <c r="F196" s="45"/>
      <c r="G196" s="45"/>
      <c r="H196" s="45"/>
      <c r="I196" s="45"/>
      <c r="J196" s="45"/>
      <c r="K196" s="45"/>
      <c r="L196" s="46"/>
      <c r="M196" s="46"/>
      <c r="N196" s="46"/>
      <c r="O196" s="46"/>
      <c r="P196" s="46"/>
      <c r="Q196" s="45"/>
      <c r="R196" s="45"/>
      <c r="S196" s="45"/>
      <c r="T196" s="45"/>
      <c r="U196" s="45"/>
      <c r="V196" s="45"/>
      <c r="W196" s="45"/>
    </row>
    <row r="197" spans="1:23" ht="11.25" customHeight="1">
      <c r="A197" s="48"/>
      <c r="B197" s="48"/>
      <c r="C197" s="45"/>
      <c r="D197" s="45"/>
      <c r="E197" s="45"/>
      <c r="F197" s="45"/>
      <c r="G197" s="45"/>
      <c r="H197" s="45"/>
      <c r="I197" s="45"/>
      <c r="J197" s="45"/>
      <c r="K197" s="45"/>
      <c r="L197" s="46"/>
      <c r="M197" s="46"/>
      <c r="N197" s="46"/>
      <c r="O197" s="46"/>
      <c r="P197" s="46"/>
      <c r="Q197" s="45"/>
      <c r="R197" s="45"/>
      <c r="S197" s="45"/>
      <c r="T197" s="45"/>
      <c r="U197" s="45"/>
      <c r="V197" s="45"/>
      <c r="W197" s="45"/>
    </row>
    <row r="198" spans="1:23" ht="11.25" customHeight="1">
      <c r="A198" s="48"/>
      <c r="B198" s="48"/>
      <c r="C198" s="45"/>
      <c r="D198" s="45"/>
      <c r="E198" s="45"/>
      <c r="F198" s="45"/>
      <c r="G198" s="45"/>
      <c r="H198" s="45"/>
      <c r="I198" s="45"/>
      <c r="J198" s="45"/>
      <c r="K198" s="45"/>
      <c r="L198" s="46"/>
      <c r="M198" s="46"/>
      <c r="N198" s="46"/>
      <c r="O198" s="46"/>
      <c r="P198" s="46"/>
      <c r="Q198" s="45"/>
      <c r="R198" s="45"/>
      <c r="S198" s="45"/>
      <c r="T198" s="45"/>
      <c r="U198" s="45"/>
      <c r="V198" s="45"/>
      <c r="W198" s="45"/>
    </row>
    <row r="199" spans="1:23" ht="11.25" customHeight="1">
      <c r="A199" s="48"/>
      <c r="B199" s="48"/>
      <c r="C199" s="45"/>
      <c r="D199" s="45"/>
      <c r="E199" s="45"/>
      <c r="F199" s="45"/>
      <c r="G199" s="45"/>
      <c r="H199" s="45"/>
      <c r="I199" s="45"/>
      <c r="J199" s="45"/>
      <c r="K199" s="45"/>
      <c r="L199" s="46"/>
      <c r="M199" s="46"/>
      <c r="N199" s="46"/>
      <c r="O199" s="46"/>
      <c r="P199" s="46"/>
      <c r="Q199" s="45"/>
      <c r="R199" s="45"/>
      <c r="S199" s="45"/>
      <c r="T199" s="45"/>
      <c r="U199" s="45"/>
      <c r="V199" s="45"/>
      <c r="W199" s="45"/>
    </row>
    <row r="200" spans="1:23" ht="11.25" customHeight="1">
      <c r="A200" s="48"/>
      <c r="B200" s="48"/>
      <c r="C200" s="45"/>
      <c r="D200" s="45"/>
      <c r="E200" s="45"/>
      <c r="F200" s="45"/>
      <c r="G200" s="45"/>
      <c r="H200" s="45"/>
      <c r="I200" s="45"/>
      <c r="J200" s="45"/>
      <c r="K200" s="45"/>
      <c r="L200" s="46"/>
      <c r="M200" s="46"/>
      <c r="N200" s="46"/>
      <c r="O200" s="46"/>
      <c r="P200" s="46"/>
      <c r="Q200" s="45"/>
      <c r="R200" s="45"/>
      <c r="S200" s="45"/>
      <c r="T200" s="45"/>
      <c r="U200" s="45"/>
      <c r="V200" s="45"/>
      <c r="W200" s="45"/>
    </row>
    <row r="201" spans="1:23" ht="11.25" customHeight="1">
      <c r="A201" s="48"/>
      <c r="B201" s="48"/>
      <c r="C201" s="45"/>
      <c r="D201" s="45"/>
      <c r="E201" s="45"/>
      <c r="F201" s="45"/>
      <c r="G201" s="45"/>
      <c r="H201" s="45"/>
      <c r="I201" s="45"/>
      <c r="J201" s="45"/>
      <c r="K201" s="45"/>
      <c r="L201" s="46"/>
      <c r="M201" s="46"/>
      <c r="N201" s="46"/>
      <c r="O201" s="46"/>
      <c r="P201" s="46"/>
      <c r="Q201" s="45"/>
      <c r="R201" s="45"/>
      <c r="S201" s="45"/>
      <c r="T201" s="45"/>
      <c r="U201" s="45"/>
      <c r="V201" s="45"/>
      <c r="W201" s="45"/>
    </row>
    <row r="202" spans="1:23" ht="11.25" customHeight="1">
      <c r="A202" s="48"/>
      <c r="B202" s="48"/>
      <c r="C202" s="45"/>
      <c r="D202" s="45"/>
      <c r="E202" s="45"/>
      <c r="F202" s="45"/>
      <c r="G202" s="45"/>
      <c r="H202" s="45"/>
      <c r="I202" s="45"/>
      <c r="J202" s="45"/>
      <c r="K202" s="45"/>
      <c r="L202" s="46"/>
      <c r="M202" s="46"/>
      <c r="N202" s="46"/>
      <c r="O202" s="46"/>
      <c r="P202" s="46"/>
      <c r="Q202" s="45"/>
      <c r="R202" s="45"/>
      <c r="S202" s="45"/>
      <c r="T202" s="45"/>
      <c r="U202" s="45"/>
      <c r="V202" s="45"/>
      <c r="W202" s="45"/>
    </row>
    <row r="203" spans="1:23" ht="11.25" customHeight="1">
      <c r="A203" s="48"/>
      <c r="B203" s="48"/>
      <c r="C203" s="45"/>
      <c r="D203" s="45"/>
      <c r="E203" s="45"/>
      <c r="F203" s="45"/>
      <c r="G203" s="45"/>
      <c r="H203" s="45"/>
      <c r="I203" s="45"/>
      <c r="J203" s="45"/>
      <c r="K203" s="45"/>
      <c r="L203" s="46"/>
      <c r="M203" s="46"/>
      <c r="N203" s="46"/>
      <c r="O203" s="46"/>
      <c r="P203" s="46"/>
      <c r="Q203" s="45"/>
      <c r="R203" s="45"/>
      <c r="S203" s="45"/>
      <c r="T203" s="45"/>
      <c r="U203" s="45"/>
      <c r="V203" s="45"/>
      <c r="W203" s="45"/>
    </row>
    <row r="204" spans="1:23" ht="11.25" customHeight="1">
      <c r="A204" s="48"/>
      <c r="B204" s="48"/>
      <c r="C204" s="45"/>
      <c r="D204" s="45"/>
      <c r="E204" s="45"/>
      <c r="F204" s="45"/>
      <c r="G204" s="45"/>
      <c r="H204" s="45"/>
      <c r="I204" s="45"/>
      <c r="J204" s="45"/>
      <c r="K204" s="45"/>
      <c r="L204" s="46"/>
      <c r="M204" s="46"/>
      <c r="N204" s="46"/>
      <c r="O204" s="46"/>
      <c r="P204" s="46"/>
      <c r="Q204" s="45"/>
      <c r="R204" s="45"/>
      <c r="S204" s="45"/>
      <c r="T204" s="45"/>
      <c r="U204" s="45"/>
      <c r="V204" s="45"/>
      <c r="W204" s="45"/>
    </row>
    <row r="205" spans="1:23" ht="11.25" customHeight="1">
      <c r="A205" s="48"/>
      <c r="B205" s="48"/>
      <c r="C205" s="45"/>
      <c r="D205" s="45"/>
      <c r="E205" s="45"/>
      <c r="F205" s="45"/>
      <c r="G205" s="45"/>
      <c r="H205" s="45"/>
      <c r="I205" s="45"/>
      <c r="J205" s="45"/>
      <c r="K205" s="45"/>
      <c r="L205" s="46"/>
      <c r="M205" s="46"/>
      <c r="N205" s="46"/>
      <c r="O205" s="46"/>
      <c r="P205" s="46"/>
      <c r="Q205" s="45"/>
      <c r="R205" s="45"/>
      <c r="S205" s="45"/>
      <c r="T205" s="45"/>
      <c r="U205" s="45"/>
      <c r="V205" s="45"/>
      <c r="W205" s="45"/>
    </row>
    <row r="206" spans="1:23" ht="11.25" customHeight="1">
      <c r="A206" s="48"/>
      <c r="B206" s="48"/>
      <c r="C206" s="45"/>
      <c r="D206" s="45"/>
      <c r="E206" s="45"/>
      <c r="F206" s="45"/>
      <c r="G206" s="45"/>
      <c r="H206" s="45"/>
      <c r="I206" s="45"/>
      <c r="J206" s="45"/>
      <c r="K206" s="45"/>
      <c r="L206" s="46"/>
      <c r="M206" s="46"/>
      <c r="N206" s="46"/>
      <c r="O206" s="46"/>
      <c r="P206" s="46"/>
      <c r="Q206" s="45"/>
      <c r="R206" s="45"/>
      <c r="S206" s="45"/>
      <c r="T206" s="45"/>
      <c r="U206" s="45"/>
      <c r="V206" s="45"/>
      <c r="W206" s="45"/>
    </row>
    <row r="207" spans="1:23" ht="11.25" customHeight="1">
      <c r="A207" s="48"/>
      <c r="B207" s="48"/>
      <c r="C207" s="45"/>
      <c r="D207" s="45"/>
      <c r="E207" s="45"/>
      <c r="F207" s="45"/>
      <c r="G207" s="45"/>
      <c r="H207" s="45"/>
      <c r="I207" s="45"/>
      <c r="J207" s="45"/>
      <c r="K207" s="45"/>
      <c r="L207" s="46"/>
      <c r="M207" s="46"/>
      <c r="N207" s="46"/>
      <c r="O207" s="46"/>
      <c r="P207" s="46"/>
      <c r="Q207" s="45"/>
      <c r="R207" s="45"/>
      <c r="S207" s="45"/>
      <c r="T207" s="45"/>
      <c r="U207" s="45"/>
      <c r="V207" s="45"/>
      <c r="W207" s="45"/>
    </row>
    <row r="208" spans="1:23" ht="11.25" customHeight="1">
      <c r="A208" s="48"/>
      <c r="B208" s="48"/>
      <c r="C208" s="45"/>
      <c r="D208" s="45"/>
      <c r="E208" s="45"/>
      <c r="F208" s="45"/>
      <c r="G208" s="45"/>
      <c r="H208" s="45"/>
      <c r="I208" s="45"/>
      <c r="J208" s="45"/>
      <c r="K208" s="45"/>
      <c r="L208" s="46"/>
      <c r="M208" s="46"/>
      <c r="N208" s="46"/>
      <c r="O208" s="46"/>
      <c r="P208" s="46"/>
      <c r="Q208" s="45"/>
      <c r="R208" s="45"/>
      <c r="S208" s="45"/>
      <c r="T208" s="45"/>
      <c r="U208" s="45"/>
      <c r="V208" s="45"/>
      <c r="W208" s="45"/>
    </row>
    <row r="209" spans="1:23" ht="11.25" customHeight="1">
      <c r="A209" s="48"/>
      <c r="B209" s="48"/>
      <c r="C209" s="45"/>
      <c r="D209" s="45"/>
      <c r="E209" s="45"/>
      <c r="F209" s="45"/>
      <c r="G209" s="45"/>
      <c r="H209" s="45"/>
      <c r="I209" s="45"/>
      <c r="J209" s="45"/>
      <c r="K209" s="45"/>
      <c r="L209" s="46"/>
      <c r="M209" s="46"/>
      <c r="N209" s="46"/>
      <c r="O209" s="46"/>
      <c r="P209" s="46"/>
      <c r="Q209" s="45"/>
      <c r="R209" s="45"/>
      <c r="S209" s="45"/>
      <c r="T209" s="45"/>
      <c r="U209" s="45"/>
      <c r="V209" s="45"/>
      <c r="W209" s="45"/>
    </row>
    <row r="210" spans="1:23" ht="11.25" customHeight="1">
      <c r="A210" s="48"/>
      <c r="B210" s="48"/>
      <c r="C210" s="45"/>
      <c r="D210" s="45"/>
      <c r="E210" s="45"/>
      <c r="F210" s="45"/>
      <c r="G210" s="45"/>
      <c r="H210" s="45"/>
      <c r="I210" s="45"/>
      <c r="J210" s="45"/>
      <c r="K210" s="45"/>
      <c r="L210" s="46"/>
      <c r="M210" s="46"/>
      <c r="N210" s="46"/>
      <c r="O210" s="46"/>
      <c r="P210" s="46"/>
      <c r="Q210" s="45"/>
      <c r="R210" s="45"/>
      <c r="S210" s="45"/>
      <c r="T210" s="45"/>
      <c r="U210" s="45"/>
      <c r="V210" s="45"/>
      <c r="W210" s="45"/>
    </row>
    <row r="211" spans="1:23" ht="11.25" customHeight="1">
      <c r="A211" s="48"/>
      <c r="B211" s="48"/>
      <c r="C211" s="45"/>
      <c r="D211" s="45"/>
      <c r="E211" s="45"/>
      <c r="F211" s="45"/>
      <c r="G211" s="45"/>
      <c r="H211" s="45"/>
      <c r="I211" s="45"/>
      <c r="J211" s="45"/>
      <c r="K211" s="45"/>
      <c r="L211" s="46"/>
      <c r="M211" s="46"/>
      <c r="N211" s="46"/>
      <c r="O211" s="46"/>
      <c r="P211" s="46"/>
      <c r="Q211" s="45"/>
      <c r="R211" s="45"/>
      <c r="S211" s="45"/>
      <c r="T211" s="45"/>
      <c r="U211" s="45"/>
      <c r="V211" s="45"/>
      <c r="W211" s="45"/>
    </row>
    <row r="212" spans="1:23" ht="11.25" customHeight="1">
      <c r="A212" s="48"/>
      <c r="B212" s="48"/>
      <c r="C212" s="45"/>
      <c r="D212" s="45"/>
      <c r="E212" s="45"/>
      <c r="F212" s="45"/>
      <c r="G212" s="45"/>
      <c r="H212" s="45"/>
      <c r="I212" s="45"/>
      <c r="J212" s="45"/>
      <c r="K212" s="45"/>
      <c r="L212" s="46"/>
      <c r="M212" s="46"/>
      <c r="N212" s="46"/>
      <c r="O212" s="46"/>
      <c r="P212" s="46"/>
      <c r="Q212" s="45"/>
      <c r="R212" s="45"/>
      <c r="S212" s="45"/>
      <c r="T212" s="45"/>
      <c r="U212" s="45"/>
      <c r="V212" s="45"/>
      <c r="W212" s="45"/>
    </row>
    <row r="213" spans="1:23" ht="11.25" customHeight="1">
      <c r="A213" s="48"/>
      <c r="B213" s="48"/>
      <c r="C213" s="45"/>
      <c r="D213" s="45"/>
      <c r="E213" s="45"/>
      <c r="F213" s="45"/>
      <c r="G213" s="45"/>
      <c r="H213" s="45"/>
      <c r="I213" s="45"/>
      <c r="J213" s="45"/>
      <c r="K213" s="45"/>
      <c r="L213" s="46"/>
      <c r="M213" s="46"/>
      <c r="N213" s="46"/>
      <c r="O213" s="46"/>
      <c r="P213" s="46"/>
      <c r="Q213" s="45"/>
      <c r="R213" s="45"/>
      <c r="S213" s="45"/>
      <c r="T213" s="45"/>
      <c r="U213" s="45"/>
      <c r="V213" s="45"/>
      <c r="W213" s="45"/>
    </row>
    <row r="214" spans="1:23" ht="11.25" customHeight="1">
      <c r="A214" s="48"/>
      <c r="B214" s="48"/>
      <c r="C214" s="45"/>
      <c r="D214" s="45"/>
      <c r="E214" s="45"/>
      <c r="F214" s="45"/>
      <c r="G214" s="45"/>
      <c r="H214" s="45"/>
      <c r="I214" s="45"/>
      <c r="J214" s="45"/>
      <c r="K214" s="45"/>
      <c r="L214" s="46"/>
      <c r="M214" s="46"/>
      <c r="N214" s="46"/>
      <c r="O214" s="46"/>
      <c r="P214" s="46"/>
      <c r="Q214" s="45"/>
      <c r="R214" s="45"/>
      <c r="S214" s="45"/>
      <c r="T214" s="45"/>
      <c r="U214" s="45"/>
      <c r="V214" s="45"/>
      <c r="W214" s="45"/>
    </row>
    <row r="215" spans="1:23" ht="11.25" customHeight="1">
      <c r="A215" s="48"/>
      <c r="B215" s="48"/>
      <c r="C215" s="45"/>
      <c r="D215" s="45"/>
      <c r="E215" s="45"/>
      <c r="F215" s="45"/>
      <c r="G215" s="45"/>
      <c r="H215" s="45"/>
      <c r="I215" s="45"/>
      <c r="J215" s="45"/>
      <c r="K215" s="45"/>
      <c r="L215" s="46"/>
      <c r="M215" s="46"/>
      <c r="N215" s="46"/>
      <c r="O215" s="46"/>
      <c r="P215" s="46"/>
      <c r="Q215" s="45"/>
      <c r="R215" s="45"/>
      <c r="S215" s="45"/>
      <c r="T215" s="45"/>
      <c r="U215" s="45"/>
      <c r="V215" s="45"/>
      <c r="W215" s="45"/>
    </row>
    <row r="216" spans="1:23" ht="11.25" customHeight="1">
      <c r="A216" s="48"/>
      <c r="B216" s="48"/>
      <c r="C216" s="45"/>
      <c r="D216" s="45"/>
      <c r="E216" s="45"/>
      <c r="F216" s="45"/>
      <c r="G216" s="45"/>
      <c r="H216" s="45"/>
      <c r="I216" s="45"/>
      <c r="J216" s="45"/>
      <c r="K216" s="45"/>
      <c r="L216" s="46"/>
      <c r="M216" s="46"/>
      <c r="N216" s="46"/>
      <c r="O216" s="46"/>
      <c r="P216" s="46"/>
      <c r="Q216" s="45"/>
      <c r="R216" s="45"/>
      <c r="S216" s="45"/>
      <c r="T216" s="45"/>
      <c r="U216" s="45"/>
      <c r="V216" s="45"/>
      <c r="W216" s="45"/>
    </row>
    <row r="217" spans="1:23" ht="11.25" customHeight="1">
      <c r="A217" s="48"/>
      <c r="B217" s="48"/>
      <c r="C217" s="45"/>
      <c r="D217" s="45"/>
      <c r="E217" s="45"/>
      <c r="F217" s="45"/>
      <c r="G217" s="45"/>
      <c r="H217" s="45"/>
      <c r="I217" s="45"/>
      <c r="J217" s="45"/>
      <c r="K217" s="45"/>
      <c r="L217" s="46"/>
      <c r="M217" s="46"/>
      <c r="N217" s="46"/>
      <c r="O217" s="46"/>
      <c r="P217" s="46"/>
      <c r="Q217" s="45"/>
      <c r="R217" s="45"/>
      <c r="S217" s="45"/>
      <c r="T217" s="45"/>
      <c r="U217" s="45"/>
      <c r="V217" s="45"/>
      <c r="W217" s="45"/>
    </row>
    <row r="218" spans="1:23" ht="11.25" customHeight="1">
      <c r="A218" s="48"/>
      <c r="B218" s="48"/>
      <c r="C218" s="45"/>
      <c r="D218" s="45"/>
      <c r="E218" s="45"/>
      <c r="F218" s="45"/>
      <c r="G218" s="45"/>
      <c r="H218" s="45"/>
      <c r="I218" s="45"/>
      <c r="J218" s="45"/>
      <c r="K218" s="45"/>
      <c r="L218" s="46"/>
      <c r="M218" s="46"/>
      <c r="N218" s="46"/>
      <c r="O218" s="46"/>
      <c r="P218" s="46"/>
      <c r="Q218" s="45"/>
      <c r="R218" s="45"/>
      <c r="S218" s="45"/>
      <c r="T218" s="45"/>
      <c r="U218" s="45"/>
      <c r="V218" s="45"/>
      <c r="W218" s="45"/>
    </row>
    <row r="219" spans="1:23" ht="11.25" customHeight="1">
      <c r="A219" s="48"/>
      <c r="B219" s="48"/>
      <c r="C219" s="45"/>
      <c r="D219" s="45"/>
      <c r="E219" s="45"/>
      <c r="F219" s="45"/>
      <c r="G219" s="45"/>
      <c r="H219" s="45"/>
      <c r="I219" s="45"/>
      <c r="J219" s="45"/>
      <c r="K219" s="45"/>
      <c r="L219" s="46"/>
      <c r="M219" s="46"/>
      <c r="N219" s="46"/>
      <c r="O219" s="46"/>
      <c r="P219" s="46"/>
      <c r="Q219" s="45"/>
      <c r="R219" s="45"/>
      <c r="S219" s="45"/>
      <c r="T219" s="45"/>
      <c r="U219" s="45"/>
      <c r="V219" s="45"/>
      <c r="W219" s="45"/>
    </row>
    <row r="220" spans="1:23" ht="11.25" customHeight="1">
      <c r="A220" s="48"/>
      <c r="B220" s="48"/>
      <c r="C220" s="45"/>
      <c r="D220" s="45"/>
      <c r="E220" s="45"/>
      <c r="F220" s="45"/>
      <c r="G220" s="45"/>
      <c r="H220" s="45"/>
      <c r="I220" s="45"/>
      <c r="J220" s="45"/>
      <c r="K220" s="45"/>
      <c r="L220" s="46"/>
      <c r="M220" s="46"/>
      <c r="N220" s="46"/>
      <c r="O220" s="46"/>
      <c r="P220" s="46"/>
      <c r="Q220" s="45"/>
      <c r="R220" s="45"/>
      <c r="S220" s="45"/>
      <c r="T220" s="45"/>
      <c r="U220" s="45"/>
      <c r="V220" s="45"/>
      <c r="W220" s="45"/>
    </row>
    <row r="221" spans="1:23" ht="11.25" customHeight="1">
      <c r="A221" s="48"/>
      <c r="B221" s="48"/>
      <c r="C221" s="45"/>
      <c r="D221" s="45"/>
      <c r="E221" s="45"/>
      <c r="F221" s="45"/>
      <c r="G221" s="45"/>
      <c r="H221" s="45"/>
      <c r="I221" s="45"/>
      <c r="J221" s="45"/>
      <c r="K221" s="45"/>
      <c r="L221" s="46"/>
      <c r="M221" s="46"/>
      <c r="N221" s="46"/>
      <c r="O221" s="46"/>
      <c r="P221" s="46"/>
      <c r="Q221" s="45"/>
      <c r="R221" s="45"/>
      <c r="S221" s="45"/>
      <c r="T221" s="45"/>
      <c r="U221" s="45"/>
      <c r="V221" s="45"/>
      <c r="W221" s="45"/>
    </row>
    <row r="222" spans="1:23" ht="11.25" customHeight="1">
      <c r="A222" s="48"/>
      <c r="B222" s="48"/>
      <c r="C222" s="45"/>
      <c r="D222" s="45"/>
      <c r="E222" s="45"/>
      <c r="F222" s="45"/>
      <c r="G222" s="45"/>
      <c r="H222" s="45"/>
      <c r="I222" s="45"/>
      <c r="J222" s="45"/>
      <c r="K222" s="45"/>
      <c r="L222" s="46"/>
      <c r="M222" s="46"/>
      <c r="N222" s="46"/>
      <c r="O222" s="46"/>
      <c r="P222" s="46"/>
      <c r="Q222" s="45"/>
      <c r="R222" s="45"/>
      <c r="S222" s="45"/>
      <c r="T222" s="45"/>
      <c r="U222" s="45"/>
      <c r="V222" s="45"/>
      <c r="W222" s="45"/>
    </row>
    <row r="223" spans="1:23" ht="11.25" customHeight="1">
      <c r="A223" s="48"/>
      <c r="B223" s="48"/>
      <c r="C223" s="45"/>
      <c r="D223" s="45"/>
      <c r="E223" s="45"/>
      <c r="F223" s="45"/>
      <c r="G223" s="45"/>
      <c r="H223" s="45"/>
      <c r="I223" s="45"/>
      <c r="J223" s="45"/>
      <c r="K223" s="45"/>
      <c r="L223" s="46"/>
      <c r="M223" s="46"/>
      <c r="N223" s="46"/>
      <c r="O223" s="46"/>
      <c r="P223" s="46"/>
      <c r="Q223" s="45"/>
      <c r="R223" s="45"/>
      <c r="S223" s="45"/>
      <c r="T223" s="45"/>
      <c r="U223" s="45"/>
      <c r="V223" s="45"/>
      <c r="W223" s="45"/>
    </row>
    <row r="224" spans="1:23" ht="11.25" customHeight="1">
      <c r="A224" s="48"/>
      <c r="B224" s="48"/>
      <c r="C224" s="45"/>
      <c r="D224" s="45"/>
      <c r="E224" s="45"/>
      <c r="F224" s="45"/>
      <c r="G224" s="45"/>
      <c r="H224" s="45"/>
      <c r="I224" s="45"/>
      <c r="J224" s="45"/>
      <c r="K224" s="45"/>
      <c r="L224" s="46"/>
      <c r="M224" s="46"/>
      <c r="N224" s="46"/>
      <c r="O224" s="46"/>
      <c r="P224" s="46"/>
      <c r="Q224" s="45"/>
      <c r="R224" s="45"/>
      <c r="S224" s="45"/>
      <c r="T224" s="45"/>
      <c r="U224" s="45"/>
      <c r="V224" s="45"/>
      <c r="W224" s="45"/>
    </row>
    <row r="225" spans="1:23" ht="11.25" customHeight="1">
      <c r="A225" s="48"/>
      <c r="B225" s="48"/>
      <c r="C225" s="45"/>
      <c r="D225" s="45"/>
      <c r="E225" s="45"/>
      <c r="F225" s="45"/>
      <c r="G225" s="45"/>
      <c r="H225" s="45"/>
      <c r="I225" s="45"/>
      <c r="J225" s="45"/>
      <c r="K225" s="45"/>
      <c r="L225" s="46"/>
      <c r="M225" s="46"/>
      <c r="N225" s="46"/>
      <c r="O225" s="46"/>
      <c r="P225" s="46"/>
      <c r="Q225" s="45"/>
      <c r="R225" s="45"/>
      <c r="S225" s="45"/>
      <c r="T225" s="45"/>
      <c r="U225" s="45"/>
      <c r="V225" s="45"/>
      <c r="W225" s="45"/>
    </row>
    <row r="226" spans="1:23" ht="11.25" customHeight="1">
      <c r="A226" s="48"/>
      <c r="B226" s="48"/>
      <c r="C226" s="45"/>
      <c r="D226" s="45"/>
      <c r="E226" s="45"/>
      <c r="F226" s="45"/>
      <c r="G226" s="45"/>
      <c r="H226" s="45"/>
      <c r="I226" s="45"/>
      <c r="J226" s="45"/>
      <c r="K226" s="45"/>
      <c r="L226" s="46"/>
      <c r="M226" s="46"/>
      <c r="N226" s="46"/>
      <c r="O226" s="46"/>
      <c r="P226" s="46"/>
      <c r="Q226" s="45"/>
      <c r="R226" s="45"/>
      <c r="S226" s="45"/>
      <c r="T226" s="45"/>
      <c r="U226" s="45"/>
      <c r="V226" s="45"/>
      <c r="W226" s="45"/>
    </row>
    <row r="227" spans="1:23" ht="11.25" customHeight="1">
      <c r="A227" s="48"/>
      <c r="B227" s="48"/>
      <c r="C227" s="45"/>
      <c r="D227" s="45"/>
      <c r="E227" s="45"/>
      <c r="F227" s="45"/>
      <c r="G227" s="45"/>
      <c r="H227" s="45"/>
      <c r="I227" s="45"/>
      <c r="J227" s="45"/>
      <c r="K227" s="45"/>
      <c r="L227" s="46"/>
      <c r="M227" s="46"/>
      <c r="N227" s="46"/>
      <c r="O227" s="46"/>
      <c r="P227" s="46"/>
      <c r="Q227" s="45"/>
      <c r="R227" s="45"/>
      <c r="S227" s="45"/>
      <c r="T227" s="45"/>
      <c r="U227" s="45"/>
      <c r="V227" s="45"/>
      <c r="W227" s="45"/>
    </row>
    <row r="228" spans="1:23" ht="11.25" customHeight="1">
      <c r="A228" s="48"/>
      <c r="B228" s="48"/>
      <c r="C228" s="45"/>
      <c r="D228" s="45"/>
      <c r="E228" s="45"/>
      <c r="F228" s="45"/>
      <c r="G228" s="45"/>
      <c r="H228" s="45"/>
      <c r="I228" s="45"/>
      <c r="J228" s="45"/>
      <c r="K228" s="45"/>
      <c r="L228" s="46"/>
      <c r="M228" s="46"/>
      <c r="N228" s="46"/>
      <c r="O228" s="46"/>
      <c r="P228" s="46"/>
      <c r="Q228" s="45"/>
      <c r="R228" s="45"/>
      <c r="S228" s="45"/>
      <c r="T228" s="45"/>
      <c r="U228" s="45"/>
      <c r="V228" s="45"/>
      <c r="W228" s="45"/>
    </row>
    <row r="229" spans="1:23" ht="11.25" customHeight="1">
      <c r="A229" s="48"/>
      <c r="B229" s="48"/>
      <c r="C229" s="45"/>
      <c r="D229" s="45"/>
      <c r="E229" s="45"/>
      <c r="F229" s="45"/>
      <c r="G229" s="45"/>
      <c r="H229" s="45"/>
      <c r="I229" s="45"/>
      <c r="J229" s="45"/>
      <c r="K229" s="45"/>
      <c r="L229" s="46"/>
      <c r="M229" s="46"/>
      <c r="N229" s="46"/>
      <c r="O229" s="46"/>
      <c r="P229" s="46"/>
      <c r="Q229" s="45"/>
      <c r="R229" s="45"/>
      <c r="S229" s="45"/>
      <c r="T229" s="45"/>
      <c r="U229" s="45"/>
      <c r="V229" s="45"/>
      <c r="W229" s="45"/>
    </row>
    <row r="230" spans="1:23" ht="11.25" customHeight="1">
      <c r="A230" s="48"/>
      <c r="B230" s="48"/>
      <c r="C230" s="45"/>
      <c r="D230" s="45"/>
      <c r="E230" s="45"/>
      <c r="F230" s="45"/>
      <c r="G230" s="45"/>
      <c r="H230" s="45"/>
      <c r="I230" s="45"/>
      <c r="J230" s="45"/>
      <c r="K230" s="45"/>
      <c r="L230" s="46"/>
      <c r="M230" s="46"/>
      <c r="N230" s="46"/>
      <c r="O230" s="46"/>
      <c r="P230" s="46"/>
      <c r="Q230" s="45"/>
      <c r="R230" s="45"/>
      <c r="S230" s="45"/>
      <c r="T230" s="45"/>
      <c r="U230" s="45"/>
      <c r="V230" s="45"/>
      <c r="W230" s="45"/>
    </row>
    <row r="231" spans="1:23" ht="11.25" customHeight="1">
      <c r="A231" s="48"/>
      <c r="B231" s="48"/>
      <c r="C231" s="45"/>
      <c r="D231" s="45"/>
      <c r="E231" s="45"/>
      <c r="F231" s="45"/>
      <c r="G231" s="45"/>
      <c r="H231" s="45"/>
      <c r="I231" s="45"/>
      <c r="J231" s="45"/>
      <c r="K231" s="45"/>
      <c r="L231" s="46"/>
      <c r="M231" s="46"/>
      <c r="N231" s="46"/>
      <c r="O231" s="46"/>
      <c r="P231" s="46"/>
      <c r="Q231" s="45"/>
      <c r="R231" s="45"/>
      <c r="S231" s="45"/>
      <c r="T231" s="45"/>
      <c r="U231" s="45"/>
      <c r="V231" s="45"/>
      <c r="W231" s="45"/>
    </row>
    <row r="232" spans="1:23" ht="11.25" customHeight="1">
      <c r="A232" s="48"/>
      <c r="B232" s="48"/>
      <c r="C232" s="45"/>
      <c r="D232" s="45"/>
      <c r="E232" s="45"/>
      <c r="F232" s="45"/>
      <c r="G232" s="45"/>
      <c r="H232" s="45"/>
      <c r="I232" s="45"/>
      <c r="J232" s="45"/>
      <c r="K232" s="45"/>
      <c r="L232" s="46"/>
      <c r="M232" s="46"/>
      <c r="N232" s="46"/>
      <c r="O232" s="46"/>
      <c r="P232" s="46"/>
      <c r="Q232" s="45"/>
      <c r="R232" s="45"/>
      <c r="S232" s="45"/>
      <c r="T232" s="45"/>
      <c r="U232" s="45"/>
      <c r="V232" s="45"/>
      <c r="W232" s="45"/>
    </row>
    <row r="233" spans="1:23" ht="11.25" customHeight="1">
      <c r="A233" s="48"/>
      <c r="B233" s="48"/>
      <c r="C233" s="45"/>
      <c r="D233" s="45"/>
      <c r="E233" s="45"/>
      <c r="F233" s="45"/>
      <c r="G233" s="45"/>
      <c r="H233" s="45"/>
      <c r="I233" s="45"/>
      <c r="J233" s="45"/>
      <c r="K233" s="45"/>
      <c r="L233" s="46"/>
      <c r="M233" s="46"/>
      <c r="N233" s="46"/>
      <c r="O233" s="46"/>
      <c r="P233" s="46"/>
      <c r="Q233" s="45"/>
      <c r="R233" s="45"/>
      <c r="S233" s="45"/>
      <c r="T233" s="45"/>
      <c r="U233" s="45"/>
      <c r="V233" s="45"/>
      <c r="W233" s="45"/>
    </row>
    <row r="234" spans="1:23" ht="11.25" customHeight="1">
      <c r="A234" s="48"/>
      <c r="B234" s="48"/>
      <c r="C234" s="45"/>
      <c r="D234" s="45"/>
      <c r="E234" s="45"/>
      <c r="F234" s="45"/>
      <c r="G234" s="45"/>
      <c r="H234" s="45"/>
      <c r="I234" s="45"/>
      <c r="J234" s="45"/>
      <c r="K234" s="45"/>
      <c r="L234" s="46"/>
      <c r="M234" s="46"/>
      <c r="N234" s="46"/>
      <c r="O234" s="46"/>
      <c r="P234" s="46"/>
      <c r="Q234" s="45"/>
      <c r="R234" s="45"/>
      <c r="S234" s="45"/>
      <c r="T234" s="45"/>
      <c r="U234" s="45"/>
      <c r="V234" s="45"/>
      <c r="W234" s="45"/>
    </row>
    <row r="235" spans="1:23" ht="11.25" customHeight="1">
      <c r="A235" s="48"/>
      <c r="B235" s="48"/>
      <c r="C235" s="45"/>
      <c r="D235" s="45"/>
      <c r="E235" s="45"/>
      <c r="F235" s="45"/>
      <c r="G235" s="45"/>
      <c r="H235" s="45"/>
      <c r="I235" s="45"/>
      <c r="J235" s="45"/>
      <c r="K235" s="45"/>
      <c r="L235" s="46"/>
      <c r="M235" s="46"/>
      <c r="N235" s="46"/>
      <c r="O235" s="46"/>
      <c r="P235" s="46"/>
      <c r="Q235" s="45"/>
      <c r="R235" s="45"/>
      <c r="S235" s="45"/>
      <c r="T235" s="45"/>
      <c r="U235" s="45"/>
      <c r="V235" s="45"/>
      <c r="W235" s="45"/>
    </row>
    <row r="236" spans="1:23" ht="11.25" customHeight="1">
      <c r="A236" s="48"/>
      <c r="B236" s="48"/>
      <c r="C236" s="45"/>
      <c r="D236" s="45"/>
      <c r="E236" s="45"/>
      <c r="F236" s="45"/>
      <c r="G236" s="45"/>
      <c r="H236" s="45"/>
      <c r="I236" s="45"/>
      <c r="J236" s="45"/>
      <c r="K236" s="45"/>
      <c r="L236" s="46"/>
      <c r="M236" s="46"/>
      <c r="N236" s="46"/>
      <c r="O236" s="46"/>
      <c r="P236" s="46"/>
      <c r="Q236" s="45"/>
      <c r="R236" s="45"/>
      <c r="S236" s="45"/>
      <c r="T236" s="45"/>
      <c r="U236" s="45"/>
      <c r="V236" s="45"/>
      <c r="W236" s="45"/>
    </row>
    <row r="237" spans="1:23" ht="11.25" customHeight="1">
      <c r="A237" s="48"/>
      <c r="B237" s="48"/>
      <c r="C237" s="45"/>
      <c r="D237" s="45"/>
      <c r="E237" s="45"/>
      <c r="F237" s="45"/>
      <c r="G237" s="45"/>
      <c r="H237" s="45"/>
      <c r="I237" s="45"/>
      <c r="J237" s="45"/>
      <c r="K237" s="45"/>
      <c r="L237" s="46"/>
      <c r="M237" s="46"/>
      <c r="N237" s="46"/>
      <c r="O237" s="46"/>
      <c r="P237" s="46"/>
      <c r="Q237" s="45"/>
      <c r="R237" s="45"/>
      <c r="S237" s="45"/>
      <c r="T237" s="45"/>
      <c r="U237" s="45"/>
      <c r="V237" s="45"/>
      <c r="W237" s="45"/>
    </row>
    <row r="238" spans="1:23" ht="11.25" customHeight="1">
      <c r="A238" s="48"/>
      <c r="B238" s="48"/>
      <c r="C238" s="45"/>
      <c r="D238" s="45"/>
      <c r="E238" s="45"/>
      <c r="F238" s="45"/>
      <c r="G238" s="45"/>
      <c r="H238" s="45"/>
      <c r="I238" s="45"/>
      <c r="J238" s="45"/>
      <c r="K238" s="45"/>
      <c r="L238" s="46"/>
      <c r="M238" s="46"/>
      <c r="N238" s="46"/>
      <c r="O238" s="46"/>
      <c r="P238" s="46"/>
      <c r="Q238" s="45"/>
      <c r="R238" s="45"/>
      <c r="S238" s="45"/>
      <c r="T238" s="45"/>
      <c r="U238" s="45"/>
      <c r="V238" s="45"/>
      <c r="W238" s="45"/>
    </row>
    <row r="239" spans="1:23" ht="11.25" customHeight="1">
      <c r="A239" s="48"/>
      <c r="B239" s="48"/>
      <c r="C239" s="45"/>
      <c r="D239" s="45"/>
      <c r="E239" s="45"/>
      <c r="F239" s="45"/>
      <c r="G239" s="45"/>
      <c r="H239" s="45"/>
      <c r="I239" s="45"/>
      <c r="J239" s="45"/>
      <c r="K239" s="45"/>
      <c r="L239" s="46"/>
      <c r="M239" s="46"/>
      <c r="N239" s="46"/>
      <c r="O239" s="46"/>
      <c r="P239" s="46"/>
      <c r="Q239" s="45"/>
      <c r="R239" s="45"/>
      <c r="S239" s="45"/>
      <c r="T239" s="45"/>
      <c r="U239" s="45"/>
      <c r="V239" s="45"/>
      <c r="W239" s="45"/>
    </row>
    <row r="240" spans="1:23" ht="11.25" customHeight="1">
      <c r="A240" s="48"/>
      <c r="B240" s="48"/>
      <c r="C240" s="45"/>
      <c r="D240" s="45"/>
      <c r="E240" s="45"/>
      <c r="F240" s="45"/>
      <c r="G240" s="45"/>
      <c r="H240" s="45"/>
      <c r="I240" s="45"/>
      <c r="J240" s="45"/>
      <c r="K240" s="45"/>
      <c r="L240" s="46"/>
      <c r="M240" s="46"/>
      <c r="N240" s="46"/>
      <c r="O240" s="46"/>
      <c r="P240" s="46"/>
      <c r="Q240" s="45"/>
      <c r="R240" s="45"/>
      <c r="S240" s="45"/>
      <c r="T240" s="45"/>
      <c r="U240" s="45"/>
      <c r="V240" s="45"/>
      <c r="W240" s="45"/>
    </row>
    <row r="241" spans="1:23" ht="11.25" customHeight="1">
      <c r="A241" s="48"/>
      <c r="B241" s="48"/>
      <c r="C241" s="45"/>
      <c r="D241" s="45"/>
      <c r="E241" s="45"/>
      <c r="F241" s="45"/>
      <c r="G241" s="45"/>
      <c r="H241" s="45"/>
      <c r="I241" s="45"/>
      <c r="J241" s="45"/>
      <c r="K241" s="45"/>
      <c r="L241" s="46"/>
      <c r="M241" s="46"/>
      <c r="N241" s="46"/>
      <c r="O241" s="46"/>
      <c r="P241" s="46"/>
      <c r="Q241" s="45"/>
      <c r="R241" s="45"/>
      <c r="S241" s="45"/>
      <c r="T241" s="45"/>
      <c r="U241" s="45"/>
      <c r="V241" s="45"/>
      <c r="W241" s="45"/>
    </row>
    <row r="242" spans="1:23" ht="11.25" customHeight="1">
      <c r="A242" s="48"/>
      <c r="B242" s="48"/>
      <c r="C242" s="45"/>
      <c r="D242" s="45"/>
      <c r="E242" s="45"/>
      <c r="F242" s="45"/>
      <c r="G242" s="45"/>
      <c r="H242" s="45"/>
      <c r="I242" s="45"/>
      <c r="J242" s="45"/>
      <c r="K242" s="45"/>
      <c r="L242" s="46"/>
      <c r="M242" s="46"/>
      <c r="N242" s="46"/>
      <c r="O242" s="46"/>
      <c r="P242" s="46"/>
      <c r="Q242" s="45"/>
      <c r="R242" s="45"/>
      <c r="S242" s="45"/>
      <c r="T242" s="45"/>
      <c r="U242" s="45"/>
      <c r="V242" s="45"/>
      <c r="W242" s="45"/>
    </row>
    <row r="243" spans="1:23" ht="11.25" customHeight="1">
      <c r="A243" s="48"/>
      <c r="B243" s="48"/>
      <c r="C243" s="45"/>
      <c r="D243" s="45"/>
      <c r="E243" s="45"/>
      <c r="F243" s="45"/>
      <c r="G243" s="45"/>
      <c r="H243" s="45"/>
      <c r="I243" s="45"/>
      <c r="J243" s="45"/>
      <c r="K243" s="45"/>
      <c r="L243" s="46"/>
      <c r="M243" s="46"/>
      <c r="N243" s="46"/>
      <c r="O243" s="46"/>
      <c r="P243" s="46"/>
      <c r="Q243" s="45"/>
      <c r="R243" s="45"/>
      <c r="S243" s="45"/>
      <c r="T243" s="45"/>
      <c r="U243" s="45"/>
      <c r="V243" s="45"/>
      <c r="W243" s="45"/>
    </row>
    <row r="244" spans="1:23" ht="11.25" customHeight="1">
      <c r="A244" s="48"/>
      <c r="B244" s="48"/>
      <c r="C244" s="45"/>
      <c r="D244" s="45"/>
      <c r="E244" s="45"/>
      <c r="F244" s="45"/>
      <c r="G244" s="45"/>
      <c r="H244" s="45"/>
      <c r="I244" s="45"/>
      <c r="J244" s="45"/>
      <c r="K244" s="45"/>
      <c r="L244" s="46"/>
      <c r="M244" s="46"/>
      <c r="N244" s="46"/>
      <c r="O244" s="46"/>
      <c r="P244" s="46"/>
      <c r="Q244" s="45"/>
      <c r="R244" s="45"/>
      <c r="S244" s="45"/>
      <c r="T244" s="45"/>
      <c r="U244" s="45"/>
      <c r="V244" s="45"/>
      <c r="W244" s="45"/>
    </row>
    <row r="245" spans="1:23" ht="11.25" customHeight="1">
      <c r="A245" s="48"/>
      <c r="B245" s="48"/>
      <c r="C245" s="45"/>
      <c r="D245" s="45"/>
      <c r="E245" s="45"/>
      <c r="F245" s="45"/>
      <c r="G245" s="45"/>
      <c r="H245" s="45"/>
      <c r="I245" s="45"/>
      <c r="J245" s="45"/>
      <c r="K245" s="45"/>
      <c r="L245" s="46"/>
      <c r="M245" s="46"/>
      <c r="N245" s="46"/>
      <c r="O245" s="46"/>
      <c r="P245" s="46"/>
      <c r="Q245" s="45"/>
      <c r="R245" s="45"/>
      <c r="S245" s="45"/>
      <c r="T245" s="45"/>
      <c r="U245" s="45"/>
      <c r="V245" s="45"/>
      <c r="W245" s="45"/>
    </row>
    <row r="246" spans="1:23" ht="11.25" customHeight="1">
      <c r="A246" s="48"/>
      <c r="B246" s="48"/>
      <c r="C246" s="45"/>
      <c r="D246" s="45"/>
      <c r="E246" s="45"/>
      <c r="F246" s="45"/>
      <c r="G246" s="45"/>
      <c r="H246" s="45"/>
      <c r="I246" s="45"/>
      <c r="J246" s="45"/>
      <c r="K246" s="45"/>
      <c r="L246" s="46"/>
      <c r="M246" s="46"/>
      <c r="N246" s="46"/>
      <c r="O246" s="46"/>
      <c r="P246" s="46"/>
      <c r="Q246" s="45"/>
      <c r="R246" s="45"/>
      <c r="S246" s="45"/>
      <c r="T246" s="45"/>
      <c r="U246" s="45"/>
      <c r="V246" s="45"/>
      <c r="W246" s="45"/>
    </row>
    <row r="247" spans="1:23" ht="11.25" customHeight="1">
      <c r="A247" s="48"/>
      <c r="B247" s="48"/>
      <c r="C247" s="45"/>
      <c r="D247" s="45"/>
      <c r="E247" s="45"/>
      <c r="F247" s="45"/>
      <c r="G247" s="45"/>
      <c r="H247" s="45"/>
      <c r="I247" s="45"/>
      <c r="J247" s="45"/>
      <c r="K247" s="45"/>
      <c r="L247" s="46"/>
      <c r="M247" s="46"/>
      <c r="N247" s="46"/>
      <c r="O247" s="46"/>
      <c r="P247" s="46"/>
      <c r="Q247" s="45"/>
      <c r="R247" s="45"/>
      <c r="S247" s="45"/>
      <c r="T247" s="45"/>
      <c r="U247" s="45"/>
      <c r="V247" s="45"/>
      <c r="W247" s="45"/>
    </row>
    <row r="248" spans="1:23" ht="11.25" customHeight="1">
      <c r="A248" s="48"/>
      <c r="B248" s="48"/>
      <c r="C248" s="45"/>
      <c r="D248" s="45"/>
      <c r="E248" s="45"/>
      <c r="F248" s="45"/>
      <c r="G248" s="45"/>
      <c r="H248" s="45"/>
      <c r="I248" s="45"/>
      <c r="J248" s="45"/>
      <c r="K248" s="45"/>
      <c r="L248" s="46"/>
      <c r="M248" s="46"/>
      <c r="N248" s="46"/>
      <c r="O248" s="46"/>
      <c r="P248" s="46"/>
      <c r="Q248" s="45"/>
      <c r="R248" s="45"/>
      <c r="S248" s="45"/>
      <c r="T248" s="45"/>
      <c r="U248" s="45"/>
      <c r="V248" s="45"/>
      <c r="W248" s="45"/>
    </row>
    <row r="249" spans="1:23" ht="11.25" customHeight="1">
      <c r="A249" s="48"/>
      <c r="B249" s="48"/>
      <c r="C249" s="45"/>
      <c r="D249" s="45"/>
      <c r="E249" s="45"/>
      <c r="F249" s="45"/>
      <c r="G249" s="45"/>
      <c r="H249" s="45"/>
      <c r="I249" s="45"/>
      <c r="J249" s="45"/>
      <c r="K249" s="45"/>
      <c r="L249" s="46"/>
      <c r="M249" s="46"/>
      <c r="N249" s="46"/>
      <c r="O249" s="46"/>
      <c r="P249" s="46"/>
      <c r="Q249" s="45"/>
      <c r="R249" s="45"/>
      <c r="S249" s="45"/>
      <c r="T249" s="45"/>
      <c r="U249" s="45"/>
      <c r="V249" s="45"/>
      <c r="W249" s="45"/>
    </row>
    <row r="250" spans="1:23" ht="11.25" customHeight="1">
      <c r="A250" s="48"/>
      <c r="B250" s="48"/>
      <c r="C250" s="45"/>
      <c r="D250" s="45"/>
      <c r="E250" s="45"/>
      <c r="F250" s="45"/>
      <c r="G250" s="45"/>
      <c r="H250" s="45"/>
      <c r="I250" s="45"/>
      <c r="J250" s="45"/>
      <c r="K250" s="45"/>
      <c r="L250" s="46"/>
      <c r="M250" s="46"/>
      <c r="N250" s="46"/>
      <c r="O250" s="46"/>
      <c r="P250" s="46"/>
      <c r="Q250" s="45"/>
      <c r="R250" s="45"/>
      <c r="S250" s="45"/>
      <c r="T250" s="45"/>
      <c r="U250" s="45"/>
      <c r="V250" s="45"/>
      <c r="W250" s="45"/>
    </row>
    <row r="251" spans="1:23" ht="11.25" customHeight="1">
      <c r="A251" s="48"/>
      <c r="B251" s="48"/>
      <c r="C251" s="45"/>
      <c r="D251" s="45"/>
      <c r="E251" s="45"/>
      <c r="F251" s="45"/>
      <c r="G251" s="45"/>
      <c r="H251" s="45"/>
      <c r="I251" s="45"/>
      <c r="J251" s="45"/>
      <c r="K251" s="45"/>
      <c r="L251" s="46"/>
      <c r="M251" s="46"/>
      <c r="N251" s="46"/>
      <c r="O251" s="46"/>
      <c r="P251" s="46"/>
      <c r="Q251" s="45"/>
      <c r="R251" s="45"/>
      <c r="S251" s="45"/>
      <c r="T251" s="45"/>
      <c r="U251" s="45"/>
      <c r="V251" s="45"/>
      <c r="W251" s="45"/>
    </row>
    <row r="252" spans="1:23" ht="11.25" customHeight="1">
      <c r="A252" s="48"/>
      <c r="B252" s="48"/>
      <c r="C252" s="45"/>
      <c r="D252" s="45"/>
      <c r="E252" s="45"/>
      <c r="F252" s="45"/>
      <c r="G252" s="45"/>
      <c r="H252" s="45"/>
      <c r="I252" s="45"/>
      <c r="J252" s="45"/>
      <c r="K252" s="45"/>
      <c r="L252" s="46"/>
      <c r="M252" s="46"/>
      <c r="N252" s="46"/>
      <c r="O252" s="46"/>
      <c r="P252" s="46"/>
      <c r="Q252" s="45"/>
      <c r="R252" s="45"/>
      <c r="S252" s="45"/>
      <c r="T252" s="45"/>
      <c r="U252" s="45"/>
      <c r="V252" s="45"/>
      <c r="W252" s="45"/>
    </row>
    <row r="253" spans="1:23" ht="11.25" customHeight="1">
      <c r="A253" s="48"/>
      <c r="B253" s="48"/>
      <c r="C253" s="45"/>
      <c r="D253" s="45"/>
      <c r="E253" s="45"/>
      <c r="F253" s="45"/>
      <c r="G253" s="45"/>
      <c r="H253" s="45"/>
      <c r="I253" s="45"/>
      <c r="J253" s="45"/>
      <c r="K253" s="45"/>
      <c r="L253" s="46"/>
      <c r="M253" s="46"/>
      <c r="N253" s="46"/>
      <c r="O253" s="46"/>
      <c r="P253" s="46"/>
      <c r="Q253" s="45"/>
      <c r="R253" s="45"/>
      <c r="S253" s="45"/>
      <c r="T253" s="45"/>
      <c r="U253" s="45"/>
      <c r="V253" s="45"/>
      <c r="W253" s="45"/>
    </row>
    <row r="254" spans="1:23" ht="11.25" customHeight="1">
      <c r="A254" s="48"/>
      <c r="B254" s="48"/>
      <c r="C254" s="45"/>
      <c r="D254" s="45"/>
      <c r="E254" s="45"/>
      <c r="F254" s="45"/>
      <c r="G254" s="45"/>
      <c r="H254" s="45"/>
      <c r="I254" s="45"/>
      <c r="J254" s="45"/>
      <c r="K254" s="45"/>
      <c r="L254" s="46"/>
      <c r="M254" s="46"/>
      <c r="N254" s="46"/>
      <c r="O254" s="46"/>
      <c r="P254" s="46"/>
      <c r="Q254" s="45"/>
      <c r="R254" s="45"/>
      <c r="S254" s="45"/>
      <c r="T254" s="45"/>
      <c r="U254" s="45"/>
      <c r="V254" s="45"/>
      <c r="W254" s="45"/>
    </row>
    <row r="255" spans="1:23" ht="11.25" customHeight="1">
      <c r="A255" s="48"/>
      <c r="B255" s="48"/>
      <c r="C255" s="45"/>
      <c r="D255" s="45"/>
      <c r="E255" s="45"/>
      <c r="F255" s="45"/>
      <c r="G255" s="45"/>
      <c r="H255" s="45"/>
      <c r="I255" s="45"/>
      <c r="J255" s="45"/>
      <c r="K255" s="45"/>
      <c r="L255" s="46"/>
      <c r="M255" s="46"/>
      <c r="N255" s="46"/>
      <c r="O255" s="46"/>
      <c r="P255" s="46"/>
      <c r="Q255" s="45"/>
      <c r="R255" s="45"/>
      <c r="S255" s="45"/>
      <c r="T255" s="45"/>
      <c r="U255" s="45"/>
      <c r="V255" s="45"/>
      <c r="W255" s="45"/>
    </row>
    <row r="256" spans="1:23" ht="11.25" customHeight="1">
      <c r="A256" s="48"/>
      <c r="B256" s="48"/>
      <c r="C256" s="45"/>
      <c r="D256" s="45"/>
      <c r="E256" s="45"/>
      <c r="F256" s="45"/>
      <c r="G256" s="45"/>
      <c r="H256" s="45"/>
      <c r="I256" s="45"/>
      <c r="J256" s="45"/>
      <c r="K256" s="45"/>
      <c r="L256" s="46"/>
      <c r="M256" s="46"/>
      <c r="N256" s="46"/>
      <c r="O256" s="46"/>
      <c r="P256" s="46"/>
      <c r="Q256" s="45"/>
      <c r="R256" s="45"/>
      <c r="S256" s="45"/>
      <c r="T256" s="45"/>
      <c r="U256" s="45"/>
      <c r="V256" s="45"/>
      <c r="W256" s="45"/>
    </row>
    <row r="257" spans="1:23" ht="11.25" customHeight="1">
      <c r="A257" s="48"/>
      <c r="B257" s="48"/>
      <c r="C257" s="45"/>
      <c r="D257" s="45"/>
      <c r="E257" s="45"/>
      <c r="F257" s="45"/>
      <c r="G257" s="45"/>
      <c r="H257" s="45"/>
      <c r="I257" s="45"/>
      <c r="J257" s="45"/>
      <c r="K257" s="45"/>
      <c r="L257" s="46"/>
      <c r="M257" s="46"/>
      <c r="N257" s="46"/>
      <c r="O257" s="46"/>
      <c r="P257" s="46"/>
      <c r="Q257" s="45"/>
      <c r="R257" s="45"/>
      <c r="S257" s="45"/>
      <c r="T257" s="45"/>
      <c r="U257" s="45"/>
      <c r="V257" s="45"/>
      <c r="W257" s="45"/>
    </row>
    <row r="258" spans="1:23" ht="11.25" customHeight="1">
      <c r="A258" s="48"/>
      <c r="B258" s="48"/>
      <c r="C258" s="45"/>
      <c r="D258" s="45"/>
      <c r="E258" s="45"/>
      <c r="F258" s="45"/>
      <c r="G258" s="45"/>
      <c r="H258" s="45"/>
      <c r="I258" s="45"/>
      <c r="J258" s="45"/>
      <c r="K258" s="45"/>
      <c r="L258" s="46"/>
      <c r="M258" s="46"/>
      <c r="N258" s="46"/>
      <c r="O258" s="46"/>
      <c r="P258" s="46"/>
      <c r="Q258" s="45"/>
      <c r="R258" s="45"/>
      <c r="S258" s="45"/>
      <c r="T258" s="45"/>
      <c r="U258" s="45"/>
      <c r="V258" s="45"/>
      <c r="W258" s="45"/>
    </row>
    <row r="259" spans="1:23" ht="11.25" customHeight="1">
      <c r="A259" s="48"/>
      <c r="B259" s="48"/>
      <c r="C259" s="45"/>
      <c r="D259" s="45"/>
      <c r="E259" s="45"/>
      <c r="F259" s="45"/>
      <c r="G259" s="45"/>
      <c r="H259" s="45"/>
      <c r="I259" s="45"/>
      <c r="J259" s="45"/>
      <c r="K259" s="45"/>
      <c r="L259" s="46"/>
      <c r="M259" s="46"/>
      <c r="N259" s="46"/>
      <c r="O259" s="46"/>
      <c r="P259" s="46"/>
      <c r="Q259" s="45"/>
      <c r="R259" s="45"/>
      <c r="S259" s="45"/>
      <c r="T259" s="45"/>
      <c r="U259" s="45"/>
      <c r="V259" s="45"/>
      <c r="W259" s="45"/>
    </row>
    <row r="260" spans="1:23" ht="11.25" customHeight="1">
      <c r="A260" s="48"/>
      <c r="B260" s="48"/>
      <c r="C260" s="45"/>
      <c r="D260" s="45"/>
      <c r="E260" s="45"/>
      <c r="F260" s="45"/>
      <c r="G260" s="45"/>
      <c r="H260" s="45"/>
      <c r="I260" s="45"/>
      <c r="J260" s="45"/>
      <c r="K260" s="45"/>
      <c r="L260" s="46"/>
      <c r="M260" s="46"/>
      <c r="N260" s="46"/>
      <c r="O260" s="46"/>
      <c r="P260" s="46"/>
      <c r="Q260" s="45"/>
      <c r="R260" s="45"/>
      <c r="S260" s="45"/>
      <c r="T260" s="45"/>
      <c r="U260" s="45"/>
      <c r="V260" s="45"/>
      <c r="W260" s="45"/>
    </row>
    <row r="261" spans="1:23" ht="11.25" customHeight="1">
      <c r="A261" s="48"/>
      <c r="B261" s="48"/>
      <c r="C261" s="45"/>
      <c r="D261" s="45"/>
      <c r="E261" s="45"/>
      <c r="F261" s="45"/>
      <c r="G261" s="45"/>
      <c r="H261" s="45"/>
      <c r="I261" s="45"/>
      <c r="J261" s="45"/>
      <c r="K261" s="45"/>
      <c r="L261" s="46"/>
      <c r="M261" s="46"/>
      <c r="N261" s="46"/>
      <c r="O261" s="46"/>
      <c r="P261" s="46"/>
      <c r="Q261" s="45"/>
      <c r="R261" s="45"/>
      <c r="S261" s="45"/>
      <c r="T261" s="45"/>
      <c r="U261" s="45"/>
      <c r="V261" s="45"/>
      <c r="W261" s="45"/>
    </row>
    <row r="262" spans="1:23" ht="11.25" customHeight="1">
      <c r="A262" s="48"/>
      <c r="B262" s="48"/>
      <c r="C262" s="45"/>
      <c r="D262" s="45"/>
      <c r="E262" s="45"/>
      <c r="F262" s="45"/>
      <c r="G262" s="45"/>
      <c r="H262" s="45"/>
      <c r="I262" s="45"/>
      <c r="J262" s="45"/>
      <c r="K262" s="45"/>
      <c r="L262" s="46"/>
      <c r="M262" s="46"/>
      <c r="N262" s="46"/>
      <c r="O262" s="46"/>
      <c r="P262" s="46"/>
      <c r="Q262" s="45"/>
      <c r="R262" s="45"/>
      <c r="S262" s="45"/>
      <c r="T262" s="45"/>
      <c r="U262" s="45"/>
      <c r="V262" s="45"/>
      <c r="W262" s="45"/>
    </row>
    <row r="263" spans="1:23" ht="11.25" customHeight="1">
      <c r="A263" s="48"/>
      <c r="B263" s="48"/>
      <c r="C263" s="45"/>
      <c r="D263" s="45"/>
      <c r="E263" s="45"/>
      <c r="F263" s="45"/>
      <c r="G263" s="45"/>
      <c r="H263" s="45"/>
      <c r="I263" s="45"/>
      <c r="J263" s="45"/>
      <c r="K263" s="45"/>
      <c r="L263" s="46"/>
      <c r="M263" s="46"/>
      <c r="N263" s="46"/>
      <c r="O263" s="46"/>
      <c r="P263" s="46"/>
      <c r="Q263" s="45"/>
      <c r="R263" s="45"/>
      <c r="S263" s="45"/>
      <c r="T263" s="45"/>
      <c r="U263" s="45"/>
      <c r="V263" s="45"/>
      <c r="W263" s="45"/>
    </row>
    <row r="264" spans="1:23" ht="11.25" customHeight="1">
      <c r="A264" s="48"/>
      <c r="B264" s="48"/>
      <c r="C264" s="45"/>
      <c r="D264" s="45"/>
      <c r="E264" s="45"/>
      <c r="F264" s="45"/>
      <c r="G264" s="45"/>
      <c r="H264" s="45"/>
      <c r="I264" s="45"/>
      <c r="J264" s="45"/>
      <c r="K264" s="45"/>
      <c r="L264" s="46"/>
      <c r="M264" s="46"/>
      <c r="N264" s="46"/>
      <c r="O264" s="46"/>
      <c r="P264" s="46"/>
      <c r="Q264" s="45"/>
      <c r="R264" s="45"/>
      <c r="S264" s="45"/>
      <c r="T264" s="45"/>
      <c r="U264" s="45"/>
      <c r="V264" s="45"/>
      <c r="W264" s="45"/>
    </row>
    <row r="265" spans="1:23" ht="11.25" customHeight="1">
      <c r="A265" s="48"/>
      <c r="B265" s="48"/>
      <c r="C265" s="45"/>
      <c r="D265" s="45"/>
      <c r="E265" s="45"/>
      <c r="F265" s="45"/>
      <c r="G265" s="45"/>
      <c r="H265" s="45"/>
      <c r="I265" s="45"/>
      <c r="J265" s="45"/>
      <c r="K265" s="45"/>
      <c r="L265" s="46"/>
      <c r="M265" s="46"/>
      <c r="N265" s="46"/>
      <c r="O265" s="46"/>
      <c r="P265" s="46"/>
      <c r="Q265" s="45"/>
      <c r="R265" s="45"/>
      <c r="S265" s="45"/>
      <c r="T265" s="45"/>
      <c r="U265" s="45"/>
      <c r="V265" s="45"/>
      <c r="W265" s="45"/>
    </row>
    <row r="266" spans="1:23" ht="11.25" customHeight="1">
      <c r="A266" s="48"/>
      <c r="B266" s="48"/>
      <c r="C266" s="45"/>
      <c r="D266" s="45"/>
      <c r="E266" s="45"/>
      <c r="F266" s="45"/>
      <c r="G266" s="45"/>
      <c r="H266" s="45"/>
      <c r="I266" s="45"/>
      <c r="J266" s="45"/>
      <c r="K266" s="45"/>
      <c r="L266" s="46"/>
      <c r="M266" s="46"/>
      <c r="N266" s="46"/>
      <c r="O266" s="46"/>
      <c r="P266" s="46"/>
      <c r="Q266" s="45"/>
      <c r="R266" s="45"/>
      <c r="S266" s="45"/>
      <c r="T266" s="45"/>
      <c r="U266" s="45"/>
      <c r="V266" s="45"/>
      <c r="W266" s="45"/>
    </row>
    <row r="267" spans="1:23" ht="11.25" customHeight="1">
      <c r="A267" s="48"/>
      <c r="B267" s="48"/>
      <c r="C267" s="45"/>
      <c r="D267" s="45"/>
      <c r="E267" s="45"/>
      <c r="F267" s="45"/>
      <c r="G267" s="45"/>
      <c r="H267" s="45"/>
      <c r="I267" s="45"/>
      <c r="J267" s="45"/>
      <c r="K267" s="45"/>
      <c r="L267" s="46"/>
      <c r="M267" s="46"/>
      <c r="N267" s="46"/>
      <c r="O267" s="46"/>
      <c r="P267" s="46"/>
      <c r="Q267" s="45"/>
      <c r="R267" s="45"/>
      <c r="S267" s="45"/>
      <c r="T267" s="45"/>
      <c r="U267" s="45"/>
      <c r="V267" s="45"/>
      <c r="W267" s="45"/>
    </row>
    <row r="268" spans="1:23" ht="11.25" customHeight="1">
      <c r="A268" s="48"/>
      <c r="B268" s="48"/>
      <c r="C268" s="45"/>
      <c r="D268" s="45"/>
      <c r="E268" s="45"/>
      <c r="F268" s="45"/>
      <c r="G268" s="45"/>
      <c r="H268" s="45"/>
      <c r="I268" s="45"/>
      <c r="J268" s="45"/>
      <c r="K268" s="45"/>
      <c r="L268" s="46"/>
      <c r="M268" s="46"/>
      <c r="N268" s="46"/>
      <c r="O268" s="46"/>
      <c r="P268" s="46"/>
      <c r="Q268" s="45"/>
      <c r="R268" s="45"/>
      <c r="S268" s="45"/>
      <c r="T268" s="45"/>
      <c r="U268" s="45"/>
      <c r="V268" s="45"/>
      <c r="W268" s="45"/>
    </row>
    <row r="269" spans="1:23" ht="11.25" customHeight="1">
      <c r="A269" s="48"/>
      <c r="B269" s="48"/>
      <c r="C269" s="45"/>
      <c r="D269" s="45"/>
      <c r="E269" s="45"/>
      <c r="F269" s="45"/>
      <c r="G269" s="45"/>
      <c r="H269" s="45"/>
      <c r="I269" s="45"/>
      <c r="J269" s="45"/>
      <c r="K269" s="45"/>
      <c r="L269" s="46"/>
      <c r="M269" s="46"/>
      <c r="N269" s="46"/>
      <c r="O269" s="46"/>
      <c r="P269" s="46"/>
      <c r="Q269" s="45"/>
      <c r="R269" s="45"/>
      <c r="S269" s="45"/>
      <c r="T269" s="45"/>
      <c r="U269" s="45"/>
      <c r="V269" s="45"/>
      <c r="W269" s="45"/>
    </row>
    <row r="270" spans="1:23" ht="11.25" customHeight="1">
      <c r="A270" s="48"/>
      <c r="B270" s="48"/>
      <c r="C270" s="45"/>
      <c r="D270" s="45"/>
      <c r="E270" s="45"/>
      <c r="F270" s="45"/>
      <c r="G270" s="45"/>
      <c r="H270" s="45"/>
      <c r="I270" s="45"/>
      <c r="J270" s="45"/>
      <c r="K270" s="45"/>
      <c r="L270" s="46"/>
      <c r="M270" s="46"/>
      <c r="N270" s="46"/>
      <c r="O270" s="46"/>
      <c r="P270" s="46"/>
      <c r="Q270" s="45"/>
      <c r="R270" s="45"/>
      <c r="S270" s="45"/>
      <c r="T270" s="45"/>
      <c r="U270" s="45"/>
      <c r="V270" s="45"/>
      <c r="W270" s="45"/>
    </row>
    <row r="271" spans="1:23" ht="11.25" customHeight="1">
      <c r="A271" s="48"/>
      <c r="B271" s="48"/>
      <c r="C271" s="45"/>
      <c r="D271" s="45"/>
      <c r="E271" s="45"/>
      <c r="F271" s="45"/>
      <c r="G271" s="45"/>
      <c r="H271" s="45"/>
      <c r="I271" s="45"/>
      <c r="J271" s="45"/>
      <c r="K271" s="45"/>
      <c r="L271" s="46"/>
      <c r="M271" s="46"/>
      <c r="N271" s="46"/>
      <c r="O271" s="46"/>
      <c r="P271" s="46"/>
      <c r="Q271" s="45"/>
      <c r="R271" s="45"/>
      <c r="S271" s="45"/>
      <c r="T271" s="45"/>
      <c r="U271" s="45"/>
      <c r="V271" s="45"/>
      <c r="W271" s="45"/>
    </row>
    <row r="272" spans="1:23" ht="11.25" customHeight="1">
      <c r="A272" s="48"/>
      <c r="B272" s="48"/>
      <c r="C272" s="45"/>
      <c r="D272" s="45"/>
      <c r="E272" s="45"/>
      <c r="F272" s="45"/>
      <c r="G272" s="45"/>
      <c r="H272" s="45"/>
      <c r="I272" s="45"/>
      <c r="J272" s="45"/>
      <c r="K272" s="45"/>
      <c r="L272" s="46"/>
      <c r="M272" s="46"/>
      <c r="N272" s="46"/>
      <c r="O272" s="46"/>
      <c r="P272" s="46"/>
      <c r="Q272" s="45"/>
      <c r="R272" s="45"/>
      <c r="S272" s="45"/>
      <c r="T272" s="45"/>
      <c r="U272" s="45"/>
      <c r="V272" s="45"/>
      <c r="W272" s="45"/>
    </row>
    <row r="273" spans="1:23" ht="11.25" customHeight="1">
      <c r="A273" s="48"/>
      <c r="B273" s="48"/>
      <c r="C273" s="45"/>
      <c r="D273" s="45"/>
      <c r="E273" s="45"/>
      <c r="F273" s="45"/>
      <c r="G273" s="45"/>
      <c r="H273" s="45"/>
      <c r="I273" s="45"/>
      <c r="J273" s="45"/>
      <c r="K273" s="45"/>
      <c r="L273" s="46"/>
      <c r="M273" s="46"/>
      <c r="N273" s="46"/>
      <c r="O273" s="46"/>
      <c r="P273" s="46"/>
      <c r="Q273" s="45"/>
      <c r="R273" s="45"/>
      <c r="S273" s="45"/>
      <c r="T273" s="45"/>
      <c r="U273" s="45"/>
      <c r="V273" s="45"/>
      <c r="W273" s="45"/>
    </row>
    <row r="274" spans="1:23" ht="11.25" customHeight="1">
      <c r="A274" s="48"/>
      <c r="B274" s="48"/>
      <c r="C274" s="45"/>
      <c r="D274" s="45"/>
      <c r="E274" s="45"/>
      <c r="F274" s="45"/>
      <c r="G274" s="45"/>
      <c r="H274" s="45"/>
      <c r="I274" s="45"/>
      <c r="J274" s="45"/>
      <c r="K274" s="45"/>
      <c r="L274" s="46"/>
      <c r="M274" s="46"/>
      <c r="N274" s="46"/>
      <c r="O274" s="46"/>
      <c r="P274" s="46"/>
      <c r="Q274" s="45"/>
      <c r="R274" s="45"/>
      <c r="S274" s="45"/>
      <c r="T274" s="45"/>
      <c r="U274" s="45"/>
      <c r="V274" s="45"/>
      <c r="W274" s="45"/>
    </row>
    <row r="275" spans="1:23" ht="11.25" customHeight="1">
      <c r="A275" s="48"/>
      <c r="B275" s="48"/>
      <c r="C275" s="45"/>
      <c r="D275" s="45"/>
      <c r="E275" s="45"/>
      <c r="F275" s="45"/>
      <c r="G275" s="45"/>
      <c r="H275" s="45"/>
      <c r="I275" s="45"/>
      <c r="J275" s="45"/>
      <c r="K275" s="45"/>
      <c r="L275" s="46"/>
      <c r="M275" s="46"/>
      <c r="N275" s="46"/>
      <c r="O275" s="46"/>
      <c r="P275" s="46"/>
      <c r="Q275" s="45"/>
      <c r="R275" s="45"/>
      <c r="S275" s="45"/>
      <c r="T275" s="45"/>
      <c r="U275" s="45"/>
      <c r="V275" s="45"/>
      <c r="W275" s="45"/>
    </row>
    <row r="276" spans="1:23" ht="11.25" customHeight="1">
      <c r="A276" s="48"/>
      <c r="B276" s="48"/>
      <c r="C276" s="45"/>
      <c r="D276" s="45"/>
      <c r="E276" s="45"/>
      <c r="F276" s="45"/>
      <c r="G276" s="45"/>
      <c r="H276" s="45"/>
      <c r="I276" s="45"/>
      <c r="J276" s="45"/>
      <c r="K276" s="45"/>
      <c r="L276" s="46"/>
      <c r="M276" s="46"/>
      <c r="N276" s="46"/>
      <c r="O276" s="46"/>
      <c r="P276" s="46"/>
      <c r="Q276" s="45"/>
      <c r="R276" s="45"/>
      <c r="S276" s="45"/>
      <c r="T276" s="45"/>
      <c r="U276" s="45"/>
      <c r="V276" s="45"/>
      <c r="W276" s="45"/>
    </row>
    <row r="277" spans="1:23" ht="11.25" customHeight="1">
      <c r="A277" s="48"/>
      <c r="B277" s="48"/>
      <c r="C277" s="45"/>
      <c r="D277" s="45"/>
      <c r="E277" s="45"/>
      <c r="F277" s="45"/>
      <c r="G277" s="45"/>
      <c r="H277" s="45"/>
      <c r="I277" s="45"/>
      <c r="J277" s="45"/>
      <c r="K277" s="45"/>
      <c r="L277" s="46"/>
      <c r="M277" s="46"/>
      <c r="N277" s="46"/>
      <c r="O277" s="46"/>
      <c r="P277" s="46"/>
      <c r="Q277" s="45"/>
      <c r="R277" s="45"/>
      <c r="S277" s="45"/>
      <c r="T277" s="45"/>
      <c r="U277" s="45"/>
      <c r="V277" s="45"/>
      <c r="W277" s="45"/>
    </row>
    <row r="278" spans="1:23" ht="11.25" customHeight="1">
      <c r="A278" s="48"/>
      <c r="B278" s="48"/>
      <c r="C278" s="45"/>
      <c r="D278" s="45"/>
      <c r="E278" s="45"/>
      <c r="F278" s="45"/>
      <c r="G278" s="45"/>
      <c r="H278" s="45"/>
      <c r="I278" s="45"/>
      <c r="J278" s="45"/>
      <c r="K278" s="45"/>
      <c r="L278" s="46"/>
      <c r="M278" s="46"/>
      <c r="N278" s="46"/>
      <c r="O278" s="46"/>
      <c r="P278" s="46"/>
      <c r="Q278" s="45"/>
      <c r="R278" s="45"/>
      <c r="S278" s="45"/>
      <c r="T278" s="45"/>
      <c r="U278" s="45"/>
      <c r="V278" s="45"/>
      <c r="W278" s="45"/>
    </row>
    <row r="279" spans="1:23" ht="11.25" customHeight="1">
      <c r="A279" s="48"/>
      <c r="B279" s="48"/>
      <c r="C279" s="45"/>
      <c r="D279" s="45"/>
      <c r="E279" s="45"/>
      <c r="F279" s="45"/>
      <c r="G279" s="45"/>
      <c r="H279" s="45"/>
      <c r="I279" s="45"/>
      <c r="J279" s="45"/>
      <c r="K279" s="45"/>
      <c r="L279" s="46"/>
      <c r="M279" s="46"/>
      <c r="N279" s="46"/>
      <c r="O279" s="46"/>
      <c r="P279" s="46"/>
      <c r="Q279" s="45"/>
      <c r="R279" s="45"/>
      <c r="S279" s="45"/>
      <c r="T279" s="45"/>
      <c r="U279" s="45"/>
      <c r="V279" s="45"/>
      <c r="W279" s="45"/>
    </row>
    <row r="280" spans="1:23" ht="11.25" customHeight="1">
      <c r="A280" s="48"/>
      <c r="B280" s="48"/>
      <c r="C280" s="45"/>
      <c r="D280" s="45"/>
      <c r="E280" s="45"/>
      <c r="F280" s="45"/>
      <c r="G280" s="45"/>
      <c r="H280" s="45"/>
      <c r="I280" s="45"/>
      <c r="J280" s="45"/>
      <c r="K280" s="45"/>
      <c r="L280" s="46"/>
      <c r="M280" s="46"/>
      <c r="N280" s="46"/>
      <c r="O280" s="46"/>
      <c r="P280" s="46"/>
      <c r="Q280" s="45"/>
      <c r="R280" s="45"/>
      <c r="S280" s="45"/>
      <c r="T280" s="45"/>
      <c r="U280" s="45"/>
      <c r="V280" s="45"/>
      <c r="W280" s="45"/>
    </row>
    <row r="281" spans="1:23" ht="11.25" customHeight="1">
      <c r="A281" s="48"/>
      <c r="B281" s="48"/>
      <c r="C281" s="45"/>
      <c r="D281" s="45"/>
      <c r="E281" s="45"/>
      <c r="F281" s="45"/>
      <c r="G281" s="45"/>
      <c r="H281" s="45"/>
      <c r="I281" s="45"/>
      <c r="J281" s="45"/>
      <c r="K281" s="45"/>
      <c r="L281" s="46"/>
      <c r="M281" s="46"/>
      <c r="N281" s="46"/>
      <c r="O281" s="46"/>
      <c r="P281" s="46"/>
      <c r="Q281" s="45"/>
      <c r="R281" s="45"/>
      <c r="S281" s="45"/>
      <c r="T281" s="45"/>
      <c r="U281" s="45"/>
      <c r="V281" s="45"/>
      <c r="W281" s="45"/>
    </row>
    <row r="282" spans="1:23" ht="11.25" customHeight="1">
      <c r="A282" s="48"/>
      <c r="B282" s="48"/>
      <c r="C282" s="45"/>
      <c r="D282" s="45"/>
      <c r="E282" s="45"/>
      <c r="F282" s="45"/>
      <c r="G282" s="45"/>
      <c r="H282" s="45"/>
      <c r="I282" s="45"/>
      <c r="J282" s="45"/>
      <c r="K282" s="45"/>
      <c r="L282" s="46"/>
      <c r="M282" s="46"/>
      <c r="N282" s="46"/>
      <c r="O282" s="46"/>
      <c r="P282" s="46"/>
      <c r="Q282" s="45"/>
      <c r="R282" s="45"/>
      <c r="S282" s="45"/>
      <c r="T282" s="45"/>
      <c r="U282" s="45"/>
      <c r="V282" s="45"/>
      <c r="W282" s="45"/>
    </row>
    <row r="283" spans="1:23" ht="11.25" customHeight="1">
      <c r="A283" s="48"/>
      <c r="B283" s="48"/>
      <c r="C283" s="45"/>
      <c r="D283" s="45"/>
      <c r="E283" s="45"/>
      <c r="F283" s="45"/>
      <c r="G283" s="45"/>
      <c r="H283" s="45"/>
      <c r="I283" s="45"/>
      <c r="J283" s="45"/>
      <c r="K283" s="45"/>
      <c r="L283" s="46"/>
      <c r="M283" s="46"/>
      <c r="N283" s="46"/>
      <c r="O283" s="46"/>
      <c r="P283" s="46"/>
      <c r="Q283" s="45"/>
      <c r="R283" s="45"/>
      <c r="S283" s="45"/>
      <c r="T283" s="45"/>
      <c r="U283" s="45"/>
      <c r="V283" s="45"/>
      <c r="W283" s="45"/>
    </row>
    <row r="284" spans="1:23" ht="11.25" customHeight="1">
      <c r="A284" s="48"/>
      <c r="B284" s="48"/>
      <c r="C284" s="45"/>
      <c r="D284" s="45"/>
      <c r="E284" s="45"/>
      <c r="F284" s="45"/>
      <c r="G284" s="45"/>
      <c r="H284" s="45"/>
      <c r="I284" s="45"/>
      <c r="J284" s="45"/>
      <c r="K284" s="45"/>
      <c r="L284" s="46"/>
      <c r="M284" s="46"/>
      <c r="N284" s="46"/>
      <c r="O284" s="46"/>
      <c r="P284" s="46"/>
      <c r="Q284" s="45"/>
      <c r="R284" s="45"/>
      <c r="S284" s="45"/>
      <c r="T284" s="45"/>
      <c r="U284" s="45"/>
      <c r="V284" s="45"/>
      <c r="W284" s="45"/>
    </row>
    <row r="285" spans="1:23" ht="11.25" customHeight="1">
      <c r="A285" s="48"/>
      <c r="B285" s="48"/>
      <c r="C285" s="45"/>
      <c r="D285" s="45"/>
      <c r="E285" s="45"/>
      <c r="F285" s="45"/>
      <c r="G285" s="45"/>
      <c r="H285" s="45"/>
      <c r="I285" s="45"/>
      <c r="J285" s="45"/>
      <c r="K285" s="45"/>
      <c r="L285" s="46"/>
      <c r="M285" s="46"/>
      <c r="N285" s="46"/>
      <c r="O285" s="46"/>
      <c r="P285" s="46"/>
      <c r="Q285" s="45"/>
      <c r="R285" s="45"/>
      <c r="S285" s="45"/>
      <c r="T285" s="45"/>
      <c r="U285" s="45"/>
      <c r="V285" s="45"/>
      <c r="W285" s="45"/>
    </row>
    <row r="286" spans="1:23" ht="11.25" customHeight="1">
      <c r="A286" s="48"/>
      <c r="B286" s="48"/>
      <c r="C286" s="45"/>
      <c r="D286" s="45"/>
      <c r="E286" s="45"/>
      <c r="F286" s="45"/>
      <c r="G286" s="45"/>
      <c r="H286" s="45"/>
      <c r="I286" s="45"/>
      <c r="J286" s="45"/>
      <c r="K286" s="45"/>
      <c r="L286" s="46"/>
      <c r="M286" s="46"/>
      <c r="N286" s="46"/>
      <c r="O286" s="46"/>
      <c r="P286" s="46"/>
      <c r="Q286" s="45"/>
      <c r="R286" s="45"/>
      <c r="S286" s="45"/>
      <c r="T286" s="45"/>
      <c r="U286" s="45"/>
      <c r="V286" s="45"/>
      <c r="W286" s="45"/>
    </row>
    <row r="287" spans="1:23" ht="11.25" customHeight="1">
      <c r="A287" s="48"/>
      <c r="B287" s="48"/>
      <c r="C287" s="45"/>
      <c r="D287" s="45"/>
      <c r="E287" s="45"/>
      <c r="F287" s="45"/>
      <c r="G287" s="45"/>
      <c r="H287" s="45"/>
      <c r="I287" s="45"/>
      <c r="J287" s="45"/>
      <c r="K287" s="45"/>
      <c r="L287" s="46"/>
      <c r="M287" s="46"/>
      <c r="N287" s="46"/>
      <c r="O287" s="46"/>
      <c r="P287" s="46"/>
      <c r="Q287" s="45"/>
      <c r="R287" s="45"/>
      <c r="S287" s="45"/>
      <c r="T287" s="45"/>
      <c r="U287" s="45"/>
      <c r="V287" s="45"/>
      <c r="W287" s="45"/>
    </row>
    <row r="288" spans="1:23" ht="11.25" customHeight="1">
      <c r="A288" s="48"/>
      <c r="B288" s="48"/>
      <c r="C288" s="45"/>
      <c r="D288" s="45"/>
      <c r="E288" s="45"/>
      <c r="F288" s="45"/>
      <c r="G288" s="45"/>
      <c r="H288" s="45"/>
      <c r="I288" s="45"/>
      <c r="J288" s="45"/>
      <c r="K288" s="45"/>
      <c r="L288" s="46"/>
      <c r="M288" s="46"/>
      <c r="N288" s="46"/>
      <c r="O288" s="46"/>
      <c r="P288" s="46"/>
      <c r="Q288" s="45"/>
      <c r="R288" s="45"/>
      <c r="S288" s="45"/>
      <c r="T288" s="45"/>
      <c r="U288" s="45"/>
      <c r="V288" s="45"/>
      <c r="W288" s="45"/>
    </row>
    <row r="289" spans="1:23" ht="11.25" customHeight="1">
      <c r="A289" s="48"/>
      <c r="B289" s="48"/>
      <c r="C289" s="45"/>
      <c r="D289" s="45"/>
      <c r="E289" s="45"/>
      <c r="F289" s="45"/>
      <c r="G289" s="45"/>
      <c r="H289" s="45"/>
      <c r="I289" s="45"/>
      <c r="J289" s="45"/>
      <c r="K289" s="45"/>
      <c r="L289" s="46"/>
      <c r="M289" s="46"/>
      <c r="N289" s="46"/>
      <c r="O289" s="46"/>
      <c r="P289" s="46"/>
      <c r="Q289" s="45"/>
      <c r="R289" s="45"/>
      <c r="S289" s="45"/>
      <c r="T289" s="45"/>
      <c r="U289" s="45"/>
      <c r="V289" s="45"/>
      <c r="W289" s="45"/>
    </row>
    <row r="290" spans="1:23" ht="11.25" customHeight="1">
      <c r="A290" s="48"/>
      <c r="B290" s="48"/>
      <c r="C290" s="45"/>
      <c r="D290" s="45"/>
      <c r="E290" s="45"/>
      <c r="F290" s="45"/>
      <c r="G290" s="45"/>
      <c r="H290" s="45"/>
      <c r="I290" s="45"/>
      <c r="J290" s="45"/>
      <c r="K290" s="45"/>
      <c r="L290" s="46"/>
      <c r="M290" s="46"/>
      <c r="N290" s="46"/>
      <c r="O290" s="46"/>
      <c r="P290" s="46"/>
      <c r="Q290" s="45"/>
      <c r="R290" s="45"/>
      <c r="S290" s="45"/>
      <c r="T290" s="45"/>
      <c r="U290" s="45"/>
      <c r="V290" s="45"/>
      <c r="W290" s="45"/>
    </row>
    <row r="291" spans="1:23" ht="11.25" customHeight="1">
      <c r="A291" s="48"/>
      <c r="B291" s="48"/>
      <c r="C291" s="45"/>
      <c r="D291" s="45"/>
      <c r="E291" s="45"/>
      <c r="F291" s="45"/>
      <c r="G291" s="45"/>
      <c r="H291" s="45"/>
      <c r="I291" s="45"/>
      <c r="J291" s="45"/>
      <c r="K291" s="45"/>
      <c r="L291" s="46"/>
      <c r="M291" s="46"/>
      <c r="N291" s="46"/>
      <c r="O291" s="46"/>
      <c r="P291" s="46"/>
      <c r="Q291" s="45"/>
      <c r="R291" s="45"/>
      <c r="S291" s="45"/>
      <c r="T291" s="45"/>
      <c r="U291" s="45"/>
      <c r="V291" s="45"/>
      <c r="W291" s="45"/>
    </row>
    <row r="292" spans="1:23" ht="11.25" customHeight="1">
      <c r="A292" s="48"/>
      <c r="B292" s="48"/>
      <c r="C292" s="45"/>
      <c r="D292" s="45"/>
      <c r="E292" s="45"/>
      <c r="F292" s="45"/>
      <c r="G292" s="45"/>
      <c r="H292" s="45"/>
      <c r="I292" s="45"/>
      <c r="J292" s="45"/>
      <c r="K292" s="45"/>
      <c r="L292" s="46"/>
      <c r="M292" s="46"/>
      <c r="N292" s="46"/>
      <c r="O292" s="46"/>
      <c r="P292" s="46"/>
      <c r="Q292" s="45"/>
      <c r="R292" s="45"/>
      <c r="S292" s="45"/>
      <c r="T292" s="45"/>
      <c r="U292" s="45"/>
      <c r="V292" s="45"/>
      <c r="W292" s="45"/>
    </row>
    <row r="293" spans="1:23" ht="11.25" customHeight="1">
      <c r="A293" s="48"/>
      <c r="B293" s="48"/>
      <c r="C293" s="45"/>
      <c r="D293" s="45"/>
      <c r="E293" s="45"/>
      <c r="F293" s="45"/>
      <c r="G293" s="45"/>
      <c r="H293" s="45"/>
      <c r="I293" s="45"/>
      <c r="J293" s="45"/>
      <c r="K293" s="45"/>
      <c r="L293" s="46"/>
      <c r="M293" s="46"/>
      <c r="N293" s="46"/>
      <c r="O293" s="46"/>
      <c r="P293" s="46"/>
      <c r="Q293" s="45"/>
      <c r="R293" s="45"/>
      <c r="S293" s="45"/>
      <c r="T293" s="45"/>
      <c r="U293" s="45"/>
      <c r="V293" s="45"/>
      <c r="W293" s="45"/>
    </row>
    <row r="294" spans="1:23" ht="11.25" customHeight="1">
      <c r="A294" s="48"/>
      <c r="B294" s="48"/>
      <c r="C294" s="45"/>
      <c r="D294" s="45"/>
      <c r="E294" s="45"/>
      <c r="F294" s="45"/>
      <c r="G294" s="45"/>
      <c r="H294" s="45"/>
      <c r="I294" s="45"/>
      <c r="J294" s="45"/>
      <c r="K294" s="45"/>
      <c r="L294" s="46"/>
      <c r="M294" s="46"/>
      <c r="N294" s="46"/>
      <c r="O294" s="46"/>
      <c r="P294" s="46"/>
      <c r="Q294" s="45"/>
      <c r="R294" s="45"/>
      <c r="S294" s="45"/>
      <c r="T294" s="45"/>
      <c r="U294" s="45"/>
      <c r="V294" s="45"/>
      <c r="W294" s="45"/>
    </row>
    <row r="295" spans="1:23" ht="11.25" customHeight="1">
      <c r="A295" s="48"/>
      <c r="B295" s="48"/>
      <c r="C295" s="45"/>
      <c r="D295" s="45"/>
      <c r="E295" s="45"/>
      <c r="F295" s="45"/>
      <c r="G295" s="45"/>
      <c r="H295" s="45"/>
      <c r="I295" s="45"/>
      <c r="J295" s="45"/>
      <c r="K295" s="45"/>
      <c r="L295" s="46"/>
      <c r="M295" s="46"/>
      <c r="N295" s="46"/>
      <c r="O295" s="46"/>
      <c r="P295" s="46"/>
      <c r="Q295" s="45"/>
      <c r="R295" s="45"/>
      <c r="S295" s="45"/>
      <c r="T295" s="45"/>
      <c r="U295" s="45"/>
      <c r="V295" s="45"/>
      <c r="W295" s="45"/>
    </row>
    <row r="296" spans="1:23" ht="11.25" customHeight="1">
      <c r="A296" s="48"/>
      <c r="B296" s="48"/>
      <c r="C296" s="45"/>
      <c r="D296" s="45"/>
      <c r="E296" s="45"/>
      <c r="F296" s="45"/>
      <c r="G296" s="45"/>
      <c r="H296" s="45"/>
      <c r="I296" s="45"/>
      <c r="J296" s="45"/>
      <c r="K296" s="45"/>
      <c r="L296" s="46"/>
      <c r="M296" s="46"/>
      <c r="N296" s="46"/>
      <c r="O296" s="46"/>
      <c r="P296" s="46"/>
      <c r="Q296" s="45"/>
      <c r="R296" s="45"/>
      <c r="S296" s="45"/>
      <c r="T296" s="45"/>
      <c r="U296" s="45"/>
      <c r="V296" s="45"/>
      <c r="W296" s="45"/>
    </row>
    <row r="297" spans="1:23" ht="11.25" customHeight="1">
      <c r="A297" s="48"/>
      <c r="B297" s="48"/>
      <c r="C297" s="45"/>
      <c r="D297" s="45"/>
      <c r="E297" s="45"/>
      <c r="F297" s="45"/>
      <c r="G297" s="45"/>
      <c r="H297" s="45"/>
      <c r="I297" s="45"/>
      <c r="J297" s="45"/>
      <c r="K297" s="45"/>
      <c r="L297" s="46"/>
      <c r="M297" s="46"/>
      <c r="N297" s="46"/>
      <c r="O297" s="46"/>
      <c r="P297" s="46"/>
      <c r="Q297" s="45"/>
      <c r="R297" s="45"/>
      <c r="S297" s="45"/>
      <c r="T297" s="45"/>
      <c r="U297" s="45"/>
      <c r="V297" s="45"/>
      <c r="W297" s="45"/>
    </row>
    <row r="298" spans="1:23" ht="11.25" customHeight="1">
      <c r="A298" s="48"/>
      <c r="B298" s="48"/>
      <c r="C298" s="45"/>
      <c r="D298" s="45"/>
      <c r="E298" s="45"/>
      <c r="F298" s="45"/>
      <c r="G298" s="45"/>
      <c r="H298" s="45"/>
      <c r="I298" s="45"/>
      <c r="J298" s="45"/>
      <c r="K298" s="45"/>
      <c r="L298" s="46"/>
      <c r="M298" s="46"/>
      <c r="N298" s="46"/>
      <c r="O298" s="46"/>
      <c r="P298" s="46"/>
      <c r="Q298" s="45"/>
      <c r="R298" s="45"/>
      <c r="S298" s="45"/>
      <c r="T298" s="45"/>
      <c r="U298" s="45"/>
      <c r="V298" s="45"/>
      <c r="W298" s="45"/>
    </row>
    <row r="299" spans="1:23" ht="11.25" customHeight="1">
      <c r="A299" s="48"/>
      <c r="B299" s="48"/>
      <c r="C299" s="45"/>
      <c r="D299" s="45"/>
      <c r="E299" s="45"/>
      <c r="F299" s="45"/>
      <c r="G299" s="45"/>
      <c r="H299" s="45"/>
      <c r="I299" s="45"/>
      <c r="J299" s="45"/>
      <c r="K299" s="45"/>
      <c r="L299" s="46"/>
      <c r="M299" s="46"/>
      <c r="N299" s="46"/>
      <c r="O299" s="46"/>
      <c r="P299" s="46"/>
      <c r="Q299" s="45"/>
      <c r="R299" s="45"/>
      <c r="S299" s="45"/>
      <c r="T299" s="45"/>
      <c r="U299" s="45"/>
      <c r="V299" s="45"/>
      <c r="W299" s="45"/>
    </row>
    <row r="300" spans="1:23" ht="11.25" customHeight="1">
      <c r="A300" s="48"/>
      <c r="B300" s="48"/>
      <c r="C300" s="45"/>
      <c r="D300" s="45"/>
      <c r="E300" s="45"/>
      <c r="F300" s="45"/>
      <c r="G300" s="45"/>
      <c r="H300" s="45"/>
      <c r="I300" s="45"/>
      <c r="J300" s="45"/>
      <c r="K300" s="45"/>
      <c r="L300" s="46"/>
      <c r="M300" s="46"/>
      <c r="N300" s="46"/>
      <c r="O300" s="46"/>
      <c r="P300" s="46"/>
      <c r="Q300" s="45"/>
      <c r="R300" s="45"/>
      <c r="S300" s="45"/>
      <c r="T300" s="45"/>
      <c r="U300" s="45"/>
      <c r="V300" s="45"/>
      <c r="W300" s="45"/>
    </row>
    <row r="301" spans="1:23" ht="11.25" customHeight="1">
      <c r="A301" s="48"/>
      <c r="B301" s="48"/>
      <c r="C301" s="45"/>
      <c r="D301" s="45"/>
      <c r="E301" s="45"/>
      <c r="F301" s="45"/>
      <c r="G301" s="45"/>
      <c r="H301" s="45"/>
      <c r="I301" s="45"/>
      <c r="J301" s="45"/>
      <c r="K301" s="45"/>
      <c r="L301" s="46"/>
      <c r="M301" s="46"/>
      <c r="N301" s="46"/>
      <c r="O301" s="46"/>
      <c r="P301" s="46"/>
      <c r="Q301" s="45"/>
      <c r="R301" s="45"/>
      <c r="S301" s="45"/>
      <c r="T301" s="45"/>
      <c r="U301" s="45"/>
      <c r="V301" s="45"/>
      <c r="W301" s="45"/>
    </row>
    <row r="302" spans="1:23" ht="11.25" customHeight="1">
      <c r="A302" s="48"/>
      <c r="B302" s="48"/>
      <c r="C302" s="45"/>
      <c r="D302" s="45"/>
      <c r="E302" s="45"/>
      <c r="F302" s="45"/>
      <c r="G302" s="45"/>
      <c r="H302" s="45"/>
      <c r="I302" s="45"/>
      <c r="J302" s="45"/>
      <c r="K302" s="45"/>
      <c r="L302" s="46"/>
      <c r="M302" s="46"/>
      <c r="N302" s="46"/>
      <c r="O302" s="46"/>
      <c r="P302" s="46"/>
      <c r="Q302" s="45"/>
      <c r="R302" s="45"/>
      <c r="S302" s="45"/>
      <c r="T302" s="45"/>
      <c r="U302" s="45"/>
      <c r="V302" s="45"/>
      <c r="W302" s="45"/>
    </row>
    <row r="303" spans="1:23" ht="11.25" customHeight="1">
      <c r="A303" s="48"/>
      <c r="B303" s="48"/>
      <c r="C303" s="45"/>
      <c r="D303" s="45"/>
      <c r="E303" s="45"/>
      <c r="F303" s="45"/>
      <c r="G303" s="45"/>
      <c r="H303" s="45"/>
      <c r="I303" s="45"/>
      <c r="J303" s="45"/>
      <c r="K303" s="45"/>
      <c r="L303" s="46"/>
      <c r="M303" s="46"/>
      <c r="N303" s="46"/>
      <c r="O303" s="46"/>
      <c r="P303" s="46"/>
      <c r="Q303" s="45"/>
      <c r="R303" s="45"/>
      <c r="S303" s="45"/>
      <c r="T303" s="45"/>
      <c r="U303" s="45"/>
      <c r="V303" s="45"/>
      <c r="W303" s="45"/>
    </row>
    <row r="304" spans="1:23" ht="11.25" customHeight="1">
      <c r="A304" s="48"/>
      <c r="B304" s="48"/>
      <c r="C304" s="45"/>
      <c r="D304" s="45"/>
      <c r="E304" s="45"/>
      <c r="F304" s="45"/>
      <c r="G304" s="45"/>
      <c r="H304" s="45"/>
      <c r="I304" s="45"/>
      <c r="J304" s="45"/>
      <c r="K304" s="45"/>
      <c r="L304" s="46"/>
      <c r="M304" s="46"/>
      <c r="N304" s="46"/>
      <c r="O304" s="46"/>
      <c r="P304" s="46"/>
      <c r="Q304" s="45"/>
      <c r="R304" s="45"/>
      <c r="S304" s="45"/>
      <c r="T304" s="45"/>
      <c r="U304" s="45"/>
      <c r="V304" s="45"/>
      <c r="W304" s="45"/>
    </row>
    <row r="305" spans="1:23" ht="11.25" customHeight="1">
      <c r="A305" s="48"/>
      <c r="B305" s="48"/>
      <c r="C305" s="45"/>
      <c r="D305" s="45"/>
      <c r="E305" s="45"/>
      <c r="F305" s="45"/>
      <c r="G305" s="45"/>
      <c r="H305" s="45"/>
      <c r="I305" s="45"/>
      <c r="J305" s="45"/>
      <c r="K305" s="45"/>
      <c r="L305" s="46"/>
      <c r="M305" s="46"/>
      <c r="N305" s="46"/>
      <c r="O305" s="46"/>
      <c r="P305" s="46"/>
      <c r="Q305" s="45"/>
      <c r="R305" s="45"/>
      <c r="S305" s="45"/>
      <c r="T305" s="45"/>
      <c r="U305" s="45"/>
      <c r="V305" s="45"/>
      <c r="W305" s="45"/>
    </row>
    <row r="306" spans="1:23" ht="11.25" customHeight="1">
      <c r="A306" s="48"/>
      <c r="B306" s="48"/>
      <c r="C306" s="45"/>
      <c r="D306" s="45"/>
      <c r="E306" s="45"/>
      <c r="F306" s="45"/>
      <c r="G306" s="45"/>
      <c r="H306" s="45"/>
      <c r="I306" s="45"/>
      <c r="J306" s="45"/>
      <c r="K306" s="45"/>
      <c r="L306" s="46"/>
      <c r="M306" s="46"/>
      <c r="N306" s="46"/>
      <c r="O306" s="46"/>
      <c r="P306" s="46"/>
      <c r="Q306" s="45"/>
      <c r="R306" s="45"/>
      <c r="S306" s="45"/>
      <c r="T306" s="45"/>
      <c r="U306" s="45"/>
      <c r="V306" s="45"/>
      <c r="W306" s="45"/>
    </row>
    <row r="307" spans="1:23" ht="11.25" customHeight="1">
      <c r="A307" s="48"/>
      <c r="B307" s="48"/>
      <c r="C307" s="45"/>
      <c r="D307" s="45"/>
      <c r="E307" s="45"/>
      <c r="F307" s="45"/>
      <c r="G307" s="45"/>
      <c r="H307" s="45"/>
      <c r="I307" s="45"/>
      <c r="J307" s="45"/>
      <c r="K307" s="45"/>
      <c r="L307" s="46"/>
      <c r="M307" s="46"/>
      <c r="N307" s="46"/>
      <c r="O307" s="46"/>
      <c r="P307" s="46"/>
      <c r="Q307" s="45"/>
      <c r="R307" s="45"/>
      <c r="S307" s="45"/>
      <c r="T307" s="45"/>
      <c r="U307" s="45"/>
      <c r="V307" s="45"/>
      <c r="W307" s="45"/>
    </row>
    <row r="308" spans="1:23" ht="11.25" customHeight="1">
      <c r="A308" s="48"/>
      <c r="B308" s="48"/>
      <c r="C308" s="45"/>
      <c r="D308" s="45"/>
      <c r="E308" s="45"/>
      <c r="F308" s="45"/>
      <c r="G308" s="45"/>
      <c r="H308" s="45"/>
      <c r="I308" s="45"/>
      <c r="J308" s="45"/>
      <c r="K308" s="45"/>
      <c r="L308" s="46"/>
      <c r="M308" s="46"/>
      <c r="N308" s="46"/>
      <c r="O308" s="46"/>
      <c r="P308" s="46"/>
      <c r="Q308" s="45"/>
      <c r="R308" s="45"/>
      <c r="S308" s="45"/>
      <c r="T308" s="45"/>
      <c r="U308" s="45"/>
      <c r="V308" s="45"/>
      <c r="W308" s="45"/>
    </row>
    <row r="309" spans="1:23" ht="11.25" customHeight="1">
      <c r="A309" s="48"/>
      <c r="B309" s="48"/>
      <c r="C309" s="45"/>
      <c r="D309" s="45"/>
      <c r="E309" s="45"/>
      <c r="F309" s="45"/>
      <c r="G309" s="45"/>
      <c r="H309" s="45"/>
      <c r="I309" s="45"/>
      <c r="J309" s="45"/>
      <c r="K309" s="45"/>
      <c r="L309" s="46"/>
      <c r="M309" s="46"/>
      <c r="N309" s="46"/>
      <c r="O309" s="46"/>
      <c r="P309" s="46"/>
      <c r="Q309" s="45"/>
      <c r="R309" s="45"/>
      <c r="S309" s="45"/>
      <c r="T309" s="45"/>
      <c r="U309" s="45"/>
      <c r="V309" s="45"/>
      <c r="W309" s="45"/>
    </row>
    <row r="310" spans="1:23" ht="11.25" customHeight="1">
      <c r="A310" s="48"/>
      <c r="B310" s="48"/>
      <c r="C310" s="45"/>
      <c r="D310" s="45"/>
      <c r="E310" s="45"/>
      <c r="F310" s="45"/>
      <c r="G310" s="45"/>
      <c r="H310" s="45"/>
      <c r="I310" s="45"/>
      <c r="J310" s="45"/>
      <c r="K310" s="45"/>
      <c r="L310" s="46"/>
      <c r="M310" s="46"/>
      <c r="N310" s="46"/>
      <c r="O310" s="46"/>
      <c r="P310" s="46"/>
      <c r="Q310" s="45"/>
      <c r="R310" s="45"/>
      <c r="S310" s="45"/>
      <c r="T310" s="45"/>
      <c r="U310" s="45"/>
      <c r="V310" s="45"/>
      <c r="W310" s="45"/>
    </row>
    <row r="311" spans="1:23" ht="11.25" customHeight="1">
      <c r="A311" s="48"/>
      <c r="B311" s="48"/>
      <c r="C311" s="45"/>
      <c r="D311" s="45"/>
      <c r="E311" s="45"/>
      <c r="F311" s="45"/>
      <c r="G311" s="45"/>
      <c r="H311" s="45"/>
      <c r="I311" s="45"/>
      <c r="J311" s="45"/>
      <c r="K311" s="45"/>
      <c r="L311" s="46"/>
      <c r="M311" s="46"/>
      <c r="N311" s="46"/>
      <c r="O311" s="46"/>
      <c r="P311" s="46"/>
      <c r="Q311" s="45"/>
      <c r="R311" s="45"/>
      <c r="S311" s="45"/>
      <c r="T311" s="45"/>
      <c r="U311" s="45"/>
      <c r="V311" s="45"/>
      <c r="W311" s="45"/>
    </row>
    <row r="312" spans="1:23" ht="11.25" customHeight="1">
      <c r="A312" s="48"/>
      <c r="B312" s="48"/>
      <c r="C312" s="45"/>
      <c r="D312" s="45"/>
      <c r="E312" s="45"/>
      <c r="F312" s="45"/>
      <c r="G312" s="45"/>
      <c r="H312" s="45"/>
      <c r="I312" s="45"/>
      <c r="J312" s="45"/>
      <c r="K312" s="45"/>
      <c r="L312" s="46"/>
      <c r="M312" s="46"/>
      <c r="N312" s="46"/>
      <c r="O312" s="46"/>
      <c r="P312" s="46"/>
      <c r="Q312" s="45"/>
      <c r="R312" s="45"/>
      <c r="S312" s="45"/>
      <c r="T312" s="45"/>
      <c r="U312" s="45"/>
      <c r="V312" s="45"/>
      <c r="W312" s="45"/>
    </row>
    <row r="313" spans="1:23" ht="11.25" customHeight="1">
      <c r="A313" s="48"/>
      <c r="B313" s="48"/>
      <c r="C313" s="45"/>
      <c r="D313" s="45"/>
      <c r="E313" s="45"/>
      <c r="F313" s="45"/>
      <c r="G313" s="45"/>
      <c r="H313" s="45"/>
      <c r="I313" s="45"/>
      <c r="J313" s="45"/>
      <c r="K313" s="45"/>
      <c r="L313" s="46"/>
      <c r="M313" s="46"/>
      <c r="N313" s="46"/>
      <c r="O313" s="46"/>
      <c r="P313" s="46"/>
      <c r="Q313" s="45"/>
      <c r="R313" s="45"/>
      <c r="S313" s="45"/>
      <c r="T313" s="45"/>
      <c r="U313" s="45"/>
      <c r="V313" s="45"/>
      <c r="W313" s="45"/>
    </row>
    <row r="314" spans="1:23" ht="11.25" customHeight="1">
      <c r="A314" s="48"/>
      <c r="B314" s="48"/>
      <c r="C314" s="45"/>
      <c r="D314" s="45"/>
      <c r="E314" s="45"/>
      <c r="F314" s="45"/>
      <c r="G314" s="45"/>
      <c r="H314" s="45"/>
      <c r="I314" s="45"/>
      <c r="J314" s="45"/>
      <c r="K314" s="45"/>
      <c r="L314" s="46"/>
      <c r="M314" s="46"/>
      <c r="N314" s="46"/>
      <c r="O314" s="46"/>
      <c r="P314" s="46"/>
      <c r="Q314" s="45"/>
      <c r="R314" s="45"/>
      <c r="S314" s="45"/>
      <c r="T314" s="45"/>
      <c r="U314" s="45"/>
      <c r="V314" s="45"/>
      <c r="W314" s="45"/>
    </row>
    <row r="315" spans="1:23" ht="11.25" customHeight="1">
      <c r="A315" s="48"/>
      <c r="B315" s="48"/>
      <c r="C315" s="45"/>
      <c r="D315" s="45"/>
      <c r="E315" s="45"/>
      <c r="F315" s="45"/>
      <c r="G315" s="45"/>
      <c r="H315" s="45"/>
      <c r="I315" s="45"/>
      <c r="J315" s="45"/>
      <c r="K315" s="45"/>
      <c r="L315" s="46"/>
      <c r="M315" s="46"/>
      <c r="N315" s="46"/>
      <c r="O315" s="46"/>
      <c r="P315" s="46"/>
      <c r="Q315" s="45"/>
      <c r="R315" s="45"/>
      <c r="S315" s="45"/>
      <c r="T315" s="45"/>
      <c r="U315" s="45"/>
      <c r="V315" s="45"/>
      <c r="W315" s="45"/>
    </row>
    <row r="316" spans="1:23" ht="11.25" customHeight="1">
      <c r="A316" s="48"/>
      <c r="B316" s="48"/>
      <c r="C316" s="45"/>
      <c r="D316" s="45"/>
      <c r="E316" s="45"/>
      <c r="F316" s="45"/>
      <c r="G316" s="45"/>
      <c r="H316" s="45"/>
      <c r="I316" s="45"/>
      <c r="J316" s="45"/>
      <c r="K316" s="45"/>
      <c r="L316" s="46"/>
      <c r="M316" s="46"/>
      <c r="N316" s="46"/>
      <c r="O316" s="46"/>
      <c r="P316" s="46"/>
      <c r="Q316" s="45"/>
      <c r="R316" s="45"/>
      <c r="S316" s="45"/>
      <c r="T316" s="45"/>
      <c r="U316" s="45"/>
      <c r="V316" s="45"/>
      <c r="W316" s="45"/>
    </row>
    <row r="317" spans="1:23" ht="11.25" customHeight="1">
      <c r="A317" s="48"/>
      <c r="B317" s="48"/>
      <c r="C317" s="45"/>
      <c r="D317" s="45"/>
      <c r="E317" s="45"/>
      <c r="F317" s="45"/>
      <c r="G317" s="45"/>
      <c r="H317" s="45"/>
      <c r="I317" s="45"/>
      <c r="J317" s="45"/>
      <c r="K317" s="45"/>
      <c r="L317" s="46"/>
      <c r="M317" s="46"/>
      <c r="N317" s="46"/>
      <c r="O317" s="46"/>
      <c r="P317" s="46"/>
      <c r="Q317" s="45"/>
      <c r="R317" s="45"/>
      <c r="S317" s="45"/>
      <c r="T317" s="45"/>
      <c r="U317" s="45"/>
      <c r="V317" s="45"/>
      <c r="W317" s="45"/>
    </row>
    <row r="318" spans="1:23" ht="11.25" customHeight="1">
      <c r="A318" s="48"/>
      <c r="B318" s="48"/>
      <c r="C318" s="45"/>
      <c r="D318" s="45"/>
      <c r="E318" s="45"/>
      <c r="F318" s="45"/>
      <c r="G318" s="45"/>
      <c r="H318" s="45"/>
      <c r="I318" s="45"/>
      <c r="J318" s="45"/>
      <c r="K318" s="45"/>
      <c r="L318" s="46"/>
      <c r="M318" s="46"/>
      <c r="N318" s="46"/>
      <c r="O318" s="46"/>
      <c r="P318" s="46"/>
      <c r="Q318" s="45"/>
      <c r="R318" s="45"/>
      <c r="S318" s="45"/>
      <c r="T318" s="45"/>
      <c r="U318" s="45"/>
      <c r="V318" s="45"/>
      <c r="W318" s="45"/>
    </row>
    <row r="319" spans="1:23" ht="11.25" customHeight="1">
      <c r="A319" s="48"/>
      <c r="B319" s="48"/>
      <c r="C319" s="45"/>
      <c r="D319" s="45"/>
      <c r="E319" s="45"/>
      <c r="F319" s="45"/>
      <c r="G319" s="45"/>
      <c r="H319" s="45"/>
      <c r="I319" s="45"/>
      <c r="J319" s="45"/>
      <c r="K319" s="45"/>
      <c r="L319" s="46"/>
      <c r="M319" s="46"/>
      <c r="N319" s="46"/>
      <c r="O319" s="46"/>
      <c r="P319" s="46"/>
      <c r="Q319" s="45"/>
      <c r="R319" s="45"/>
      <c r="S319" s="45"/>
      <c r="T319" s="45"/>
      <c r="U319" s="45"/>
      <c r="V319" s="45"/>
      <c r="W319" s="45"/>
    </row>
    <row r="320" spans="1:23" ht="11.25" customHeight="1">
      <c r="A320" s="48"/>
      <c r="B320" s="48"/>
      <c r="C320" s="45"/>
      <c r="D320" s="45"/>
      <c r="E320" s="45"/>
      <c r="F320" s="45"/>
      <c r="G320" s="45"/>
      <c r="H320" s="45"/>
      <c r="I320" s="45"/>
      <c r="J320" s="45"/>
      <c r="K320" s="45"/>
      <c r="L320" s="46"/>
      <c r="M320" s="46"/>
      <c r="N320" s="46"/>
      <c r="O320" s="46"/>
      <c r="P320" s="46"/>
      <c r="Q320" s="45"/>
      <c r="R320" s="45"/>
      <c r="S320" s="45"/>
      <c r="T320" s="45"/>
      <c r="U320" s="45"/>
      <c r="V320" s="45"/>
      <c r="W320" s="45"/>
    </row>
    <row r="321" spans="1:23" ht="11.25" customHeight="1">
      <c r="A321" s="48"/>
      <c r="B321" s="48"/>
      <c r="C321" s="45"/>
      <c r="D321" s="45"/>
      <c r="E321" s="45"/>
      <c r="F321" s="45"/>
      <c r="G321" s="45"/>
      <c r="H321" s="45"/>
      <c r="I321" s="45"/>
      <c r="J321" s="45"/>
      <c r="K321" s="45"/>
      <c r="L321" s="46"/>
      <c r="M321" s="46"/>
      <c r="N321" s="46"/>
      <c r="O321" s="46"/>
      <c r="P321" s="46"/>
      <c r="Q321" s="45"/>
      <c r="R321" s="45"/>
      <c r="S321" s="45"/>
      <c r="T321" s="45"/>
      <c r="U321" s="45"/>
      <c r="V321" s="45"/>
      <c r="W321" s="45"/>
    </row>
    <row r="322" spans="1:23" ht="11.25" customHeight="1">
      <c r="A322" s="48"/>
      <c r="B322" s="48"/>
      <c r="C322" s="45"/>
      <c r="D322" s="45"/>
      <c r="E322" s="45"/>
      <c r="F322" s="45"/>
      <c r="G322" s="45"/>
      <c r="H322" s="45"/>
      <c r="I322" s="45"/>
      <c r="J322" s="45"/>
      <c r="K322" s="45"/>
      <c r="L322" s="46"/>
      <c r="M322" s="46"/>
      <c r="N322" s="46"/>
      <c r="O322" s="46"/>
      <c r="P322" s="46"/>
      <c r="Q322" s="45"/>
      <c r="R322" s="45"/>
      <c r="S322" s="45"/>
      <c r="T322" s="45"/>
      <c r="U322" s="45"/>
      <c r="V322" s="45"/>
      <c r="W322" s="45"/>
    </row>
    <row r="323" spans="1:23" ht="11.25" customHeight="1">
      <c r="A323" s="48"/>
      <c r="B323" s="48"/>
      <c r="C323" s="45"/>
      <c r="D323" s="45"/>
      <c r="E323" s="45"/>
      <c r="F323" s="45"/>
      <c r="G323" s="45"/>
      <c r="H323" s="45"/>
      <c r="I323" s="45"/>
      <c r="J323" s="45"/>
      <c r="K323" s="45"/>
      <c r="L323" s="46"/>
      <c r="M323" s="46"/>
      <c r="N323" s="46"/>
      <c r="O323" s="46"/>
      <c r="P323" s="46"/>
      <c r="Q323" s="45"/>
      <c r="R323" s="45"/>
      <c r="S323" s="45"/>
      <c r="T323" s="45"/>
      <c r="U323" s="45"/>
      <c r="V323" s="45"/>
      <c r="W323" s="45"/>
    </row>
    <row r="324" spans="1:23" ht="11.25" customHeight="1">
      <c r="A324" s="48"/>
      <c r="B324" s="48"/>
      <c r="C324" s="45"/>
      <c r="D324" s="45"/>
      <c r="E324" s="45"/>
      <c r="F324" s="45"/>
      <c r="G324" s="45"/>
      <c r="H324" s="45"/>
      <c r="I324" s="45"/>
      <c r="J324" s="45"/>
      <c r="K324" s="45"/>
      <c r="L324" s="46"/>
      <c r="M324" s="46"/>
      <c r="N324" s="46"/>
      <c r="O324" s="46"/>
      <c r="P324" s="46"/>
      <c r="Q324" s="45"/>
      <c r="R324" s="45"/>
      <c r="S324" s="45"/>
      <c r="T324" s="45"/>
      <c r="U324" s="45"/>
      <c r="V324" s="45"/>
      <c r="W324" s="45"/>
    </row>
    <row r="325" spans="1:23" ht="11.25" customHeight="1">
      <c r="A325" s="48"/>
      <c r="B325" s="48"/>
      <c r="C325" s="45"/>
      <c r="D325" s="45"/>
      <c r="E325" s="45"/>
      <c r="F325" s="45"/>
      <c r="G325" s="45"/>
      <c r="H325" s="45"/>
      <c r="I325" s="45"/>
      <c r="J325" s="45"/>
      <c r="K325" s="45"/>
      <c r="L325" s="46"/>
      <c r="M325" s="46"/>
      <c r="N325" s="46"/>
      <c r="O325" s="46"/>
      <c r="P325" s="46"/>
      <c r="Q325" s="45"/>
      <c r="R325" s="45"/>
      <c r="S325" s="45"/>
      <c r="T325" s="45"/>
      <c r="U325" s="45"/>
      <c r="V325" s="45"/>
      <c r="W325" s="45"/>
    </row>
    <row r="326" spans="1:23" ht="11.25" customHeight="1">
      <c r="A326" s="48"/>
      <c r="B326" s="48"/>
      <c r="C326" s="45"/>
      <c r="D326" s="45"/>
      <c r="E326" s="45"/>
      <c r="F326" s="45"/>
      <c r="G326" s="45"/>
      <c r="H326" s="45"/>
      <c r="I326" s="45"/>
      <c r="J326" s="45"/>
      <c r="K326" s="45"/>
      <c r="L326" s="46"/>
      <c r="M326" s="46"/>
      <c r="N326" s="46"/>
      <c r="O326" s="46"/>
      <c r="P326" s="46"/>
      <c r="Q326" s="45"/>
      <c r="R326" s="45"/>
      <c r="S326" s="45"/>
      <c r="T326" s="45"/>
      <c r="U326" s="45"/>
      <c r="V326" s="45"/>
      <c r="W326" s="45"/>
    </row>
    <row r="327" spans="1:23" ht="11.25" customHeight="1">
      <c r="A327" s="48"/>
      <c r="B327" s="48"/>
      <c r="C327" s="45"/>
      <c r="D327" s="45"/>
      <c r="E327" s="45"/>
      <c r="F327" s="45"/>
      <c r="G327" s="45"/>
      <c r="H327" s="45"/>
      <c r="I327" s="45"/>
      <c r="J327" s="45"/>
      <c r="K327" s="45"/>
      <c r="L327" s="46"/>
      <c r="M327" s="46"/>
      <c r="N327" s="46"/>
      <c r="O327" s="46"/>
      <c r="P327" s="46"/>
      <c r="Q327" s="45"/>
      <c r="R327" s="45"/>
      <c r="S327" s="45"/>
      <c r="T327" s="45"/>
      <c r="U327" s="45"/>
      <c r="V327" s="45"/>
      <c r="W327" s="45"/>
    </row>
    <row r="328" spans="1:23" ht="11.25" customHeight="1">
      <c r="A328" s="48"/>
      <c r="B328" s="48"/>
      <c r="C328" s="45"/>
      <c r="D328" s="45"/>
      <c r="E328" s="45"/>
      <c r="F328" s="45"/>
      <c r="G328" s="45"/>
      <c r="H328" s="45"/>
      <c r="I328" s="45"/>
      <c r="J328" s="45"/>
      <c r="K328" s="45"/>
      <c r="L328" s="46"/>
      <c r="M328" s="46"/>
      <c r="N328" s="46"/>
      <c r="O328" s="46"/>
      <c r="P328" s="46"/>
      <c r="Q328" s="45"/>
      <c r="R328" s="45"/>
      <c r="S328" s="45"/>
      <c r="T328" s="45"/>
      <c r="U328" s="45"/>
      <c r="V328" s="45"/>
      <c r="W328" s="45"/>
    </row>
    <row r="329" spans="1:23" ht="11.25" customHeight="1">
      <c r="A329" s="48"/>
      <c r="B329" s="48"/>
      <c r="C329" s="45"/>
      <c r="D329" s="45"/>
      <c r="E329" s="45"/>
      <c r="F329" s="45"/>
      <c r="G329" s="45"/>
      <c r="H329" s="45"/>
      <c r="I329" s="45"/>
      <c r="J329" s="45"/>
      <c r="K329" s="45"/>
      <c r="L329" s="46"/>
      <c r="M329" s="46"/>
      <c r="N329" s="46"/>
      <c r="O329" s="46"/>
      <c r="P329" s="46"/>
      <c r="Q329" s="45"/>
      <c r="R329" s="45"/>
      <c r="S329" s="45"/>
      <c r="T329" s="45"/>
      <c r="U329" s="45"/>
      <c r="V329" s="45"/>
      <c r="W329" s="45"/>
    </row>
    <row r="330" spans="1:23" ht="11.25" customHeight="1">
      <c r="A330" s="48"/>
      <c r="B330" s="48"/>
      <c r="C330" s="45"/>
      <c r="D330" s="45"/>
      <c r="E330" s="45"/>
      <c r="F330" s="45"/>
      <c r="G330" s="45"/>
      <c r="H330" s="45"/>
      <c r="I330" s="45"/>
      <c r="J330" s="45"/>
      <c r="K330" s="45"/>
      <c r="L330" s="46"/>
      <c r="M330" s="46"/>
      <c r="N330" s="46"/>
      <c r="O330" s="46"/>
      <c r="P330" s="46"/>
      <c r="Q330" s="45"/>
      <c r="R330" s="45"/>
      <c r="S330" s="45"/>
      <c r="T330" s="45"/>
      <c r="U330" s="45"/>
      <c r="V330" s="45"/>
      <c r="W330" s="45"/>
    </row>
    <row r="331" spans="1:23" ht="11.25" customHeight="1">
      <c r="A331" s="48"/>
      <c r="B331" s="48"/>
      <c r="C331" s="45"/>
      <c r="D331" s="45"/>
      <c r="E331" s="45"/>
      <c r="F331" s="45"/>
      <c r="G331" s="45"/>
      <c r="H331" s="45"/>
      <c r="I331" s="45"/>
      <c r="J331" s="45"/>
      <c r="K331" s="45"/>
      <c r="L331" s="46"/>
      <c r="M331" s="46"/>
      <c r="N331" s="46"/>
      <c r="O331" s="46"/>
      <c r="P331" s="46"/>
      <c r="Q331" s="45"/>
      <c r="R331" s="45"/>
      <c r="S331" s="45"/>
      <c r="T331" s="45"/>
      <c r="U331" s="45"/>
      <c r="V331" s="45"/>
      <c r="W331" s="45"/>
    </row>
    <row r="332" spans="1:23" ht="11.25" customHeight="1">
      <c r="A332" s="48"/>
      <c r="B332" s="48"/>
      <c r="C332" s="45"/>
      <c r="D332" s="45"/>
      <c r="E332" s="45"/>
      <c r="F332" s="45"/>
      <c r="G332" s="45"/>
      <c r="H332" s="45"/>
      <c r="I332" s="45"/>
      <c r="J332" s="45"/>
      <c r="K332" s="45"/>
      <c r="L332" s="46"/>
      <c r="M332" s="46"/>
      <c r="N332" s="46"/>
      <c r="O332" s="46"/>
      <c r="P332" s="46"/>
      <c r="Q332" s="45"/>
      <c r="R332" s="45"/>
      <c r="S332" s="45"/>
      <c r="T332" s="45"/>
      <c r="U332" s="45"/>
      <c r="V332" s="45"/>
      <c r="W332" s="45"/>
    </row>
    <row r="333" spans="1:23" ht="11.25" customHeight="1">
      <c r="A333" s="48"/>
      <c r="B333" s="48"/>
      <c r="C333" s="45"/>
      <c r="D333" s="45"/>
      <c r="E333" s="45"/>
      <c r="F333" s="45"/>
      <c r="G333" s="45"/>
      <c r="H333" s="45"/>
      <c r="I333" s="45"/>
      <c r="J333" s="45"/>
      <c r="K333" s="45"/>
      <c r="L333" s="46"/>
      <c r="M333" s="46"/>
      <c r="N333" s="46"/>
      <c r="O333" s="46"/>
      <c r="P333" s="46"/>
      <c r="Q333" s="45"/>
      <c r="R333" s="45"/>
      <c r="S333" s="45"/>
      <c r="T333" s="45"/>
      <c r="U333" s="45"/>
      <c r="V333" s="45"/>
      <c r="W333" s="45"/>
    </row>
    <row r="334" spans="1:23" ht="11.25" customHeight="1">
      <c r="A334" s="48"/>
      <c r="B334" s="48"/>
      <c r="C334" s="45"/>
      <c r="D334" s="45"/>
      <c r="E334" s="45"/>
      <c r="F334" s="45"/>
      <c r="G334" s="45"/>
      <c r="H334" s="45"/>
      <c r="I334" s="45"/>
      <c r="J334" s="45"/>
      <c r="K334" s="45"/>
      <c r="L334" s="46"/>
      <c r="M334" s="46"/>
      <c r="N334" s="46"/>
      <c r="O334" s="46"/>
      <c r="P334" s="46"/>
      <c r="Q334" s="45"/>
      <c r="R334" s="45"/>
      <c r="S334" s="45"/>
      <c r="T334" s="45"/>
      <c r="U334" s="45"/>
      <c r="V334" s="45"/>
      <c r="W334" s="45"/>
    </row>
    <row r="335" spans="1:23" ht="11.25" customHeight="1">
      <c r="A335" s="48"/>
      <c r="B335" s="48"/>
      <c r="C335" s="45"/>
      <c r="D335" s="45"/>
      <c r="E335" s="45"/>
      <c r="F335" s="45"/>
      <c r="G335" s="45"/>
      <c r="H335" s="45"/>
      <c r="I335" s="45"/>
      <c r="J335" s="45"/>
      <c r="K335" s="45"/>
      <c r="L335" s="46"/>
      <c r="M335" s="46"/>
      <c r="N335" s="46"/>
      <c r="O335" s="46"/>
      <c r="P335" s="46"/>
      <c r="Q335" s="45"/>
      <c r="R335" s="45"/>
      <c r="S335" s="45"/>
      <c r="T335" s="45"/>
      <c r="U335" s="45"/>
      <c r="V335" s="45"/>
      <c r="W335" s="45"/>
    </row>
    <row r="336" spans="1:23" ht="11.25" customHeight="1">
      <c r="A336" s="48"/>
      <c r="B336" s="48"/>
      <c r="C336" s="45"/>
      <c r="D336" s="45"/>
      <c r="E336" s="45"/>
      <c r="F336" s="45"/>
      <c r="G336" s="45"/>
      <c r="H336" s="45"/>
      <c r="I336" s="45"/>
      <c r="J336" s="45"/>
      <c r="K336" s="45"/>
      <c r="L336" s="46"/>
      <c r="M336" s="46"/>
      <c r="N336" s="46"/>
      <c r="O336" s="46"/>
      <c r="P336" s="46"/>
      <c r="Q336" s="45"/>
      <c r="R336" s="45"/>
      <c r="S336" s="45"/>
      <c r="T336" s="45"/>
      <c r="U336" s="45"/>
      <c r="V336" s="45"/>
      <c r="W336" s="45"/>
    </row>
    <row r="337" spans="1:23" ht="11.25" customHeight="1">
      <c r="A337" s="48"/>
      <c r="B337" s="48"/>
      <c r="C337" s="45"/>
      <c r="D337" s="45"/>
      <c r="E337" s="45"/>
      <c r="F337" s="45"/>
      <c r="G337" s="45"/>
      <c r="H337" s="45"/>
      <c r="I337" s="45"/>
      <c r="J337" s="45"/>
      <c r="K337" s="45"/>
      <c r="L337" s="46"/>
      <c r="M337" s="46"/>
      <c r="N337" s="46"/>
      <c r="O337" s="46"/>
      <c r="P337" s="46"/>
      <c r="Q337" s="45"/>
      <c r="R337" s="45"/>
      <c r="S337" s="45"/>
      <c r="T337" s="45"/>
      <c r="U337" s="45"/>
      <c r="V337" s="45"/>
      <c r="W337" s="45"/>
    </row>
    <row r="338" spans="1:23" ht="11.25" customHeight="1">
      <c r="A338" s="48"/>
      <c r="B338" s="48"/>
      <c r="C338" s="45"/>
      <c r="D338" s="45"/>
      <c r="E338" s="45"/>
      <c r="F338" s="45"/>
      <c r="G338" s="45"/>
      <c r="H338" s="45"/>
      <c r="I338" s="45"/>
      <c r="J338" s="45"/>
      <c r="K338" s="45"/>
      <c r="L338" s="46"/>
      <c r="M338" s="46"/>
      <c r="N338" s="46"/>
      <c r="O338" s="46"/>
      <c r="P338" s="46"/>
      <c r="Q338" s="45"/>
      <c r="R338" s="45"/>
      <c r="S338" s="45"/>
      <c r="T338" s="45"/>
      <c r="U338" s="45"/>
      <c r="V338" s="45"/>
      <c r="W338" s="45"/>
    </row>
    <row r="339" spans="1:23" ht="11.25" customHeight="1">
      <c r="A339" s="48"/>
      <c r="B339" s="48"/>
      <c r="C339" s="45"/>
      <c r="D339" s="45"/>
      <c r="E339" s="45"/>
      <c r="F339" s="45"/>
      <c r="G339" s="45"/>
      <c r="H339" s="45"/>
      <c r="I339" s="45"/>
      <c r="J339" s="45"/>
      <c r="K339" s="45"/>
      <c r="L339" s="46"/>
      <c r="M339" s="46"/>
      <c r="N339" s="46"/>
      <c r="O339" s="46"/>
      <c r="P339" s="46"/>
      <c r="Q339" s="45"/>
      <c r="R339" s="45"/>
      <c r="S339" s="45"/>
      <c r="T339" s="45"/>
      <c r="U339" s="45"/>
      <c r="V339" s="45"/>
      <c r="W339" s="45"/>
    </row>
    <row r="340" spans="1:23" ht="11.25" customHeight="1">
      <c r="A340" s="48"/>
      <c r="B340" s="48"/>
      <c r="C340" s="45"/>
      <c r="D340" s="45"/>
      <c r="E340" s="45"/>
      <c r="F340" s="45"/>
      <c r="G340" s="45"/>
      <c r="H340" s="45"/>
      <c r="I340" s="45"/>
      <c r="J340" s="45"/>
      <c r="K340" s="45"/>
      <c r="L340" s="46"/>
      <c r="M340" s="46"/>
      <c r="N340" s="46"/>
      <c r="O340" s="46"/>
      <c r="P340" s="46"/>
      <c r="Q340" s="45"/>
      <c r="R340" s="45"/>
      <c r="S340" s="45"/>
      <c r="T340" s="45"/>
      <c r="U340" s="45"/>
      <c r="V340" s="45"/>
      <c r="W340" s="45"/>
    </row>
    <row r="341" spans="1:23" ht="11.25" customHeight="1">
      <c r="A341" s="48"/>
      <c r="B341" s="48"/>
      <c r="C341" s="45"/>
      <c r="D341" s="45"/>
      <c r="E341" s="45"/>
      <c r="F341" s="45"/>
      <c r="G341" s="45"/>
      <c r="H341" s="45"/>
      <c r="I341" s="45"/>
      <c r="J341" s="45"/>
      <c r="K341" s="45"/>
      <c r="L341" s="46"/>
      <c r="M341" s="46"/>
      <c r="N341" s="46"/>
      <c r="O341" s="46"/>
      <c r="P341" s="46"/>
      <c r="Q341" s="45"/>
      <c r="R341" s="45"/>
      <c r="S341" s="45"/>
      <c r="T341" s="45"/>
      <c r="U341" s="45"/>
      <c r="V341" s="45"/>
      <c r="W341" s="45"/>
    </row>
    <row r="342" spans="1:23" ht="11.25" customHeight="1">
      <c r="A342" s="48"/>
      <c r="B342" s="48"/>
      <c r="C342" s="45"/>
      <c r="D342" s="45"/>
      <c r="E342" s="45"/>
      <c r="F342" s="45"/>
      <c r="G342" s="45"/>
      <c r="H342" s="45"/>
      <c r="I342" s="45"/>
      <c r="J342" s="45"/>
      <c r="K342" s="45"/>
      <c r="L342" s="46"/>
      <c r="M342" s="46"/>
      <c r="N342" s="46"/>
      <c r="O342" s="46"/>
      <c r="P342" s="46"/>
      <c r="Q342" s="45"/>
      <c r="R342" s="45"/>
      <c r="S342" s="45"/>
      <c r="T342" s="45"/>
      <c r="U342" s="45"/>
      <c r="V342" s="45"/>
      <c r="W342" s="45"/>
    </row>
    <row r="343" spans="1:23" ht="11.25" customHeight="1">
      <c r="A343" s="48"/>
      <c r="B343" s="48"/>
      <c r="C343" s="45"/>
      <c r="D343" s="45"/>
      <c r="E343" s="45"/>
      <c r="F343" s="45"/>
      <c r="G343" s="45"/>
      <c r="H343" s="45"/>
      <c r="I343" s="45"/>
      <c r="J343" s="45"/>
      <c r="K343" s="45"/>
      <c r="L343" s="46"/>
      <c r="M343" s="46"/>
      <c r="N343" s="46"/>
      <c r="O343" s="46"/>
      <c r="P343" s="46"/>
      <c r="Q343" s="45"/>
      <c r="R343" s="45"/>
      <c r="S343" s="45"/>
      <c r="T343" s="45"/>
      <c r="U343" s="45"/>
      <c r="V343" s="45"/>
      <c r="W343" s="45"/>
    </row>
    <row r="344" spans="1:23" ht="11.25" customHeight="1">
      <c r="A344" s="48"/>
      <c r="B344" s="48"/>
      <c r="C344" s="45"/>
      <c r="D344" s="45"/>
      <c r="E344" s="45"/>
      <c r="F344" s="45"/>
      <c r="G344" s="45"/>
      <c r="H344" s="45"/>
      <c r="I344" s="45"/>
      <c r="J344" s="45"/>
      <c r="K344" s="45"/>
      <c r="L344" s="46"/>
      <c r="M344" s="46"/>
      <c r="N344" s="46"/>
      <c r="O344" s="46"/>
      <c r="P344" s="46"/>
      <c r="Q344" s="45"/>
      <c r="R344" s="45"/>
      <c r="S344" s="45"/>
      <c r="T344" s="45"/>
      <c r="U344" s="45"/>
      <c r="V344" s="45"/>
      <c r="W344" s="45"/>
    </row>
    <row r="345" spans="1:23" ht="11.25" customHeight="1">
      <c r="A345" s="48"/>
      <c r="B345" s="48"/>
      <c r="C345" s="45"/>
      <c r="D345" s="45"/>
      <c r="E345" s="45"/>
      <c r="F345" s="45"/>
      <c r="G345" s="45"/>
      <c r="H345" s="45"/>
      <c r="I345" s="45"/>
      <c r="J345" s="45"/>
      <c r="K345" s="45"/>
      <c r="L345" s="46"/>
      <c r="M345" s="46"/>
      <c r="N345" s="46"/>
      <c r="O345" s="46"/>
      <c r="P345" s="46"/>
      <c r="Q345" s="45"/>
      <c r="R345" s="45"/>
      <c r="S345" s="45"/>
      <c r="T345" s="45"/>
      <c r="U345" s="45"/>
      <c r="V345" s="45"/>
      <c r="W345" s="45"/>
    </row>
    <row r="346" spans="1:23" ht="11.25" customHeight="1">
      <c r="A346" s="48"/>
      <c r="B346" s="48"/>
      <c r="C346" s="45"/>
      <c r="D346" s="45"/>
      <c r="E346" s="45"/>
      <c r="F346" s="45"/>
      <c r="G346" s="45"/>
      <c r="H346" s="45"/>
      <c r="I346" s="45"/>
      <c r="J346" s="45"/>
      <c r="K346" s="45"/>
      <c r="L346" s="46"/>
      <c r="M346" s="46"/>
      <c r="N346" s="46"/>
      <c r="O346" s="46"/>
      <c r="P346" s="46"/>
      <c r="Q346" s="45"/>
      <c r="R346" s="45"/>
      <c r="S346" s="45"/>
      <c r="T346" s="45"/>
      <c r="U346" s="45"/>
      <c r="V346" s="45"/>
      <c r="W346" s="45"/>
    </row>
    <row r="347" spans="1:23" ht="11.25" customHeight="1">
      <c r="A347" s="48"/>
      <c r="B347" s="48"/>
      <c r="C347" s="45"/>
      <c r="D347" s="45"/>
      <c r="E347" s="45"/>
      <c r="F347" s="45"/>
      <c r="G347" s="45"/>
      <c r="H347" s="45"/>
      <c r="I347" s="45"/>
      <c r="J347" s="45"/>
      <c r="K347" s="45"/>
      <c r="L347" s="46"/>
      <c r="M347" s="46"/>
      <c r="N347" s="46"/>
      <c r="O347" s="46"/>
      <c r="P347" s="46"/>
      <c r="Q347" s="45"/>
      <c r="R347" s="45"/>
      <c r="S347" s="45"/>
      <c r="T347" s="45"/>
      <c r="U347" s="45"/>
      <c r="V347" s="45"/>
      <c r="W347" s="45"/>
    </row>
    <row r="348" spans="1:23" ht="11.25" customHeight="1">
      <c r="A348" s="48"/>
      <c r="B348" s="48"/>
      <c r="C348" s="45"/>
      <c r="D348" s="45"/>
      <c r="E348" s="45"/>
      <c r="F348" s="45"/>
      <c r="G348" s="45"/>
      <c r="H348" s="45"/>
      <c r="I348" s="45"/>
      <c r="J348" s="45"/>
      <c r="K348" s="45"/>
      <c r="L348" s="46"/>
      <c r="M348" s="46"/>
      <c r="N348" s="46"/>
      <c r="O348" s="46"/>
      <c r="P348" s="46"/>
      <c r="Q348" s="45"/>
      <c r="R348" s="45"/>
      <c r="S348" s="45"/>
      <c r="T348" s="45"/>
      <c r="U348" s="45"/>
      <c r="V348" s="45"/>
      <c r="W348" s="45"/>
    </row>
    <row r="349" spans="1:23" ht="11.25" customHeight="1">
      <c r="A349" s="48"/>
      <c r="B349" s="48"/>
      <c r="C349" s="45"/>
      <c r="D349" s="45"/>
      <c r="E349" s="45"/>
      <c r="F349" s="45"/>
      <c r="G349" s="45"/>
      <c r="H349" s="45"/>
      <c r="I349" s="45"/>
      <c r="J349" s="45"/>
      <c r="K349" s="45"/>
      <c r="L349" s="46"/>
      <c r="M349" s="46"/>
      <c r="N349" s="46"/>
      <c r="O349" s="46"/>
      <c r="P349" s="46"/>
      <c r="Q349" s="45"/>
      <c r="R349" s="45"/>
      <c r="S349" s="45"/>
      <c r="T349" s="45"/>
      <c r="U349" s="45"/>
      <c r="V349" s="45"/>
      <c r="W349" s="45"/>
    </row>
    <row r="350" spans="1:23" ht="11.25" customHeight="1">
      <c r="A350" s="48"/>
      <c r="B350" s="48"/>
      <c r="C350" s="45"/>
      <c r="D350" s="45"/>
      <c r="E350" s="45"/>
      <c r="F350" s="45"/>
      <c r="G350" s="45"/>
      <c r="H350" s="45"/>
      <c r="I350" s="45"/>
      <c r="J350" s="45"/>
      <c r="K350" s="45"/>
      <c r="L350" s="46"/>
      <c r="M350" s="46"/>
      <c r="N350" s="46"/>
      <c r="O350" s="46"/>
      <c r="P350" s="46"/>
      <c r="Q350" s="45"/>
      <c r="R350" s="45"/>
      <c r="S350" s="45"/>
      <c r="T350" s="45"/>
      <c r="U350" s="45"/>
      <c r="V350" s="45"/>
      <c r="W350" s="45"/>
    </row>
    <row r="351" spans="1:23" ht="11.25" customHeight="1">
      <c r="A351" s="48"/>
      <c r="B351" s="48"/>
      <c r="C351" s="45"/>
      <c r="D351" s="45"/>
      <c r="E351" s="45"/>
      <c r="F351" s="45"/>
      <c r="G351" s="45"/>
      <c r="H351" s="45"/>
      <c r="I351" s="45"/>
      <c r="J351" s="45"/>
      <c r="K351" s="45"/>
      <c r="L351" s="46"/>
      <c r="M351" s="46"/>
      <c r="N351" s="46"/>
      <c r="O351" s="46"/>
      <c r="P351" s="46"/>
      <c r="Q351" s="45"/>
      <c r="R351" s="45"/>
      <c r="S351" s="45"/>
      <c r="T351" s="45"/>
      <c r="U351" s="45"/>
      <c r="V351" s="45"/>
      <c r="W351" s="45"/>
    </row>
    <row r="352" spans="1:23" ht="11.25" customHeight="1">
      <c r="A352" s="48"/>
      <c r="B352" s="48"/>
      <c r="C352" s="45"/>
      <c r="D352" s="45"/>
      <c r="E352" s="45"/>
      <c r="F352" s="45"/>
      <c r="G352" s="45"/>
      <c r="H352" s="45"/>
      <c r="I352" s="45"/>
      <c r="J352" s="45"/>
      <c r="K352" s="45"/>
      <c r="L352" s="46"/>
      <c r="M352" s="46"/>
      <c r="N352" s="46"/>
      <c r="O352" s="46"/>
      <c r="P352" s="46"/>
      <c r="Q352" s="45"/>
      <c r="R352" s="45"/>
      <c r="S352" s="45"/>
      <c r="T352" s="45"/>
      <c r="U352" s="45"/>
      <c r="V352" s="45"/>
      <c r="W352" s="45"/>
    </row>
    <row r="353" spans="1:23" ht="11.25" customHeight="1">
      <c r="A353" s="48"/>
      <c r="B353" s="48"/>
      <c r="C353" s="45"/>
      <c r="D353" s="45"/>
      <c r="E353" s="45"/>
      <c r="F353" s="45"/>
      <c r="G353" s="45"/>
      <c r="H353" s="45"/>
      <c r="I353" s="45"/>
      <c r="J353" s="45"/>
      <c r="K353" s="45"/>
      <c r="L353" s="46"/>
      <c r="M353" s="46"/>
      <c r="N353" s="46"/>
      <c r="O353" s="46"/>
      <c r="P353" s="46"/>
      <c r="Q353" s="45"/>
      <c r="R353" s="45"/>
      <c r="S353" s="45"/>
      <c r="T353" s="45"/>
      <c r="U353" s="45"/>
      <c r="V353" s="45"/>
      <c r="W353" s="45"/>
    </row>
    <row r="354" spans="1:23" ht="11.25" customHeight="1">
      <c r="A354" s="48"/>
      <c r="B354" s="48"/>
      <c r="C354" s="45"/>
      <c r="D354" s="45"/>
      <c r="E354" s="45"/>
      <c r="F354" s="45"/>
      <c r="G354" s="45"/>
      <c r="H354" s="45"/>
      <c r="I354" s="45"/>
      <c r="J354" s="45"/>
      <c r="K354" s="45"/>
      <c r="L354" s="46"/>
      <c r="M354" s="46"/>
      <c r="N354" s="46"/>
      <c r="O354" s="46"/>
      <c r="P354" s="46"/>
      <c r="Q354" s="45"/>
      <c r="R354" s="45"/>
      <c r="S354" s="45"/>
      <c r="T354" s="45"/>
      <c r="U354" s="45"/>
      <c r="V354" s="45"/>
      <c r="W354" s="45"/>
    </row>
    <row r="355" spans="1:23" ht="11.25" customHeight="1">
      <c r="A355" s="48"/>
      <c r="B355" s="48"/>
      <c r="C355" s="45"/>
      <c r="D355" s="45"/>
      <c r="E355" s="45"/>
      <c r="F355" s="45"/>
      <c r="G355" s="45"/>
      <c r="H355" s="45"/>
      <c r="I355" s="45"/>
      <c r="J355" s="45"/>
      <c r="K355" s="45"/>
      <c r="L355" s="46"/>
      <c r="M355" s="46"/>
      <c r="N355" s="46"/>
      <c r="O355" s="46"/>
      <c r="P355" s="46"/>
      <c r="Q355" s="45"/>
      <c r="R355" s="45"/>
      <c r="S355" s="45"/>
      <c r="T355" s="45"/>
      <c r="U355" s="45"/>
      <c r="V355" s="45"/>
      <c r="W355" s="45"/>
    </row>
    <row r="356" spans="1:23" ht="11.25" customHeight="1">
      <c r="A356" s="48"/>
      <c r="B356" s="48"/>
      <c r="C356" s="45"/>
      <c r="D356" s="45"/>
      <c r="E356" s="45"/>
      <c r="F356" s="45"/>
      <c r="G356" s="45"/>
      <c r="H356" s="45"/>
      <c r="I356" s="45"/>
      <c r="J356" s="45"/>
      <c r="K356" s="45"/>
      <c r="L356" s="46"/>
      <c r="M356" s="46"/>
      <c r="N356" s="46"/>
      <c r="O356" s="46"/>
      <c r="P356" s="46"/>
      <c r="Q356" s="45"/>
      <c r="R356" s="45"/>
      <c r="S356" s="45"/>
      <c r="T356" s="45"/>
      <c r="U356" s="45"/>
      <c r="V356" s="45"/>
      <c r="W356" s="45"/>
    </row>
    <row r="357" spans="1:23" ht="11.25" customHeight="1">
      <c r="A357" s="48"/>
      <c r="B357" s="48"/>
      <c r="C357" s="45"/>
      <c r="D357" s="45"/>
      <c r="E357" s="45"/>
      <c r="F357" s="45"/>
      <c r="G357" s="45"/>
      <c r="H357" s="45"/>
      <c r="I357" s="45"/>
      <c r="J357" s="45"/>
      <c r="K357" s="45"/>
      <c r="L357" s="46"/>
      <c r="M357" s="46"/>
      <c r="N357" s="46"/>
      <c r="O357" s="46"/>
      <c r="P357" s="46"/>
      <c r="Q357" s="45"/>
      <c r="R357" s="45"/>
      <c r="S357" s="45"/>
      <c r="T357" s="45"/>
      <c r="U357" s="45"/>
      <c r="V357" s="45"/>
      <c r="W357" s="45"/>
    </row>
    <row r="358" spans="1:23" ht="11.25" customHeight="1">
      <c r="A358" s="48"/>
      <c r="B358" s="48"/>
      <c r="C358" s="45"/>
      <c r="D358" s="45"/>
      <c r="E358" s="45"/>
      <c r="F358" s="45"/>
      <c r="G358" s="45"/>
      <c r="H358" s="45"/>
      <c r="I358" s="45"/>
      <c r="J358" s="45"/>
      <c r="K358" s="45"/>
      <c r="L358" s="46"/>
      <c r="M358" s="46"/>
      <c r="N358" s="46"/>
      <c r="O358" s="46"/>
      <c r="P358" s="46"/>
      <c r="Q358" s="45"/>
      <c r="R358" s="45"/>
      <c r="S358" s="45"/>
      <c r="T358" s="45"/>
      <c r="U358" s="45"/>
      <c r="V358" s="45"/>
      <c r="W358" s="45"/>
    </row>
    <row r="359" spans="1:23" ht="11.25" customHeight="1">
      <c r="A359" s="48"/>
      <c r="B359" s="48"/>
      <c r="C359" s="45"/>
      <c r="D359" s="45"/>
      <c r="E359" s="45"/>
      <c r="F359" s="45"/>
      <c r="G359" s="45"/>
      <c r="H359" s="45"/>
      <c r="I359" s="45"/>
      <c r="J359" s="45"/>
      <c r="K359" s="45"/>
      <c r="L359" s="46"/>
      <c r="M359" s="46"/>
      <c r="N359" s="46"/>
      <c r="O359" s="46"/>
      <c r="P359" s="46"/>
      <c r="Q359" s="45"/>
      <c r="R359" s="45"/>
      <c r="S359" s="45"/>
      <c r="T359" s="45"/>
      <c r="U359" s="45"/>
      <c r="V359" s="45"/>
      <c r="W359" s="45"/>
    </row>
    <row r="360" spans="1:23" ht="11.25" customHeight="1">
      <c r="A360" s="48"/>
      <c r="B360" s="48"/>
      <c r="C360" s="45"/>
      <c r="D360" s="45"/>
      <c r="E360" s="45"/>
      <c r="F360" s="45"/>
      <c r="G360" s="45"/>
      <c r="H360" s="45"/>
      <c r="I360" s="45"/>
      <c r="J360" s="45"/>
      <c r="K360" s="45"/>
      <c r="L360" s="46"/>
      <c r="M360" s="46"/>
      <c r="N360" s="46"/>
      <c r="O360" s="46"/>
      <c r="P360" s="46"/>
      <c r="Q360" s="45"/>
      <c r="R360" s="45"/>
      <c r="S360" s="45"/>
      <c r="T360" s="45"/>
      <c r="U360" s="45"/>
      <c r="V360" s="45"/>
      <c r="W360" s="45"/>
    </row>
    <row r="361" spans="1:23" ht="11.25" customHeight="1">
      <c r="A361" s="48"/>
      <c r="B361" s="48"/>
      <c r="C361" s="45"/>
      <c r="D361" s="45"/>
      <c r="E361" s="45"/>
      <c r="F361" s="45"/>
      <c r="G361" s="45"/>
      <c r="H361" s="45"/>
      <c r="I361" s="45"/>
      <c r="J361" s="45"/>
      <c r="K361" s="45"/>
      <c r="L361" s="46"/>
      <c r="M361" s="46"/>
      <c r="N361" s="46"/>
      <c r="O361" s="46"/>
      <c r="P361" s="46"/>
      <c r="Q361" s="45"/>
      <c r="R361" s="45"/>
      <c r="S361" s="45"/>
      <c r="T361" s="45"/>
      <c r="U361" s="45"/>
      <c r="V361" s="45"/>
      <c r="W361" s="45"/>
    </row>
    <row r="362" spans="1:23" ht="11.25" customHeight="1">
      <c r="A362" s="48"/>
      <c r="B362" s="48"/>
      <c r="C362" s="45"/>
      <c r="D362" s="45"/>
      <c r="E362" s="45"/>
      <c r="F362" s="45"/>
      <c r="G362" s="45"/>
      <c r="H362" s="45"/>
      <c r="I362" s="45"/>
      <c r="J362" s="45"/>
      <c r="K362" s="45"/>
      <c r="L362" s="46"/>
      <c r="M362" s="46"/>
      <c r="N362" s="46"/>
      <c r="O362" s="46"/>
      <c r="P362" s="46"/>
      <c r="Q362" s="45"/>
      <c r="R362" s="45"/>
      <c r="S362" s="45"/>
      <c r="T362" s="45"/>
      <c r="U362" s="45"/>
      <c r="V362" s="45"/>
      <c r="W362" s="45"/>
    </row>
    <row r="363" spans="1:23" ht="11.25" customHeight="1">
      <c r="A363" s="48"/>
      <c r="B363" s="48"/>
      <c r="C363" s="45"/>
      <c r="D363" s="45"/>
      <c r="E363" s="45"/>
      <c r="F363" s="45"/>
      <c r="G363" s="45"/>
      <c r="H363" s="45"/>
      <c r="I363" s="45"/>
      <c r="J363" s="45"/>
      <c r="K363" s="45"/>
      <c r="L363" s="46"/>
      <c r="M363" s="46"/>
      <c r="N363" s="46"/>
      <c r="O363" s="46"/>
      <c r="P363" s="46"/>
      <c r="Q363" s="45"/>
      <c r="R363" s="45"/>
      <c r="S363" s="45"/>
      <c r="T363" s="45"/>
      <c r="U363" s="45"/>
      <c r="V363" s="45"/>
      <c r="W363" s="45"/>
    </row>
    <row r="364" spans="1:23" ht="11.25" customHeight="1">
      <c r="A364" s="48"/>
      <c r="B364" s="48"/>
      <c r="C364" s="45"/>
      <c r="D364" s="45"/>
      <c r="E364" s="45"/>
      <c r="F364" s="45"/>
      <c r="G364" s="45"/>
      <c r="H364" s="45"/>
      <c r="I364" s="45"/>
      <c r="J364" s="45"/>
      <c r="K364" s="45"/>
      <c r="L364" s="46"/>
      <c r="M364" s="46"/>
      <c r="N364" s="46"/>
      <c r="O364" s="46"/>
      <c r="P364" s="46"/>
      <c r="Q364" s="45"/>
      <c r="R364" s="45"/>
      <c r="S364" s="45"/>
      <c r="T364" s="45"/>
      <c r="U364" s="45"/>
      <c r="V364" s="45"/>
      <c r="W364" s="45"/>
    </row>
    <row r="365" spans="1:23" ht="11.25" customHeight="1">
      <c r="A365" s="48"/>
      <c r="B365" s="48"/>
      <c r="C365" s="45"/>
      <c r="D365" s="45"/>
      <c r="E365" s="45"/>
      <c r="F365" s="45"/>
      <c r="G365" s="45"/>
      <c r="H365" s="45"/>
      <c r="I365" s="45"/>
      <c r="J365" s="45"/>
      <c r="K365" s="45"/>
      <c r="L365" s="46"/>
      <c r="M365" s="46"/>
      <c r="N365" s="46"/>
      <c r="O365" s="46"/>
      <c r="P365" s="46"/>
      <c r="Q365" s="45"/>
      <c r="R365" s="45"/>
      <c r="S365" s="45"/>
      <c r="T365" s="45"/>
      <c r="U365" s="45"/>
      <c r="V365" s="45"/>
      <c r="W365" s="45"/>
    </row>
    <row r="366" spans="1:23" ht="11.25" customHeight="1">
      <c r="A366" s="48"/>
      <c r="B366" s="48"/>
      <c r="C366" s="45"/>
      <c r="D366" s="45"/>
      <c r="E366" s="45"/>
      <c r="F366" s="45"/>
      <c r="G366" s="45"/>
      <c r="H366" s="45"/>
      <c r="I366" s="45"/>
      <c r="J366" s="45"/>
      <c r="K366" s="45"/>
      <c r="L366" s="46"/>
      <c r="M366" s="46"/>
      <c r="N366" s="46"/>
      <c r="O366" s="46"/>
      <c r="P366" s="46"/>
      <c r="Q366" s="45"/>
      <c r="R366" s="45"/>
      <c r="S366" s="45"/>
      <c r="T366" s="45"/>
      <c r="U366" s="45"/>
      <c r="V366" s="45"/>
      <c r="W366" s="45"/>
    </row>
    <row r="367" spans="1:23" ht="11.25" customHeight="1">
      <c r="A367" s="48"/>
      <c r="B367" s="48"/>
      <c r="C367" s="45"/>
      <c r="D367" s="45"/>
      <c r="E367" s="45"/>
      <c r="F367" s="45"/>
      <c r="G367" s="45"/>
      <c r="H367" s="45"/>
      <c r="I367" s="45"/>
      <c r="J367" s="45"/>
      <c r="K367" s="45"/>
      <c r="L367" s="46"/>
      <c r="M367" s="46"/>
      <c r="N367" s="46"/>
      <c r="O367" s="46"/>
      <c r="P367" s="46"/>
      <c r="Q367" s="45"/>
      <c r="R367" s="45"/>
      <c r="S367" s="45"/>
      <c r="T367" s="45"/>
      <c r="U367" s="45"/>
      <c r="V367" s="45"/>
      <c r="W367" s="45"/>
    </row>
    <row r="368" spans="1:23" ht="11.25" customHeight="1">
      <c r="A368" s="48"/>
      <c r="B368" s="48"/>
      <c r="C368" s="45"/>
      <c r="D368" s="45"/>
      <c r="E368" s="45"/>
      <c r="F368" s="45"/>
      <c r="G368" s="45"/>
      <c r="H368" s="45"/>
      <c r="I368" s="45"/>
      <c r="J368" s="45"/>
      <c r="K368" s="45"/>
      <c r="L368" s="46"/>
      <c r="M368" s="46"/>
      <c r="N368" s="46"/>
      <c r="O368" s="46"/>
      <c r="P368" s="46"/>
      <c r="Q368" s="45"/>
      <c r="R368" s="45"/>
      <c r="S368" s="45"/>
      <c r="T368" s="45"/>
      <c r="U368" s="45"/>
      <c r="V368" s="45"/>
      <c r="W368" s="45"/>
    </row>
    <row r="369" spans="1:23" ht="11.25" customHeight="1">
      <c r="A369" s="48"/>
      <c r="B369" s="48"/>
      <c r="C369" s="45"/>
      <c r="D369" s="45"/>
      <c r="E369" s="45"/>
      <c r="F369" s="45"/>
      <c r="G369" s="45"/>
      <c r="H369" s="45"/>
      <c r="I369" s="45"/>
      <c r="J369" s="45"/>
      <c r="K369" s="45"/>
      <c r="L369" s="46"/>
      <c r="M369" s="46"/>
      <c r="N369" s="46"/>
      <c r="O369" s="46"/>
      <c r="P369" s="46"/>
      <c r="Q369" s="45"/>
      <c r="R369" s="45"/>
      <c r="S369" s="45"/>
      <c r="T369" s="45"/>
      <c r="U369" s="45"/>
      <c r="V369" s="45"/>
      <c r="W369" s="45"/>
    </row>
    <row r="370" spans="1:23" ht="11.25" customHeight="1">
      <c r="A370" s="48"/>
      <c r="B370" s="48"/>
      <c r="C370" s="45"/>
      <c r="D370" s="45"/>
      <c r="E370" s="45"/>
      <c r="F370" s="45"/>
      <c r="G370" s="45"/>
      <c r="H370" s="45"/>
      <c r="I370" s="45"/>
      <c r="J370" s="45"/>
      <c r="K370" s="45"/>
      <c r="L370" s="46"/>
      <c r="M370" s="46"/>
      <c r="N370" s="46"/>
      <c r="O370" s="46"/>
      <c r="P370" s="46"/>
      <c r="Q370" s="45"/>
      <c r="R370" s="45"/>
      <c r="S370" s="45"/>
      <c r="T370" s="45"/>
      <c r="U370" s="45"/>
      <c r="V370" s="45"/>
      <c r="W370" s="45"/>
    </row>
    <row r="371" spans="1:23" ht="11.25" customHeight="1">
      <c r="A371" s="48"/>
      <c r="B371" s="48"/>
      <c r="C371" s="45"/>
      <c r="D371" s="45"/>
      <c r="E371" s="45"/>
      <c r="F371" s="45"/>
      <c r="G371" s="45"/>
      <c r="H371" s="45"/>
      <c r="I371" s="45"/>
      <c r="J371" s="45"/>
      <c r="K371" s="45"/>
      <c r="L371" s="46"/>
      <c r="M371" s="46"/>
      <c r="N371" s="46"/>
      <c r="O371" s="46"/>
      <c r="P371" s="46"/>
      <c r="Q371" s="45"/>
      <c r="R371" s="45"/>
      <c r="S371" s="45"/>
      <c r="T371" s="45"/>
      <c r="U371" s="45"/>
      <c r="V371" s="45"/>
      <c r="W371" s="45"/>
    </row>
    <row r="372" spans="1:23" ht="11.25" customHeight="1">
      <c r="A372" s="48"/>
      <c r="B372" s="48"/>
      <c r="C372" s="45"/>
      <c r="D372" s="45"/>
      <c r="E372" s="45"/>
      <c r="F372" s="45"/>
      <c r="G372" s="45"/>
      <c r="H372" s="45"/>
      <c r="I372" s="45"/>
      <c r="J372" s="45"/>
      <c r="K372" s="45"/>
      <c r="L372" s="46"/>
      <c r="M372" s="46"/>
      <c r="N372" s="46"/>
      <c r="O372" s="46"/>
      <c r="P372" s="46"/>
      <c r="Q372" s="45"/>
      <c r="R372" s="45"/>
      <c r="S372" s="45"/>
      <c r="T372" s="45"/>
      <c r="U372" s="45"/>
      <c r="V372" s="45"/>
      <c r="W372" s="45"/>
    </row>
    <row r="373" spans="1:23" ht="11.25" customHeight="1">
      <c r="A373" s="48"/>
      <c r="B373" s="48"/>
      <c r="C373" s="45"/>
      <c r="D373" s="45"/>
      <c r="E373" s="45"/>
      <c r="F373" s="45"/>
      <c r="G373" s="45"/>
      <c r="H373" s="45"/>
      <c r="I373" s="45"/>
      <c r="J373" s="45"/>
      <c r="K373" s="45"/>
      <c r="L373" s="46"/>
      <c r="M373" s="46"/>
      <c r="N373" s="46"/>
      <c r="O373" s="46"/>
      <c r="P373" s="46"/>
      <c r="Q373" s="45"/>
      <c r="R373" s="45"/>
      <c r="S373" s="45"/>
      <c r="T373" s="45"/>
      <c r="U373" s="45"/>
      <c r="V373" s="45"/>
      <c r="W373" s="45"/>
    </row>
    <row r="374" spans="1:23" ht="11.25" customHeight="1">
      <c r="A374" s="48"/>
      <c r="B374" s="48"/>
      <c r="C374" s="45"/>
      <c r="D374" s="45"/>
      <c r="E374" s="45"/>
      <c r="F374" s="45"/>
      <c r="G374" s="45"/>
      <c r="H374" s="45"/>
      <c r="I374" s="45"/>
      <c r="J374" s="45"/>
      <c r="K374" s="45"/>
      <c r="L374" s="46"/>
      <c r="M374" s="46"/>
      <c r="N374" s="46"/>
      <c r="O374" s="46"/>
      <c r="P374" s="46"/>
      <c r="Q374" s="45"/>
      <c r="R374" s="45"/>
      <c r="S374" s="45"/>
      <c r="T374" s="45"/>
      <c r="U374" s="45"/>
      <c r="V374" s="45"/>
      <c r="W374" s="45"/>
    </row>
    <row r="375" spans="1:23" ht="11.25" customHeight="1">
      <c r="A375" s="48"/>
      <c r="B375" s="48"/>
      <c r="C375" s="45"/>
      <c r="D375" s="45"/>
      <c r="E375" s="45"/>
      <c r="F375" s="45"/>
      <c r="G375" s="45"/>
      <c r="H375" s="45"/>
      <c r="I375" s="45"/>
      <c r="J375" s="45"/>
      <c r="K375" s="45"/>
      <c r="L375" s="46"/>
      <c r="M375" s="46"/>
      <c r="N375" s="46"/>
      <c r="O375" s="46"/>
      <c r="P375" s="46"/>
      <c r="Q375" s="45"/>
      <c r="R375" s="45"/>
      <c r="S375" s="45"/>
      <c r="T375" s="45"/>
      <c r="U375" s="45"/>
      <c r="V375" s="45"/>
      <c r="W375" s="45"/>
    </row>
    <row r="376" spans="1:23" ht="11.25" customHeight="1">
      <c r="A376" s="48"/>
      <c r="B376" s="48"/>
      <c r="C376" s="45"/>
      <c r="D376" s="45"/>
      <c r="E376" s="45"/>
      <c r="F376" s="45"/>
      <c r="G376" s="45"/>
      <c r="H376" s="45"/>
      <c r="I376" s="45"/>
      <c r="J376" s="45"/>
      <c r="K376" s="45"/>
      <c r="L376" s="46"/>
      <c r="M376" s="46"/>
      <c r="N376" s="46"/>
      <c r="O376" s="46"/>
      <c r="P376" s="46"/>
      <c r="Q376" s="45"/>
      <c r="R376" s="45"/>
      <c r="S376" s="45"/>
      <c r="T376" s="45"/>
      <c r="U376" s="45"/>
      <c r="V376" s="45"/>
      <c r="W376" s="45"/>
    </row>
    <row r="377" spans="1:23" ht="11.25" customHeight="1">
      <c r="A377" s="48"/>
      <c r="B377" s="48"/>
      <c r="C377" s="45"/>
      <c r="D377" s="45"/>
      <c r="E377" s="45"/>
      <c r="F377" s="45"/>
      <c r="G377" s="45"/>
      <c r="H377" s="45"/>
      <c r="I377" s="45"/>
      <c r="J377" s="45"/>
      <c r="K377" s="45"/>
      <c r="L377" s="46"/>
      <c r="M377" s="46"/>
      <c r="N377" s="46"/>
      <c r="O377" s="46"/>
      <c r="P377" s="46"/>
      <c r="Q377" s="45"/>
      <c r="R377" s="45"/>
      <c r="S377" s="45"/>
      <c r="T377" s="45"/>
      <c r="U377" s="45"/>
      <c r="V377" s="45"/>
      <c r="W377" s="45"/>
    </row>
    <row r="378" spans="1:23" ht="11.25" customHeight="1">
      <c r="A378" s="48"/>
      <c r="B378" s="48"/>
      <c r="C378" s="45"/>
      <c r="D378" s="45"/>
      <c r="E378" s="45"/>
      <c r="F378" s="45"/>
      <c r="G378" s="45"/>
      <c r="H378" s="45"/>
      <c r="I378" s="45"/>
      <c r="J378" s="45"/>
      <c r="K378" s="45"/>
      <c r="L378" s="46"/>
      <c r="M378" s="46"/>
      <c r="N378" s="46"/>
      <c r="O378" s="46"/>
      <c r="P378" s="46"/>
      <c r="Q378" s="45"/>
      <c r="R378" s="45"/>
      <c r="S378" s="45"/>
      <c r="T378" s="45"/>
      <c r="U378" s="45"/>
      <c r="V378" s="45"/>
      <c r="W378" s="45"/>
    </row>
    <row r="379" spans="1:23" ht="11.25" customHeight="1">
      <c r="A379" s="48"/>
      <c r="B379" s="48"/>
      <c r="C379" s="45"/>
      <c r="D379" s="45"/>
      <c r="E379" s="45"/>
      <c r="F379" s="45"/>
      <c r="G379" s="45"/>
      <c r="H379" s="45"/>
      <c r="I379" s="45"/>
      <c r="J379" s="45"/>
      <c r="K379" s="45"/>
      <c r="L379" s="46"/>
      <c r="M379" s="46"/>
      <c r="N379" s="46"/>
      <c r="O379" s="46"/>
      <c r="P379" s="46"/>
      <c r="Q379" s="45"/>
      <c r="R379" s="45"/>
      <c r="S379" s="45"/>
      <c r="T379" s="45"/>
      <c r="U379" s="45"/>
      <c r="V379" s="45"/>
      <c r="W379" s="45"/>
    </row>
    <row r="380" spans="1:23" ht="11.25" customHeight="1">
      <c r="A380" s="48"/>
      <c r="B380" s="48"/>
      <c r="C380" s="45"/>
      <c r="D380" s="45"/>
      <c r="E380" s="45"/>
      <c r="F380" s="45"/>
      <c r="G380" s="45"/>
      <c r="H380" s="45"/>
      <c r="I380" s="45"/>
      <c r="J380" s="45"/>
      <c r="K380" s="45"/>
      <c r="L380" s="46"/>
      <c r="M380" s="46"/>
      <c r="N380" s="46"/>
      <c r="O380" s="46"/>
      <c r="P380" s="46"/>
      <c r="Q380" s="45"/>
      <c r="R380" s="45"/>
      <c r="S380" s="45"/>
      <c r="T380" s="45"/>
      <c r="U380" s="45"/>
      <c r="V380" s="45"/>
      <c r="W380" s="45"/>
    </row>
    <row r="381" spans="1:23" ht="11.25" customHeight="1">
      <c r="A381" s="48"/>
      <c r="B381" s="48"/>
      <c r="C381" s="45"/>
      <c r="D381" s="45"/>
      <c r="E381" s="45"/>
      <c r="F381" s="45"/>
      <c r="G381" s="45"/>
      <c r="H381" s="45"/>
      <c r="I381" s="45"/>
      <c r="J381" s="45"/>
      <c r="K381" s="45"/>
      <c r="L381" s="46"/>
      <c r="M381" s="46"/>
      <c r="N381" s="46"/>
      <c r="O381" s="46"/>
      <c r="P381" s="46"/>
      <c r="Q381" s="45"/>
      <c r="R381" s="45"/>
      <c r="S381" s="45"/>
      <c r="T381" s="45"/>
      <c r="U381" s="45"/>
      <c r="V381" s="45"/>
      <c r="W381" s="45"/>
    </row>
    <row r="382" spans="1:23" ht="11.25" customHeight="1">
      <c r="A382" s="48"/>
      <c r="B382" s="48"/>
      <c r="C382" s="45"/>
      <c r="D382" s="45"/>
      <c r="E382" s="45"/>
      <c r="F382" s="45"/>
      <c r="G382" s="45"/>
      <c r="H382" s="45"/>
      <c r="I382" s="45"/>
      <c r="J382" s="45"/>
      <c r="K382" s="45"/>
      <c r="L382" s="46"/>
      <c r="M382" s="46"/>
      <c r="N382" s="46"/>
      <c r="O382" s="46"/>
      <c r="P382" s="46"/>
      <c r="Q382" s="45"/>
      <c r="R382" s="45"/>
      <c r="S382" s="45"/>
      <c r="T382" s="45"/>
      <c r="U382" s="45"/>
      <c r="V382" s="45"/>
      <c r="W382" s="45"/>
    </row>
    <row r="383" spans="1:23" ht="11.25" customHeight="1">
      <c r="A383" s="48"/>
      <c r="B383" s="48"/>
      <c r="C383" s="45"/>
      <c r="D383" s="45"/>
      <c r="E383" s="45"/>
      <c r="F383" s="45"/>
      <c r="G383" s="45"/>
      <c r="H383" s="45"/>
      <c r="I383" s="45"/>
      <c r="J383" s="45"/>
      <c r="K383" s="45"/>
      <c r="L383" s="46"/>
      <c r="M383" s="46"/>
      <c r="N383" s="46"/>
      <c r="O383" s="46"/>
      <c r="P383" s="46"/>
      <c r="Q383" s="45"/>
      <c r="R383" s="45"/>
      <c r="S383" s="45"/>
      <c r="T383" s="45"/>
      <c r="U383" s="45"/>
      <c r="V383" s="45"/>
      <c r="W383" s="45"/>
    </row>
    <row r="384" spans="1:23" ht="11.25" customHeight="1">
      <c r="A384" s="48"/>
      <c r="B384" s="48"/>
      <c r="C384" s="45"/>
      <c r="D384" s="45"/>
      <c r="E384" s="45"/>
      <c r="F384" s="45"/>
      <c r="G384" s="45"/>
      <c r="H384" s="45"/>
      <c r="I384" s="45"/>
      <c r="J384" s="45"/>
      <c r="K384" s="45"/>
      <c r="L384" s="46"/>
      <c r="M384" s="46"/>
      <c r="N384" s="46"/>
      <c r="O384" s="46"/>
      <c r="P384" s="46"/>
      <c r="Q384" s="45"/>
      <c r="R384" s="45"/>
      <c r="S384" s="45"/>
      <c r="T384" s="45"/>
      <c r="U384" s="45"/>
      <c r="V384" s="45"/>
      <c r="W384" s="45"/>
    </row>
    <row r="385" spans="1:23" ht="11.25" customHeight="1">
      <c r="A385" s="48"/>
      <c r="B385" s="48"/>
      <c r="C385" s="45"/>
      <c r="D385" s="45"/>
      <c r="E385" s="45"/>
      <c r="F385" s="45"/>
      <c r="G385" s="45"/>
      <c r="H385" s="45"/>
      <c r="I385" s="45"/>
      <c r="J385" s="45"/>
      <c r="K385" s="45"/>
      <c r="L385" s="46"/>
      <c r="M385" s="46"/>
      <c r="N385" s="46"/>
      <c r="O385" s="46"/>
      <c r="P385" s="46"/>
      <c r="Q385" s="45"/>
      <c r="R385" s="45"/>
      <c r="S385" s="45"/>
      <c r="T385" s="45"/>
      <c r="U385" s="45"/>
      <c r="V385" s="45"/>
      <c r="W385" s="45"/>
    </row>
    <row r="386" spans="1:23" ht="11.25" customHeight="1">
      <c r="A386" s="48"/>
      <c r="B386" s="48"/>
      <c r="C386" s="45"/>
      <c r="D386" s="45"/>
      <c r="E386" s="45"/>
      <c r="F386" s="45"/>
      <c r="G386" s="45"/>
      <c r="H386" s="45"/>
      <c r="I386" s="45"/>
      <c r="J386" s="45"/>
      <c r="K386" s="45"/>
      <c r="L386" s="46"/>
      <c r="M386" s="46"/>
      <c r="N386" s="46"/>
      <c r="O386" s="46"/>
      <c r="P386" s="46"/>
      <c r="Q386" s="45"/>
      <c r="R386" s="45"/>
      <c r="S386" s="45"/>
      <c r="T386" s="45"/>
      <c r="U386" s="45"/>
      <c r="V386" s="45"/>
      <c r="W386" s="45"/>
    </row>
    <row r="387" spans="1:23" ht="11.25" customHeight="1">
      <c r="A387" s="48"/>
      <c r="B387" s="48"/>
      <c r="C387" s="45"/>
      <c r="D387" s="45"/>
      <c r="E387" s="45"/>
      <c r="F387" s="45"/>
      <c r="G387" s="45"/>
      <c r="H387" s="45"/>
      <c r="I387" s="45"/>
      <c r="J387" s="45"/>
      <c r="K387" s="45"/>
      <c r="L387" s="46"/>
      <c r="M387" s="46"/>
      <c r="N387" s="46"/>
      <c r="O387" s="46"/>
      <c r="P387" s="46"/>
      <c r="Q387" s="45"/>
      <c r="R387" s="45"/>
      <c r="S387" s="45"/>
      <c r="T387" s="45"/>
      <c r="U387" s="45"/>
      <c r="V387" s="45"/>
      <c r="W387" s="45"/>
    </row>
    <row r="388" spans="1:23" ht="11.25" customHeight="1">
      <c r="A388" s="48"/>
      <c r="B388" s="48"/>
      <c r="C388" s="45"/>
      <c r="D388" s="45"/>
      <c r="E388" s="45"/>
      <c r="F388" s="45"/>
      <c r="G388" s="45"/>
      <c r="H388" s="45"/>
      <c r="I388" s="45"/>
      <c r="J388" s="45"/>
      <c r="K388" s="45"/>
      <c r="L388" s="46"/>
      <c r="M388" s="46"/>
      <c r="N388" s="46"/>
      <c r="O388" s="46"/>
      <c r="P388" s="46"/>
      <c r="Q388" s="45"/>
      <c r="R388" s="45"/>
      <c r="S388" s="45"/>
      <c r="T388" s="45"/>
      <c r="U388" s="45"/>
      <c r="V388" s="45"/>
      <c r="W388" s="45"/>
    </row>
    <row r="389" spans="1:23" ht="11.25" customHeight="1">
      <c r="A389" s="48"/>
      <c r="B389" s="48"/>
      <c r="C389" s="45"/>
      <c r="D389" s="45"/>
      <c r="E389" s="45"/>
      <c r="F389" s="45"/>
      <c r="G389" s="45"/>
      <c r="H389" s="45"/>
      <c r="I389" s="45"/>
      <c r="J389" s="45"/>
      <c r="K389" s="45"/>
      <c r="L389" s="46"/>
      <c r="M389" s="46"/>
      <c r="N389" s="46"/>
      <c r="O389" s="46"/>
      <c r="P389" s="46"/>
      <c r="Q389" s="45"/>
      <c r="R389" s="45"/>
      <c r="S389" s="45"/>
      <c r="T389" s="45"/>
      <c r="U389" s="45"/>
      <c r="V389" s="45"/>
      <c r="W389" s="45"/>
    </row>
    <row r="390" spans="1:23" ht="11.25" customHeight="1">
      <c r="A390" s="48"/>
      <c r="B390" s="48"/>
      <c r="C390" s="45"/>
      <c r="D390" s="45"/>
      <c r="E390" s="45"/>
      <c r="F390" s="45"/>
      <c r="G390" s="45"/>
      <c r="H390" s="45"/>
      <c r="I390" s="45"/>
      <c r="J390" s="45"/>
      <c r="K390" s="45"/>
      <c r="L390" s="46"/>
      <c r="M390" s="46"/>
      <c r="N390" s="46"/>
      <c r="O390" s="46"/>
      <c r="P390" s="46"/>
      <c r="Q390" s="45"/>
      <c r="R390" s="45"/>
      <c r="S390" s="45"/>
      <c r="T390" s="45"/>
      <c r="U390" s="45"/>
      <c r="V390" s="45"/>
      <c r="W390" s="45"/>
    </row>
    <row r="391" spans="1:23" ht="11.25" customHeight="1">
      <c r="A391" s="48"/>
      <c r="B391" s="48"/>
      <c r="C391" s="45"/>
      <c r="D391" s="45"/>
      <c r="E391" s="45"/>
      <c r="F391" s="45"/>
      <c r="G391" s="45"/>
      <c r="H391" s="45"/>
      <c r="I391" s="45"/>
      <c r="J391" s="45"/>
      <c r="K391" s="45"/>
      <c r="L391" s="46"/>
      <c r="M391" s="46"/>
      <c r="N391" s="46"/>
      <c r="O391" s="46"/>
      <c r="P391" s="46"/>
      <c r="Q391" s="45"/>
      <c r="R391" s="45"/>
      <c r="S391" s="45"/>
      <c r="T391" s="45"/>
      <c r="U391" s="45"/>
      <c r="V391" s="45"/>
      <c r="W391" s="45"/>
    </row>
    <row r="392" spans="1:23" ht="11.25" customHeight="1">
      <c r="A392" s="48"/>
      <c r="B392" s="48"/>
      <c r="C392" s="45"/>
      <c r="D392" s="45"/>
      <c r="E392" s="45"/>
      <c r="F392" s="45"/>
      <c r="G392" s="45"/>
      <c r="H392" s="45"/>
      <c r="I392" s="45"/>
      <c r="J392" s="45"/>
      <c r="K392" s="45"/>
      <c r="L392" s="46"/>
      <c r="M392" s="46"/>
      <c r="N392" s="46"/>
      <c r="O392" s="46"/>
      <c r="P392" s="46"/>
      <c r="Q392" s="45"/>
      <c r="R392" s="45"/>
      <c r="S392" s="45"/>
      <c r="T392" s="45"/>
      <c r="U392" s="45"/>
      <c r="V392" s="45"/>
      <c r="W392" s="45"/>
    </row>
    <row r="393" spans="1:23" ht="11.25" customHeight="1">
      <c r="A393" s="48"/>
      <c r="B393" s="48"/>
      <c r="C393" s="45"/>
      <c r="D393" s="45"/>
      <c r="E393" s="45"/>
      <c r="F393" s="45"/>
      <c r="G393" s="45"/>
      <c r="H393" s="45"/>
      <c r="I393" s="45"/>
      <c r="J393" s="45"/>
      <c r="K393" s="45"/>
      <c r="L393" s="46"/>
      <c r="M393" s="46"/>
      <c r="N393" s="46"/>
      <c r="O393" s="46"/>
      <c r="P393" s="46"/>
      <c r="Q393" s="45"/>
      <c r="R393" s="45"/>
      <c r="S393" s="45"/>
      <c r="T393" s="45"/>
      <c r="U393" s="45"/>
      <c r="V393" s="45"/>
      <c r="W393" s="45"/>
    </row>
    <row r="394" spans="1:23" ht="11.25" customHeight="1">
      <c r="A394" s="48"/>
      <c r="B394" s="48"/>
      <c r="C394" s="45"/>
      <c r="D394" s="45"/>
      <c r="E394" s="45"/>
      <c r="F394" s="45"/>
      <c r="G394" s="45"/>
      <c r="H394" s="45"/>
      <c r="I394" s="45"/>
      <c r="J394" s="45"/>
      <c r="K394" s="45"/>
      <c r="L394" s="46"/>
      <c r="M394" s="46"/>
      <c r="N394" s="46"/>
      <c r="O394" s="46"/>
      <c r="P394" s="46"/>
      <c r="Q394" s="45"/>
      <c r="R394" s="45"/>
      <c r="S394" s="45"/>
      <c r="T394" s="45"/>
      <c r="U394" s="45"/>
      <c r="V394" s="45"/>
      <c r="W394" s="45"/>
    </row>
    <row r="395" spans="1:23" ht="11.25" customHeight="1">
      <c r="A395" s="48"/>
      <c r="B395" s="48"/>
      <c r="C395" s="45"/>
      <c r="D395" s="45"/>
      <c r="E395" s="45"/>
      <c r="F395" s="45"/>
      <c r="G395" s="45"/>
      <c r="H395" s="45"/>
      <c r="I395" s="45"/>
      <c r="J395" s="45"/>
      <c r="K395" s="45"/>
      <c r="L395" s="46"/>
      <c r="M395" s="46"/>
      <c r="N395" s="46"/>
      <c r="O395" s="46"/>
      <c r="P395" s="46"/>
      <c r="Q395" s="45"/>
      <c r="R395" s="45"/>
      <c r="S395" s="45"/>
      <c r="T395" s="45"/>
      <c r="U395" s="45"/>
      <c r="V395" s="45"/>
      <c r="W395" s="45"/>
    </row>
    <row r="396" spans="1:23" ht="11.25" customHeight="1">
      <c r="A396" s="48"/>
      <c r="B396" s="48"/>
      <c r="C396" s="45"/>
      <c r="D396" s="45"/>
      <c r="E396" s="45"/>
      <c r="F396" s="45"/>
      <c r="G396" s="45"/>
      <c r="H396" s="45"/>
      <c r="I396" s="45"/>
      <c r="J396" s="45"/>
      <c r="K396" s="45"/>
      <c r="L396" s="46"/>
      <c r="M396" s="46"/>
      <c r="N396" s="46"/>
      <c r="O396" s="46"/>
      <c r="P396" s="46"/>
      <c r="Q396" s="45"/>
      <c r="R396" s="45"/>
      <c r="S396" s="45"/>
      <c r="T396" s="45"/>
      <c r="U396" s="45"/>
      <c r="V396" s="45"/>
      <c r="W396" s="45"/>
    </row>
    <row r="397" spans="1:23" ht="11.25" customHeight="1">
      <c r="A397" s="48"/>
      <c r="B397" s="48"/>
      <c r="C397" s="45"/>
      <c r="D397" s="45"/>
      <c r="E397" s="45"/>
      <c r="F397" s="45"/>
      <c r="G397" s="45"/>
      <c r="H397" s="45"/>
      <c r="I397" s="45"/>
      <c r="J397" s="45"/>
      <c r="K397" s="45"/>
      <c r="L397" s="46"/>
      <c r="M397" s="46"/>
      <c r="N397" s="46"/>
      <c r="O397" s="46"/>
      <c r="P397" s="46"/>
      <c r="Q397" s="45"/>
      <c r="R397" s="45"/>
      <c r="S397" s="45"/>
      <c r="T397" s="45"/>
      <c r="U397" s="45"/>
      <c r="V397" s="45"/>
      <c r="W397" s="45"/>
    </row>
    <row r="398" spans="1:23" ht="11.25" customHeight="1">
      <c r="A398" s="48"/>
      <c r="B398" s="48"/>
      <c r="C398" s="45"/>
      <c r="D398" s="45"/>
      <c r="E398" s="45"/>
      <c r="F398" s="45"/>
      <c r="G398" s="45"/>
      <c r="H398" s="45"/>
      <c r="I398" s="45"/>
      <c r="J398" s="45"/>
      <c r="K398" s="45"/>
      <c r="L398" s="46"/>
      <c r="M398" s="46"/>
      <c r="N398" s="46"/>
      <c r="O398" s="46"/>
      <c r="P398" s="46"/>
      <c r="Q398" s="45"/>
      <c r="R398" s="45"/>
      <c r="S398" s="45"/>
      <c r="T398" s="45"/>
      <c r="U398" s="45"/>
      <c r="V398" s="45"/>
      <c r="W398" s="45"/>
    </row>
    <row r="399" spans="1:23" ht="11.25" customHeight="1">
      <c r="A399" s="48"/>
      <c r="B399" s="48"/>
      <c r="C399" s="45"/>
      <c r="D399" s="45"/>
      <c r="E399" s="45"/>
      <c r="F399" s="45"/>
      <c r="G399" s="45"/>
      <c r="H399" s="45"/>
      <c r="I399" s="45"/>
      <c r="J399" s="45"/>
      <c r="K399" s="45"/>
      <c r="L399" s="46"/>
      <c r="M399" s="46"/>
      <c r="N399" s="46"/>
      <c r="O399" s="46"/>
      <c r="P399" s="46"/>
      <c r="Q399" s="45"/>
      <c r="R399" s="45"/>
      <c r="S399" s="45"/>
      <c r="T399" s="45"/>
      <c r="U399" s="45"/>
      <c r="V399" s="45"/>
      <c r="W399" s="45"/>
    </row>
    <row r="400" spans="1:23" ht="11.25" customHeight="1">
      <c r="A400" s="48"/>
      <c r="B400" s="48"/>
      <c r="C400" s="45"/>
      <c r="D400" s="45"/>
      <c r="E400" s="45"/>
      <c r="F400" s="45"/>
      <c r="G400" s="45"/>
      <c r="H400" s="45"/>
      <c r="I400" s="45"/>
      <c r="J400" s="45"/>
      <c r="K400" s="45"/>
      <c r="L400" s="46"/>
      <c r="M400" s="46"/>
      <c r="N400" s="46"/>
      <c r="O400" s="46"/>
      <c r="P400" s="46"/>
      <c r="Q400" s="45"/>
      <c r="R400" s="45"/>
      <c r="S400" s="45"/>
      <c r="T400" s="45"/>
      <c r="U400" s="45"/>
      <c r="V400" s="45"/>
      <c r="W400" s="45"/>
    </row>
    <row r="401" spans="1:23" ht="11.25" customHeight="1">
      <c r="A401" s="48"/>
      <c r="B401" s="48"/>
      <c r="C401" s="45"/>
      <c r="D401" s="45"/>
      <c r="E401" s="45"/>
      <c r="F401" s="45"/>
      <c r="G401" s="45"/>
      <c r="H401" s="45"/>
      <c r="I401" s="45"/>
      <c r="J401" s="45"/>
      <c r="K401" s="45"/>
      <c r="L401" s="46"/>
      <c r="M401" s="46"/>
      <c r="N401" s="46"/>
      <c r="O401" s="46"/>
      <c r="P401" s="46"/>
      <c r="Q401" s="45"/>
      <c r="R401" s="45"/>
      <c r="S401" s="45"/>
      <c r="T401" s="45"/>
      <c r="U401" s="45"/>
      <c r="V401" s="45"/>
      <c r="W401" s="45"/>
    </row>
    <row r="402" spans="1:23" ht="11.25" customHeight="1">
      <c r="A402" s="48"/>
      <c r="B402" s="48"/>
      <c r="C402" s="45"/>
      <c r="D402" s="45"/>
      <c r="E402" s="45"/>
      <c r="F402" s="45"/>
      <c r="G402" s="45"/>
      <c r="H402" s="45"/>
      <c r="I402" s="45"/>
      <c r="J402" s="45"/>
      <c r="K402" s="45"/>
      <c r="L402" s="46"/>
      <c r="M402" s="46"/>
      <c r="N402" s="46"/>
      <c r="O402" s="46"/>
      <c r="P402" s="46"/>
      <c r="Q402" s="45"/>
      <c r="R402" s="45"/>
      <c r="S402" s="45"/>
      <c r="T402" s="45"/>
      <c r="U402" s="45"/>
      <c r="V402" s="45"/>
      <c r="W402" s="45"/>
    </row>
    <row r="403" spans="1:23" ht="11.25" customHeight="1">
      <c r="A403" s="48"/>
      <c r="B403" s="48"/>
      <c r="C403" s="45"/>
      <c r="D403" s="45"/>
      <c r="E403" s="45"/>
      <c r="F403" s="45"/>
      <c r="G403" s="45"/>
      <c r="H403" s="45"/>
      <c r="I403" s="45"/>
      <c r="J403" s="45"/>
      <c r="K403" s="45"/>
      <c r="L403" s="46"/>
      <c r="M403" s="46"/>
      <c r="N403" s="46"/>
      <c r="O403" s="46"/>
      <c r="P403" s="46"/>
      <c r="Q403" s="45"/>
      <c r="R403" s="45"/>
      <c r="S403" s="45"/>
      <c r="T403" s="45"/>
      <c r="U403" s="45"/>
      <c r="V403" s="45"/>
      <c r="W403" s="45"/>
    </row>
    <row r="404" spans="1:23" ht="11.25" customHeight="1">
      <c r="A404" s="48"/>
      <c r="B404" s="48"/>
      <c r="C404" s="45"/>
      <c r="D404" s="45"/>
      <c r="E404" s="45"/>
      <c r="F404" s="45"/>
      <c r="G404" s="45"/>
      <c r="H404" s="45"/>
      <c r="I404" s="45"/>
      <c r="J404" s="45"/>
      <c r="K404" s="45"/>
      <c r="L404" s="46"/>
      <c r="M404" s="46"/>
      <c r="N404" s="46"/>
      <c r="O404" s="46"/>
      <c r="P404" s="46"/>
      <c r="Q404" s="45"/>
      <c r="R404" s="45"/>
      <c r="S404" s="45"/>
      <c r="T404" s="45"/>
      <c r="U404" s="45"/>
      <c r="V404" s="45"/>
      <c r="W404" s="45"/>
    </row>
    <row r="405" spans="1:23" ht="11.25" customHeight="1">
      <c r="A405" s="48"/>
      <c r="B405" s="48"/>
      <c r="C405" s="45"/>
      <c r="D405" s="45"/>
      <c r="E405" s="45"/>
      <c r="F405" s="45"/>
      <c r="G405" s="45"/>
      <c r="H405" s="45"/>
      <c r="I405" s="45"/>
      <c r="J405" s="45"/>
      <c r="K405" s="45"/>
      <c r="L405" s="46"/>
      <c r="M405" s="46"/>
      <c r="N405" s="46"/>
      <c r="O405" s="46"/>
      <c r="P405" s="46"/>
      <c r="Q405" s="45"/>
      <c r="R405" s="45"/>
      <c r="S405" s="45"/>
      <c r="T405" s="45"/>
      <c r="U405" s="45"/>
      <c r="V405" s="45"/>
      <c r="W405" s="45"/>
    </row>
    <row r="406" spans="1:23" ht="11.25" customHeight="1">
      <c r="A406" s="48"/>
      <c r="B406" s="48"/>
      <c r="C406" s="45"/>
      <c r="D406" s="45"/>
      <c r="E406" s="45"/>
      <c r="F406" s="45"/>
      <c r="G406" s="45"/>
      <c r="H406" s="45"/>
      <c r="I406" s="45"/>
      <c r="J406" s="45"/>
      <c r="K406" s="45"/>
      <c r="L406" s="46"/>
      <c r="M406" s="46"/>
      <c r="N406" s="46"/>
      <c r="O406" s="46"/>
      <c r="P406" s="46"/>
      <c r="Q406" s="45"/>
      <c r="R406" s="45"/>
      <c r="S406" s="45"/>
      <c r="T406" s="45"/>
      <c r="U406" s="45"/>
      <c r="V406" s="45"/>
      <c r="W406" s="45"/>
    </row>
    <row r="407" spans="1:23" ht="11.25" customHeight="1">
      <c r="A407" s="48"/>
      <c r="B407" s="48"/>
      <c r="C407" s="45"/>
      <c r="D407" s="45"/>
      <c r="E407" s="45"/>
      <c r="F407" s="45"/>
      <c r="G407" s="45"/>
      <c r="H407" s="45"/>
      <c r="I407" s="45"/>
      <c r="J407" s="45"/>
      <c r="K407" s="45"/>
      <c r="L407" s="46"/>
      <c r="M407" s="46"/>
      <c r="N407" s="46"/>
      <c r="O407" s="46"/>
      <c r="P407" s="46"/>
      <c r="Q407" s="45"/>
      <c r="R407" s="45"/>
      <c r="S407" s="45"/>
      <c r="T407" s="45"/>
      <c r="U407" s="45"/>
      <c r="V407" s="45"/>
      <c r="W407" s="45"/>
    </row>
    <row r="408" spans="1:23" ht="11.25" customHeight="1">
      <c r="A408" s="48"/>
      <c r="B408" s="48"/>
      <c r="C408" s="45"/>
      <c r="D408" s="45"/>
      <c r="E408" s="45"/>
      <c r="F408" s="45"/>
      <c r="G408" s="45"/>
      <c r="H408" s="45"/>
      <c r="I408" s="45"/>
      <c r="J408" s="45"/>
      <c r="K408" s="45"/>
      <c r="L408" s="46"/>
      <c r="M408" s="46"/>
      <c r="N408" s="46"/>
      <c r="O408" s="46"/>
      <c r="P408" s="46"/>
      <c r="Q408" s="45"/>
      <c r="R408" s="45"/>
      <c r="S408" s="45"/>
      <c r="T408" s="45"/>
      <c r="U408" s="45"/>
      <c r="V408" s="45"/>
      <c r="W408" s="45"/>
    </row>
    <row r="409" spans="1:23" ht="11.25" customHeight="1">
      <c r="A409" s="48"/>
      <c r="B409" s="48"/>
      <c r="C409" s="45"/>
      <c r="D409" s="45"/>
      <c r="E409" s="45"/>
      <c r="F409" s="45"/>
      <c r="G409" s="45"/>
      <c r="H409" s="45"/>
      <c r="I409" s="45"/>
      <c r="J409" s="45"/>
      <c r="K409" s="45"/>
      <c r="L409" s="46"/>
      <c r="M409" s="46"/>
      <c r="N409" s="46"/>
      <c r="O409" s="46"/>
      <c r="P409" s="46"/>
      <c r="Q409" s="45"/>
      <c r="R409" s="45"/>
      <c r="S409" s="45"/>
      <c r="T409" s="45"/>
      <c r="U409" s="45"/>
      <c r="V409" s="45"/>
      <c r="W409" s="45"/>
    </row>
    <row r="410" spans="1:23" ht="11.25" customHeight="1">
      <c r="A410" s="48"/>
      <c r="B410" s="48"/>
      <c r="C410" s="45"/>
      <c r="D410" s="45"/>
      <c r="E410" s="45"/>
      <c r="F410" s="45"/>
      <c r="G410" s="45"/>
      <c r="H410" s="45"/>
      <c r="I410" s="45"/>
      <c r="J410" s="45"/>
      <c r="K410" s="45"/>
      <c r="L410" s="46"/>
      <c r="M410" s="46"/>
      <c r="N410" s="46"/>
      <c r="O410" s="46"/>
      <c r="P410" s="46"/>
      <c r="Q410" s="45"/>
      <c r="R410" s="45"/>
      <c r="S410" s="45"/>
      <c r="T410" s="45"/>
      <c r="U410" s="45"/>
      <c r="V410" s="45"/>
      <c r="W410" s="45"/>
    </row>
    <row r="411" spans="1:23" ht="11.25" customHeight="1">
      <c r="A411" s="48"/>
      <c r="B411" s="48"/>
      <c r="C411" s="45"/>
      <c r="D411" s="45"/>
      <c r="E411" s="45"/>
      <c r="F411" s="45"/>
      <c r="G411" s="45"/>
      <c r="H411" s="45"/>
      <c r="I411" s="45"/>
      <c r="J411" s="45"/>
      <c r="K411" s="45"/>
      <c r="L411" s="46"/>
      <c r="M411" s="46"/>
      <c r="N411" s="46"/>
      <c r="O411" s="46"/>
      <c r="P411" s="46"/>
      <c r="Q411" s="45"/>
      <c r="R411" s="45"/>
      <c r="S411" s="45"/>
      <c r="T411" s="45"/>
      <c r="U411" s="45"/>
      <c r="V411" s="45"/>
      <c r="W411" s="45"/>
    </row>
    <row r="412" spans="1:23" ht="11.25" customHeight="1">
      <c r="A412" s="48"/>
      <c r="B412" s="48"/>
      <c r="C412" s="45"/>
      <c r="D412" s="45"/>
      <c r="E412" s="45"/>
      <c r="F412" s="45"/>
      <c r="G412" s="45"/>
      <c r="H412" s="45"/>
      <c r="I412" s="45"/>
      <c r="J412" s="45"/>
      <c r="K412" s="45"/>
      <c r="L412" s="46"/>
      <c r="M412" s="46"/>
      <c r="N412" s="46"/>
      <c r="O412" s="46"/>
      <c r="P412" s="46"/>
      <c r="Q412" s="45"/>
      <c r="R412" s="45"/>
      <c r="S412" s="45"/>
      <c r="T412" s="45"/>
      <c r="U412" s="45"/>
      <c r="V412" s="45"/>
      <c r="W412" s="45"/>
    </row>
    <row r="413" spans="1:23" ht="11.25" customHeight="1">
      <c r="A413" s="48"/>
      <c r="B413" s="48"/>
      <c r="C413" s="45"/>
      <c r="D413" s="45"/>
      <c r="E413" s="45"/>
      <c r="F413" s="45"/>
      <c r="G413" s="45"/>
      <c r="H413" s="45"/>
      <c r="I413" s="45"/>
      <c r="J413" s="45"/>
      <c r="K413" s="45"/>
      <c r="L413" s="46"/>
      <c r="M413" s="46"/>
      <c r="N413" s="46"/>
      <c r="O413" s="46"/>
      <c r="P413" s="46"/>
      <c r="Q413" s="45"/>
      <c r="R413" s="45"/>
      <c r="S413" s="45"/>
      <c r="T413" s="45"/>
      <c r="U413" s="45"/>
      <c r="V413" s="45"/>
      <c r="W413" s="45"/>
    </row>
    <row r="414" spans="1:23" ht="11.25" customHeight="1">
      <c r="A414" s="48"/>
      <c r="B414" s="48"/>
      <c r="C414" s="45"/>
      <c r="D414" s="45"/>
      <c r="E414" s="45"/>
      <c r="F414" s="45"/>
      <c r="G414" s="45"/>
      <c r="H414" s="45"/>
      <c r="I414" s="45"/>
      <c r="J414" s="45"/>
      <c r="K414" s="45"/>
      <c r="L414" s="46"/>
      <c r="M414" s="46"/>
      <c r="N414" s="46"/>
      <c r="O414" s="46"/>
      <c r="P414" s="46"/>
      <c r="Q414" s="45"/>
      <c r="R414" s="45"/>
      <c r="S414" s="45"/>
      <c r="T414" s="45"/>
      <c r="U414" s="45"/>
      <c r="V414" s="45"/>
      <c r="W414" s="45"/>
    </row>
    <row r="415" spans="1:23" ht="11.25" customHeight="1">
      <c r="A415" s="48"/>
      <c r="B415" s="48"/>
      <c r="C415" s="45"/>
      <c r="D415" s="45"/>
      <c r="E415" s="45"/>
      <c r="F415" s="45"/>
      <c r="G415" s="45"/>
      <c r="H415" s="45"/>
      <c r="I415" s="45"/>
      <c r="J415" s="45"/>
      <c r="K415" s="45"/>
      <c r="L415" s="46"/>
      <c r="M415" s="46"/>
      <c r="N415" s="46"/>
      <c r="O415" s="46"/>
      <c r="P415" s="46"/>
      <c r="Q415" s="45"/>
      <c r="R415" s="45"/>
      <c r="S415" s="45"/>
      <c r="T415" s="45"/>
      <c r="U415" s="45"/>
      <c r="V415" s="45"/>
      <c r="W415" s="45"/>
    </row>
    <row r="416" spans="1:23" ht="11.25" customHeight="1">
      <c r="A416" s="48"/>
      <c r="B416" s="48"/>
      <c r="C416" s="45"/>
      <c r="D416" s="45"/>
      <c r="E416" s="45"/>
      <c r="F416" s="45"/>
      <c r="G416" s="45"/>
      <c r="H416" s="45"/>
      <c r="I416" s="45"/>
      <c r="J416" s="45"/>
      <c r="K416" s="45"/>
      <c r="L416" s="46"/>
      <c r="M416" s="46"/>
      <c r="N416" s="46"/>
      <c r="O416" s="46"/>
      <c r="P416" s="46"/>
      <c r="Q416" s="45"/>
      <c r="R416" s="45"/>
      <c r="S416" s="45"/>
      <c r="T416" s="45"/>
      <c r="U416" s="45"/>
      <c r="V416" s="45"/>
      <c r="W416" s="45"/>
    </row>
    <row r="417" spans="1:23" ht="11.25" customHeight="1">
      <c r="A417" s="48"/>
      <c r="B417" s="48"/>
      <c r="C417" s="45"/>
      <c r="D417" s="45"/>
      <c r="E417" s="45"/>
      <c r="F417" s="45"/>
      <c r="G417" s="45"/>
      <c r="H417" s="45"/>
      <c r="I417" s="45"/>
      <c r="J417" s="45"/>
      <c r="K417" s="45"/>
      <c r="L417" s="46"/>
      <c r="M417" s="46"/>
      <c r="N417" s="46"/>
      <c r="O417" s="46"/>
      <c r="P417" s="46"/>
      <c r="Q417" s="45"/>
      <c r="R417" s="45"/>
      <c r="S417" s="45"/>
      <c r="T417" s="45"/>
      <c r="U417" s="45"/>
      <c r="V417" s="45"/>
      <c r="W417" s="45"/>
    </row>
    <row r="418" spans="1:23" ht="11.25" customHeight="1">
      <c r="A418" s="48"/>
      <c r="B418" s="48"/>
      <c r="C418" s="45"/>
      <c r="D418" s="45"/>
      <c r="E418" s="45"/>
      <c r="F418" s="45"/>
      <c r="G418" s="45"/>
      <c r="H418" s="45"/>
      <c r="I418" s="45"/>
      <c r="J418" s="45"/>
      <c r="K418" s="45"/>
      <c r="L418" s="46"/>
      <c r="M418" s="46"/>
      <c r="N418" s="46"/>
      <c r="O418" s="46"/>
      <c r="P418" s="46"/>
      <c r="Q418" s="45"/>
      <c r="R418" s="45"/>
      <c r="S418" s="45"/>
      <c r="T418" s="45"/>
      <c r="U418" s="45"/>
      <c r="V418" s="45"/>
      <c r="W418" s="45"/>
    </row>
    <row r="419" spans="1:23" ht="11.25" customHeight="1">
      <c r="A419" s="48"/>
      <c r="B419" s="48"/>
      <c r="C419" s="45"/>
      <c r="D419" s="45"/>
      <c r="E419" s="45"/>
      <c r="F419" s="45"/>
      <c r="G419" s="45"/>
      <c r="H419" s="45"/>
      <c r="I419" s="45"/>
      <c r="J419" s="45"/>
      <c r="K419" s="45"/>
      <c r="L419" s="46"/>
      <c r="M419" s="46"/>
      <c r="N419" s="46"/>
      <c r="O419" s="46"/>
      <c r="P419" s="46"/>
      <c r="Q419" s="45"/>
      <c r="R419" s="45"/>
      <c r="S419" s="45"/>
      <c r="T419" s="45"/>
      <c r="U419" s="45"/>
      <c r="V419" s="45"/>
      <c r="W419" s="45"/>
    </row>
    <row r="420" spans="1:23" ht="11.25" customHeight="1">
      <c r="A420" s="48"/>
      <c r="B420" s="48"/>
      <c r="C420" s="45"/>
      <c r="D420" s="45"/>
      <c r="E420" s="45"/>
      <c r="F420" s="45"/>
      <c r="G420" s="45"/>
      <c r="H420" s="45"/>
      <c r="I420" s="45"/>
      <c r="J420" s="45"/>
      <c r="K420" s="45"/>
      <c r="L420" s="46"/>
      <c r="M420" s="46"/>
      <c r="N420" s="46"/>
      <c r="O420" s="46"/>
      <c r="P420" s="46"/>
      <c r="Q420" s="45"/>
      <c r="R420" s="45"/>
      <c r="S420" s="45"/>
      <c r="T420" s="45"/>
      <c r="U420" s="45"/>
      <c r="V420" s="45"/>
      <c r="W420" s="45"/>
    </row>
    <row r="421" spans="1:23" ht="11.25" customHeight="1">
      <c r="A421" s="48"/>
      <c r="B421" s="48"/>
      <c r="C421" s="45"/>
      <c r="D421" s="45"/>
      <c r="E421" s="45"/>
      <c r="F421" s="45"/>
      <c r="G421" s="45"/>
      <c r="H421" s="45"/>
      <c r="I421" s="45"/>
      <c r="J421" s="45"/>
      <c r="K421" s="45"/>
      <c r="L421" s="46"/>
      <c r="M421" s="46"/>
      <c r="N421" s="46"/>
      <c r="O421" s="46"/>
      <c r="P421" s="46"/>
      <c r="Q421" s="45"/>
      <c r="R421" s="45"/>
      <c r="S421" s="45"/>
      <c r="T421" s="45"/>
      <c r="U421" s="45"/>
      <c r="V421" s="45"/>
      <c r="W421" s="45"/>
    </row>
    <row r="422" spans="1:23" ht="11.25" customHeight="1">
      <c r="A422" s="48"/>
      <c r="B422" s="48"/>
      <c r="C422" s="45"/>
      <c r="D422" s="45"/>
      <c r="E422" s="45"/>
      <c r="F422" s="45"/>
      <c r="G422" s="45"/>
      <c r="H422" s="45"/>
      <c r="I422" s="45"/>
      <c r="J422" s="45"/>
      <c r="K422" s="45"/>
      <c r="L422" s="46"/>
      <c r="M422" s="46"/>
      <c r="N422" s="46"/>
      <c r="O422" s="46"/>
      <c r="P422" s="46"/>
      <c r="Q422" s="45"/>
      <c r="R422" s="45"/>
      <c r="S422" s="45"/>
      <c r="T422" s="45"/>
      <c r="U422" s="45"/>
      <c r="V422" s="45"/>
      <c r="W422" s="45"/>
    </row>
    <row r="423" spans="1:23" ht="11.25" customHeight="1">
      <c r="A423" s="48"/>
      <c r="B423" s="48"/>
      <c r="C423" s="45"/>
      <c r="D423" s="45"/>
      <c r="E423" s="45"/>
      <c r="F423" s="45"/>
      <c r="G423" s="45"/>
      <c r="H423" s="45"/>
      <c r="I423" s="45"/>
      <c r="J423" s="45"/>
      <c r="K423" s="45"/>
      <c r="L423" s="46"/>
      <c r="M423" s="46"/>
      <c r="N423" s="46"/>
      <c r="O423" s="46"/>
      <c r="P423" s="46"/>
      <c r="Q423" s="45"/>
      <c r="R423" s="45"/>
      <c r="S423" s="45"/>
      <c r="T423" s="45"/>
      <c r="U423" s="45"/>
      <c r="V423" s="45"/>
      <c r="W423" s="45"/>
    </row>
    <row r="424" spans="1:23" ht="11.25" customHeight="1">
      <c r="A424" s="48"/>
      <c r="B424" s="48"/>
      <c r="C424" s="45"/>
      <c r="D424" s="45"/>
      <c r="E424" s="45"/>
      <c r="F424" s="45"/>
      <c r="G424" s="45"/>
      <c r="H424" s="45"/>
      <c r="I424" s="45"/>
      <c r="J424" s="45"/>
      <c r="K424" s="45"/>
      <c r="L424" s="46"/>
      <c r="M424" s="46"/>
      <c r="N424" s="46"/>
      <c r="O424" s="46"/>
      <c r="P424" s="46"/>
      <c r="Q424" s="45"/>
      <c r="R424" s="45"/>
      <c r="S424" s="45"/>
      <c r="T424" s="45"/>
      <c r="U424" s="45"/>
      <c r="V424" s="45"/>
      <c r="W424" s="45"/>
    </row>
    <row r="425" spans="1:23" ht="11.25" customHeight="1">
      <c r="A425" s="48"/>
      <c r="B425" s="48"/>
      <c r="C425" s="45"/>
      <c r="D425" s="45"/>
      <c r="E425" s="45"/>
      <c r="F425" s="45"/>
      <c r="G425" s="45"/>
      <c r="H425" s="45"/>
      <c r="I425" s="45"/>
      <c r="J425" s="45"/>
      <c r="K425" s="45"/>
      <c r="L425" s="46"/>
      <c r="M425" s="46"/>
      <c r="N425" s="46"/>
      <c r="O425" s="46"/>
      <c r="P425" s="46"/>
      <c r="Q425" s="45"/>
      <c r="R425" s="45"/>
      <c r="S425" s="45"/>
      <c r="T425" s="45"/>
      <c r="U425" s="45"/>
      <c r="V425" s="45"/>
      <c r="W425" s="45"/>
    </row>
    <row r="426" spans="1:23" ht="11.25" customHeight="1">
      <c r="A426" s="48"/>
      <c r="B426" s="48"/>
      <c r="C426" s="45"/>
      <c r="D426" s="45"/>
      <c r="E426" s="45"/>
      <c r="F426" s="45"/>
      <c r="G426" s="45"/>
      <c r="H426" s="45"/>
      <c r="I426" s="45"/>
      <c r="J426" s="45"/>
      <c r="K426" s="45"/>
      <c r="L426" s="46"/>
      <c r="M426" s="46"/>
      <c r="N426" s="46"/>
      <c r="O426" s="46"/>
      <c r="P426" s="46"/>
      <c r="Q426" s="45"/>
      <c r="R426" s="45"/>
      <c r="S426" s="45"/>
      <c r="T426" s="45"/>
      <c r="U426" s="45"/>
      <c r="V426" s="45"/>
      <c r="W426" s="45"/>
    </row>
    <row r="427" spans="1:23" ht="11.25" customHeight="1">
      <c r="A427" s="48"/>
      <c r="B427" s="48"/>
      <c r="C427" s="45"/>
      <c r="D427" s="45"/>
      <c r="E427" s="45"/>
      <c r="F427" s="45"/>
      <c r="G427" s="45"/>
      <c r="H427" s="45"/>
      <c r="I427" s="45"/>
      <c r="J427" s="45"/>
      <c r="K427" s="45"/>
      <c r="L427" s="46"/>
      <c r="M427" s="46"/>
      <c r="N427" s="46"/>
      <c r="O427" s="46"/>
      <c r="P427" s="46"/>
      <c r="Q427" s="45"/>
      <c r="R427" s="45"/>
      <c r="S427" s="45"/>
      <c r="T427" s="45"/>
      <c r="U427" s="45"/>
      <c r="V427" s="45"/>
      <c r="W427" s="45"/>
    </row>
    <row r="428" spans="1:23" ht="11.25" customHeight="1">
      <c r="A428" s="48"/>
      <c r="B428" s="48"/>
      <c r="C428" s="45"/>
      <c r="D428" s="45"/>
      <c r="E428" s="45"/>
      <c r="F428" s="45"/>
      <c r="G428" s="45"/>
      <c r="H428" s="45"/>
      <c r="I428" s="45"/>
      <c r="J428" s="45"/>
      <c r="K428" s="45"/>
      <c r="L428" s="46"/>
      <c r="M428" s="46"/>
      <c r="N428" s="46"/>
      <c r="O428" s="46"/>
      <c r="P428" s="46"/>
      <c r="Q428" s="45"/>
      <c r="R428" s="45"/>
      <c r="S428" s="45"/>
      <c r="T428" s="45"/>
      <c r="U428" s="45"/>
      <c r="V428" s="45"/>
      <c r="W428" s="45"/>
    </row>
    <row r="429" spans="1:23" ht="11.25" customHeight="1">
      <c r="A429" s="48"/>
      <c r="B429" s="48"/>
      <c r="C429" s="45"/>
      <c r="D429" s="45"/>
      <c r="E429" s="45"/>
      <c r="F429" s="45"/>
      <c r="G429" s="45"/>
      <c r="H429" s="45"/>
      <c r="I429" s="45"/>
      <c r="J429" s="45"/>
      <c r="K429" s="45"/>
      <c r="L429" s="46"/>
      <c r="M429" s="46"/>
      <c r="N429" s="46"/>
      <c r="O429" s="46"/>
      <c r="P429" s="46"/>
      <c r="Q429" s="45"/>
      <c r="R429" s="45"/>
      <c r="S429" s="45"/>
      <c r="T429" s="45"/>
      <c r="U429" s="45"/>
      <c r="V429" s="45"/>
      <c r="W429" s="45"/>
    </row>
    <row r="430" spans="1:23" ht="11.25" customHeight="1">
      <c r="A430" s="48"/>
      <c r="B430" s="48"/>
      <c r="C430" s="45"/>
      <c r="D430" s="45"/>
      <c r="E430" s="45"/>
      <c r="F430" s="45"/>
      <c r="G430" s="45"/>
      <c r="H430" s="45"/>
      <c r="I430" s="45"/>
      <c r="J430" s="45"/>
      <c r="K430" s="45"/>
      <c r="L430" s="46"/>
      <c r="M430" s="46"/>
      <c r="N430" s="46"/>
      <c r="O430" s="46"/>
      <c r="P430" s="46"/>
      <c r="Q430" s="45"/>
      <c r="R430" s="45"/>
      <c r="S430" s="45"/>
      <c r="T430" s="45"/>
      <c r="U430" s="45"/>
      <c r="V430" s="45"/>
      <c r="W430" s="45"/>
    </row>
    <row r="431" spans="1:23" ht="11.25" customHeight="1">
      <c r="A431" s="48"/>
      <c r="B431" s="48"/>
      <c r="C431" s="45"/>
      <c r="D431" s="45"/>
      <c r="E431" s="45"/>
      <c r="F431" s="45"/>
      <c r="G431" s="45"/>
      <c r="H431" s="45"/>
      <c r="I431" s="45"/>
      <c r="J431" s="45"/>
      <c r="K431" s="45"/>
      <c r="L431" s="46"/>
      <c r="M431" s="46"/>
      <c r="N431" s="46"/>
      <c r="O431" s="46"/>
      <c r="P431" s="46"/>
      <c r="Q431" s="45"/>
      <c r="R431" s="45"/>
      <c r="S431" s="45"/>
      <c r="T431" s="45"/>
      <c r="U431" s="45"/>
      <c r="V431" s="45"/>
      <c r="W431" s="45"/>
    </row>
    <row r="432" spans="1:23" ht="11.25" customHeight="1">
      <c r="A432" s="48"/>
      <c r="B432" s="48"/>
      <c r="C432" s="45"/>
      <c r="D432" s="45"/>
      <c r="E432" s="45"/>
      <c r="F432" s="45"/>
      <c r="G432" s="45"/>
      <c r="H432" s="45"/>
      <c r="I432" s="45"/>
      <c r="J432" s="45"/>
      <c r="K432" s="45"/>
      <c r="L432" s="46"/>
      <c r="M432" s="46"/>
      <c r="N432" s="46"/>
      <c r="O432" s="46"/>
      <c r="P432" s="46"/>
      <c r="Q432" s="45"/>
      <c r="R432" s="45"/>
      <c r="S432" s="45"/>
      <c r="T432" s="45"/>
      <c r="U432" s="45"/>
      <c r="V432" s="45"/>
      <c r="W432" s="45"/>
    </row>
    <row r="433" spans="1:23" ht="11.25" customHeight="1">
      <c r="A433" s="48"/>
      <c r="B433" s="48"/>
      <c r="C433" s="45"/>
      <c r="D433" s="45"/>
      <c r="E433" s="45"/>
      <c r="F433" s="45"/>
      <c r="G433" s="45"/>
      <c r="H433" s="45"/>
      <c r="I433" s="45"/>
      <c r="J433" s="45"/>
      <c r="K433" s="45"/>
      <c r="L433" s="46"/>
      <c r="M433" s="46"/>
      <c r="N433" s="46"/>
      <c r="O433" s="46"/>
      <c r="P433" s="46"/>
      <c r="Q433" s="45"/>
      <c r="R433" s="45"/>
      <c r="S433" s="45"/>
      <c r="T433" s="45"/>
      <c r="U433" s="45"/>
      <c r="V433" s="45"/>
      <c r="W433" s="45"/>
    </row>
    <row r="434" spans="1:23" ht="11.25" customHeight="1">
      <c r="A434" s="48"/>
      <c r="B434" s="48"/>
      <c r="C434" s="45"/>
      <c r="D434" s="45"/>
      <c r="E434" s="45"/>
      <c r="F434" s="45"/>
      <c r="G434" s="45"/>
      <c r="H434" s="45"/>
      <c r="I434" s="45"/>
      <c r="J434" s="45"/>
      <c r="K434" s="45"/>
      <c r="L434" s="46"/>
      <c r="M434" s="46"/>
      <c r="N434" s="46"/>
      <c r="O434" s="46"/>
      <c r="P434" s="46"/>
      <c r="Q434" s="45"/>
      <c r="R434" s="45"/>
      <c r="S434" s="45"/>
      <c r="T434" s="45"/>
      <c r="U434" s="45"/>
      <c r="V434" s="45"/>
      <c r="W434" s="45"/>
    </row>
    <row r="435" spans="1:23" ht="11.25" customHeight="1">
      <c r="A435" s="48"/>
      <c r="B435" s="48"/>
      <c r="C435" s="45"/>
      <c r="D435" s="45"/>
      <c r="E435" s="45"/>
      <c r="F435" s="45"/>
      <c r="G435" s="45"/>
      <c r="H435" s="45"/>
      <c r="I435" s="45"/>
      <c r="J435" s="45"/>
      <c r="K435" s="45"/>
      <c r="L435" s="46"/>
      <c r="M435" s="46"/>
      <c r="N435" s="46"/>
      <c r="O435" s="46"/>
      <c r="P435" s="46"/>
      <c r="Q435" s="45"/>
      <c r="R435" s="45"/>
      <c r="S435" s="45"/>
      <c r="T435" s="45"/>
      <c r="U435" s="45"/>
      <c r="V435" s="45"/>
      <c r="W435" s="45"/>
    </row>
    <row r="436" spans="1:23" ht="11.25" customHeight="1">
      <c r="A436" s="48"/>
      <c r="B436" s="48"/>
      <c r="C436" s="45"/>
      <c r="D436" s="45"/>
      <c r="E436" s="45"/>
      <c r="F436" s="45"/>
      <c r="G436" s="45"/>
      <c r="H436" s="45"/>
      <c r="I436" s="45"/>
      <c r="J436" s="45"/>
      <c r="K436" s="45"/>
      <c r="L436" s="46"/>
      <c r="M436" s="46"/>
      <c r="N436" s="46"/>
      <c r="O436" s="46"/>
      <c r="P436" s="46"/>
      <c r="Q436" s="45"/>
      <c r="R436" s="45"/>
      <c r="S436" s="45"/>
      <c r="T436" s="45"/>
      <c r="U436" s="45"/>
      <c r="V436" s="45"/>
      <c r="W436" s="45"/>
    </row>
    <row r="437" spans="1:23" ht="11.25" customHeight="1">
      <c r="A437" s="48"/>
      <c r="B437" s="48"/>
      <c r="C437" s="45"/>
      <c r="D437" s="45"/>
      <c r="E437" s="45"/>
      <c r="F437" s="45"/>
      <c r="G437" s="45"/>
      <c r="H437" s="45"/>
      <c r="I437" s="45"/>
      <c r="J437" s="45"/>
      <c r="K437" s="45"/>
      <c r="L437" s="46"/>
      <c r="M437" s="46"/>
      <c r="N437" s="46"/>
      <c r="O437" s="46"/>
      <c r="P437" s="46"/>
      <c r="Q437" s="45"/>
      <c r="R437" s="45"/>
      <c r="S437" s="45"/>
      <c r="T437" s="45"/>
      <c r="U437" s="45"/>
      <c r="V437" s="45"/>
      <c r="W437" s="45"/>
    </row>
    <row r="438" spans="1:23" ht="11.25" customHeight="1">
      <c r="A438" s="48"/>
      <c r="B438" s="48"/>
      <c r="C438" s="45"/>
      <c r="D438" s="45"/>
      <c r="E438" s="45"/>
      <c r="F438" s="45"/>
      <c r="G438" s="45"/>
      <c r="H438" s="45"/>
      <c r="I438" s="45"/>
      <c r="J438" s="45"/>
      <c r="K438" s="45"/>
      <c r="L438" s="46"/>
      <c r="M438" s="46"/>
      <c r="N438" s="46"/>
      <c r="O438" s="46"/>
      <c r="P438" s="46"/>
      <c r="Q438" s="45"/>
      <c r="R438" s="45"/>
      <c r="S438" s="45"/>
      <c r="T438" s="45"/>
      <c r="U438" s="45"/>
      <c r="V438" s="45"/>
      <c r="W438" s="45"/>
    </row>
    <row r="439" spans="1:23" ht="11.25" customHeight="1">
      <c r="A439" s="48"/>
      <c r="B439" s="48"/>
      <c r="C439" s="45"/>
      <c r="D439" s="45"/>
      <c r="E439" s="45"/>
      <c r="F439" s="45"/>
      <c r="G439" s="45"/>
      <c r="H439" s="45"/>
      <c r="I439" s="45"/>
      <c r="J439" s="45"/>
      <c r="K439" s="45"/>
      <c r="L439" s="46"/>
      <c r="M439" s="46"/>
      <c r="N439" s="46"/>
      <c r="O439" s="46"/>
      <c r="P439" s="46"/>
      <c r="Q439" s="45"/>
      <c r="R439" s="45"/>
      <c r="S439" s="45"/>
      <c r="T439" s="45"/>
      <c r="U439" s="45"/>
      <c r="V439" s="45"/>
      <c r="W439" s="45"/>
    </row>
    <row r="440" spans="1:23" ht="11.25" customHeight="1">
      <c r="A440" s="48"/>
      <c r="B440" s="48"/>
      <c r="C440" s="45"/>
      <c r="D440" s="45"/>
      <c r="E440" s="45"/>
      <c r="F440" s="45"/>
      <c r="G440" s="45"/>
      <c r="H440" s="45"/>
      <c r="I440" s="45"/>
      <c r="J440" s="45"/>
      <c r="K440" s="45"/>
      <c r="L440" s="46"/>
      <c r="M440" s="46"/>
      <c r="N440" s="46"/>
      <c r="O440" s="46"/>
      <c r="P440" s="46"/>
      <c r="Q440" s="45"/>
      <c r="R440" s="45"/>
      <c r="S440" s="45"/>
      <c r="T440" s="45"/>
      <c r="U440" s="45"/>
      <c r="V440" s="45"/>
      <c r="W440" s="45"/>
    </row>
    <row r="441" spans="1:23" ht="11.25" customHeight="1">
      <c r="A441" s="48"/>
      <c r="B441" s="48"/>
      <c r="C441" s="45"/>
      <c r="D441" s="45"/>
      <c r="E441" s="45"/>
      <c r="F441" s="45"/>
      <c r="G441" s="45"/>
      <c r="H441" s="45"/>
      <c r="I441" s="45"/>
      <c r="J441" s="45"/>
      <c r="K441" s="45"/>
      <c r="L441" s="46"/>
      <c r="M441" s="46"/>
      <c r="N441" s="46"/>
      <c r="O441" s="46"/>
      <c r="P441" s="46"/>
      <c r="Q441" s="45"/>
      <c r="R441" s="45"/>
      <c r="S441" s="45"/>
      <c r="T441" s="45"/>
      <c r="U441" s="45"/>
      <c r="V441" s="45"/>
      <c r="W441" s="45"/>
    </row>
    <row r="442" spans="1:23" ht="11.25" customHeight="1">
      <c r="A442" s="48"/>
      <c r="B442" s="48"/>
      <c r="C442" s="45"/>
      <c r="D442" s="45"/>
      <c r="E442" s="45"/>
      <c r="F442" s="45"/>
      <c r="G442" s="45"/>
      <c r="H442" s="45"/>
      <c r="I442" s="45"/>
      <c r="J442" s="45"/>
      <c r="K442" s="45"/>
      <c r="L442" s="46"/>
      <c r="M442" s="46"/>
      <c r="N442" s="46"/>
      <c r="O442" s="46"/>
      <c r="P442" s="46"/>
      <c r="Q442" s="45"/>
      <c r="R442" s="45"/>
      <c r="S442" s="45"/>
      <c r="T442" s="45"/>
      <c r="U442" s="45"/>
      <c r="V442" s="45"/>
      <c r="W442" s="45"/>
    </row>
    <row r="443" spans="1:23" ht="11.25" customHeight="1">
      <c r="A443" s="48"/>
      <c r="B443" s="48"/>
      <c r="C443" s="45"/>
      <c r="D443" s="45"/>
      <c r="E443" s="45"/>
      <c r="F443" s="45"/>
      <c r="G443" s="45"/>
      <c r="H443" s="45"/>
      <c r="I443" s="45"/>
      <c r="J443" s="45"/>
      <c r="K443" s="45"/>
      <c r="L443" s="46"/>
      <c r="M443" s="46"/>
      <c r="N443" s="46"/>
      <c r="O443" s="46"/>
      <c r="P443" s="46"/>
      <c r="Q443" s="45"/>
      <c r="R443" s="45"/>
      <c r="S443" s="45"/>
      <c r="T443" s="45"/>
      <c r="U443" s="45"/>
      <c r="V443" s="45"/>
      <c r="W443" s="45"/>
    </row>
    <row r="444" spans="1:23" ht="11.25" customHeight="1">
      <c r="A444" s="48"/>
      <c r="B444" s="48"/>
      <c r="C444" s="45"/>
      <c r="D444" s="45"/>
      <c r="E444" s="45"/>
      <c r="F444" s="45"/>
      <c r="G444" s="45"/>
      <c r="H444" s="45"/>
      <c r="I444" s="45"/>
      <c r="J444" s="45"/>
      <c r="K444" s="45"/>
      <c r="L444" s="46"/>
      <c r="M444" s="46"/>
      <c r="N444" s="46"/>
      <c r="O444" s="46"/>
      <c r="P444" s="46"/>
      <c r="Q444" s="45"/>
      <c r="R444" s="45"/>
      <c r="S444" s="45"/>
      <c r="T444" s="45"/>
      <c r="U444" s="45"/>
      <c r="V444" s="45"/>
      <c r="W444" s="45"/>
    </row>
    <row r="445" spans="1:23" ht="11.25" customHeight="1">
      <c r="A445" s="48"/>
      <c r="B445" s="48"/>
      <c r="C445" s="45"/>
      <c r="D445" s="45"/>
      <c r="E445" s="45"/>
      <c r="F445" s="45"/>
      <c r="G445" s="45"/>
      <c r="H445" s="45"/>
      <c r="I445" s="45"/>
      <c r="J445" s="45"/>
      <c r="K445" s="45"/>
      <c r="L445" s="46"/>
      <c r="M445" s="46"/>
      <c r="N445" s="46"/>
      <c r="O445" s="46"/>
      <c r="P445" s="46"/>
      <c r="Q445" s="45"/>
      <c r="R445" s="45"/>
      <c r="S445" s="45"/>
      <c r="T445" s="45"/>
      <c r="U445" s="45"/>
      <c r="V445" s="45"/>
      <c r="W445" s="45"/>
    </row>
    <row r="446" spans="1:23" ht="11.25" customHeight="1">
      <c r="A446" s="48"/>
      <c r="B446" s="48"/>
      <c r="C446" s="45"/>
      <c r="D446" s="45"/>
      <c r="E446" s="45"/>
      <c r="F446" s="45"/>
      <c r="G446" s="45"/>
      <c r="H446" s="45"/>
      <c r="I446" s="45"/>
      <c r="J446" s="45"/>
      <c r="K446" s="45"/>
      <c r="L446" s="46"/>
      <c r="M446" s="46"/>
      <c r="N446" s="46"/>
      <c r="O446" s="46"/>
      <c r="P446" s="46"/>
      <c r="Q446" s="45"/>
      <c r="R446" s="45"/>
      <c r="S446" s="45"/>
      <c r="T446" s="45"/>
      <c r="U446" s="45"/>
      <c r="V446" s="45"/>
      <c r="W446" s="45"/>
    </row>
    <row r="447" spans="1:23" ht="11.25" customHeight="1">
      <c r="A447" s="48"/>
      <c r="B447" s="48"/>
      <c r="C447" s="45"/>
      <c r="D447" s="45"/>
      <c r="E447" s="45"/>
      <c r="F447" s="45"/>
      <c r="G447" s="45"/>
      <c r="H447" s="45"/>
      <c r="I447" s="45"/>
      <c r="J447" s="45"/>
      <c r="K447" s="45"/>
      <c r="L447" s="46"/>
      <c r="M447" s="46"/>
      <c r="N447" s="46"/>
      <c r="O447" s="46"/>
      <c r="P447" s="46"/>
      <c r="Q447" s="45"/>
      <c r="R447" s="45"/>
      <c r="S447" s="45"/>
      <c r="T447" s="45"/>
      <c r="U447" s="45"/>
      <c r="V447" s="45"/>
      <c r="W447" s="45"/>
    </row>
    <row r="448" spans="1:23" ht="11.25" customHeight="1">
      <c r="A448" s="48"/>
      <c r="B448" s="48"/>
      <c r="C448" s="45"/>
      <c r="D448" s="45"/>
      <c r="E448" s="45"/>
      <c r="F448" s="45"/>
      <c r="G448" s="45"/>
      <c r="H448" s="45"/>
      <c r="I448" s="45"/>
      <c r="J448" s="45"/>
      <c r="K448" s="45"/>
      <c r="L448" s="46"/>
      <c r="M448" s="46"/>
      <c r="N448" s="46"/>
      <c r="O448" s="46"/>
      <c r="P448" s="46"/>
      <c r="Q448" s="45"/>
      <c r="R448" s="45"/>
      <c r="S448" s="45"/>
      <c r="T448" s="45"/>
      <c r="U448" s="45"/>
      <c r="V448" s="45"/>
      <c r="W448" s="45"/>
    </row>
    <row r="449" spans="1:23" ht="11.25" customHeight="1">
      <c r="A449" s="48"/>
      <c r="B449" s="48"/>
      <c r="C449" s="45"/>
      <c r="D449" s="45"/>
      <c r="E449" s="45"/>
      <c r="F449" s="45"/>
      <c r="G449" s="45"/>
      <c r="H449" s="45"/>
      <c r="I449" s="45"/>
      <c r="J449" s="45"/>
      <c r="K449" s="45"/>
      <c r="L449" s="46"/>
      <c r="M449" s="46"/>
      <c r="N449" s="46"/>
      <c r="O449" s="46"/>
      <c r="P449" s="46"/>
      <c r="Q449" s="45"/>
      <c r="R449" s="45"/>
      <c r="S449" s="45"/>
      <c r="T449" s="45"/>
      <c r="U449" s="45"/>
      <c r="V449" s="45"/>
      <c r="W449" s="45"/>
    </row>
    <row r="450" spans="1:23" ht="11.25" customHeight="1">
      <c r="A450" s="48"/>
      <c r="B450" s="48"/>
      <c r="C450" s="45"/>
      <c r="D450" s="45"/>
      <c r="E450" s="45"/>
      <c r="F450" s="45"/>
      <c r="G450" s="45"/>
      <c r="H450" s="45"/>
      <c r="I450" s="45"/>
      <c r="J450" s="45"/>
      <c r="K450" s="45"/>
      <c r="L450" s="46"/>
      <c r="M450" s="46"/>
      <c r="N450" s="46"/>
      <c r="O450" s="46"/>
      <c r="P450" s="46"/>
      <c r="Q450" s="45"/>
      <c r="R450" s="45"/>
      <c r="S450" s="45"/>
      <c r="T450" s="45"/>
      <c r="U450" s="45"/>
      <c r="V450" s="45"/>
      <c r="W450" s="45"/>
    </row>
    <row r="451" spans="1:23" ht="11.25" customHeight="1">
      <c r="A451" s="48"/>
      <c r="B451" s="48"/>
      <c r="C451" s="45"/>
      <c r="D451" s="45"/>
      <c r="E451" s="45"/>
      <c r="F451" s="45"/>
      <c r="G451" s="45"/>
      <c r="H451" s="45"/>
      <c r="I451" s="45"/>
      <c r="J451" s="45"/>
      <c r="K451" s="45"/>
      <c r="L451" s="46"/>
      <c r="M451" s="46"/>
      <c r="N451" s="46"/>
      <c r="O451" s="46"/>
      <c r="P451" s="46"/>
      <c r="Q451" s="45"/>
      <c r="R451" s="45"/>
      <c r="S451" s="45"/>
      <c r="T451" s="45"/>
      <c r="U451" s="45"/>
      <c r="V451" s="45"/>
      <c r="W451" s="45"/>
    </row>
    <row r="452" spans="1:23" ht="11.25" customHeight="1">
      <c r="A452" s="48"/>
      <c r="B452" s="48"/>
      <c r="C452" s="45"/>
      <c r="D452" s="45"/>
      <c r="E452" s="45"/>
      <c r="F452" s="45"/>
      <c r="G452" s="45"/>
      <c r="H452" s="45"/>
      <c r="I452" s="45"/>
      <c r="J452" s="45"/>
      <c r="K452" s="45"/>
      <c r="L452" s="46"/>
      <c r="M452" s="46"/>
      <c r="N452" s="46"/>
      <c r="O452" s="46"/>
      <c r="P452" s="46"/>
      <c r="Q452" s="45"/>
      <c r="R452" s="45"/>
      <c r="S452" s="45"/>
      <c r="T452" s="45"/>
      <c r="U452" s="45"/>
      <c r="V452" s="45"/>
      <c r="W452" s="45"/>
    </row>
    <row r="453" spans="1:23" ht="11.25" customHeight="1">
      <c r="A453" s="48"/>
      <c r="B453" s="48"/>
      <c r="C453" s="45"/>
      <c r="D453" s="45"/>
      <c r="E453" s="45"/>
      <c r="F453" s="45"/>
      <c r="G453" s="45"/>
      <c r="H453" s="45"/>
      <c r="I453" s="45"/>
      <c r="J453" s="45"/>
      <c r="K453" s="45"/>
      <c r="L453" s="46"/>
      <c r="M453" s="46"/>
      <c r="N453" s="46"/>
      <c r="O453" s="46"/>
      <c r="P453" s="46"/>
      <c r="Q453" s="45"/>
      <c r="R453" s="45"/>
      <c r="S453" s="45"/>
      <c r="T453" s="45"/>
      <c r="U453" s="45"/>
      <c r="V453" s="45"/>
      <c r="W453" s="45"/>
    </row>
    <row r="454" spans="1:23" ht="11.25" customHeight="1">
      <c r="A454" s="48"/>
      <c r="B454" s="48"/>
      <c r="C454" s="45"/>
      <c r="D454" s="45"/>
      <c r="E454" s="45"/>
      <c r="F454" s="45"/>
      <c r="G454" s="45"/>
      <c r="H454" s="45"/>
      <c r="I454" s="45"/>
      <c r="J454" s="45"/>
      <c r="K454" s="45"/>
      <c r="L454" s="46"/>
      <c r="M454" s="46"/>
      <c r="N454" s="46"/>
      <c r="O454" s="46"/>
      <c r="P454" s="46"/>
      <c r="Q454" s="45"/>
      <c r="R454" s="45"/>
      <c r="S454" s="45"/>
      <c r="T454" s="45"/>
      <c r="U454" s="45"/>
      <c r="V454" s="45"/>
      <c r="W454" s="45"/>
    </row>
    <row r="455" spans="1:23" ht="11.25" customHeight="1">
      <c r="A455" s="48"/>
      <c r="B455" s="48"/>
      <c r="C455" s="45"/>
      <c r="D455" s="45"/>
      <c r="E455" s="45"/>
      <c r="F455" s="45"/>
      <c r="G455" s="45"/>
      <c r="H455" s="45"/>
      <c r="I455" s="45"/>
      <c r="J455" s="45"/>
      <c r="K455" s="45"/>
      <c r="L455" s="46"/>
      <c r="M455" s="46"/>
      <c r="N455" s="46"/>
      <c r="O455" s="46"/>
      <c r="P455" s="46"/>
      <c r="Q455" s="45"/>
      <c r="R455" s="45"/>
      <c r="S455" s="45"/>
      <c r="T455" s="45"/>
      <c r="U455" s="45"/>
      <c r="V455" s="45"/>
      <c r="W455" s="45"/>
    </row>
    <row r="456" spans="1:23" ht="11.25" customHeight="1">
      <c r="A456" s="48"/>
      <c r="B456" s="48"/>
      <c r="C456" s="45"/>
      <c r="D456" s="45"/>
      <c r="E456" s="45"/>
      <c r="F456" s="45"/>
      <c r="G456" s="45"/>
      <c r="H456" s="45"/>
      <c r="I456" s="45"/>
      <c r="J456" s="45"/>
      <c r="K456" s="45"/>
      <c r="L456" s="46"/>
      <c r="M456" s="46"/>
      <c r="N456" s="46"/>
      <c r="O456" s="46"/>
      <c r="P456" s="46"/>
      <c r="Q456" s="45"/>
      <c r="R456" s="45"/>
      <c r="S456" s="45"/>
      <c r="T456" s="45"/>
      <c r="U456" s="45"/>
      <c r="V456" s="45"/>
      <c r="W456" s="45"/>
    </row>
    <row r="457" spans="1:23" ht="11.25" customHeight="1">
      <c r="A457" s="48"/>
      <c r="B457" s="48"/>
      <c r="C457" s="45"/>
      <c r="D457" s="45"/>
      <c r="E457" s="45"/>
      <c r="F457" s="45"/>
      <c r="G457" s="45"/>
      <c r="H457" s="45"/>
      <c r="I457" s="45"/>
      <c r="J457" s="45"/>
      <c r="K457" s="45"/>
      <c r="L457" s="46"/>
      <c r="M457" s="46"/>
      <c r="N457" s="46"/>
      <c r="O457" s="46"/>
      <c r="P457" s="46"/>
      <c r="Q457" s="45"/>
      <c r="R457" s="45"/>
      <c r="S457" s="45"/>
      <c r="T457" s="45"/>
      <c r="U457" s="45"/>
      <c r="V457" s="45"/>
      <c r="W457" s="45"/>
    </row>
    <row r="458" spans="1:23" ht="11.25" customHeight="1">
      <c r="A458" s="48"/>
      <c r="B458" s="48"/>
      <c r="C458" s="45"/>
      <c r="D458" s="45"/>
      <c r="E458" s="45"/>
      <c r="F458" s="45"/>
      <c r="G458" s="45"/>
      <c r="H458" s="45"/>
      <c r="I458" s="45"/>
      <c r="J458" s="45"/>
      <c r="K458" s="45"/>
      <c r="L458" s="46"/>
      <c r="M458" s="46"/>
      <c r="N458" s="46"/>
      <c r="O458" s="46"/>
      <c r="P458" s="46"/>
      <c r="Q458" s="45"/>
      <c r="R458" s="45"/>
      <c r="S458" s="45"/>
      <c r="T458" s="45"/>
      <c r="U458" s="45"/>
      <c r="V458" s="45"/>
      <c r="W458" s="45"/>
    </row>
    <row r="459" spans="1:23" ht="11.25" customHeight="1">
      <c r="A459" s="48"/>
      <c r="B459" s="48"/>
      <c r="C459" s="45"/>
      <c r="D459" s="45"/>
      <c r="E459" s="45"/>
      <c r="F459" s="45"/>
      <c r="G459" s="45"/>
      <c r="H459" s="45"/>
      <c r="I459" s="45"/>
      <c r="J459" s="45"/>
      <c r="K459" s="45"/>
      <c r="L459" s="46"/>
      <c r="M459" s="46"/>
      <c r="N459" s="46"/>
      <c r="O459" s="46"/>
      <c r="P459" s="46"/>
      <c r="Q459" s="45"/>
      <c r="R459" s="45"/>
      <c r="S459" s="45"/>
      <c r="T459" s="45"/>
      <c r="U459" s="45"/>
      <c r="V459" s="45"/>
      <c r="W459" s="45"/>
    </row>
    <row r="460" spans="1:23" ht="11.25" customHeight="1">
      <c r="A460" s="48"/>
      <c r="B460" s="48"/>
      <c r="C460" s="45"/>
      <c r="D460" s="45"/>
      <c r="E460" s="45"/>
      <c r="F460" s="45"/>
      <c r="G460" s="45"/>
      <c r="H460" s="45"/>
      <c r="I460" s="45"/>
      <c r="J460" s="45"/>
      <c r="K460" s="45"/>
      <c r="L460" s="46"/>
      <c r="M460" s="46"/>
      <c r="N460" s="46"/>
      <c r="O460" s="46"/>
      <c r="P460" s="46"/>
      <c r="Q460" s="45"/>
      <c r="R460" s="45"/>
      <c r="S460" s="45"/>
      <c r="T460" s="45"/>
      <c r="U460" s="45"/>
      <c r="V460" s="45"/>
      <c r="W460" s="45"/>
    </row>
    <row r="461" spans="1:23" ht="11.25" customHeight="1">
      <c r="A461" s="48"/>
      <c r="B461" s="48"/>
      <c r="C461" s="45"/>
      <c r="D461" s="45"/>
      <c r="E461" s="45"/>
      <c r="F461" s="45"/>
      <c r="G461" s="45"/>
      <c r="H461" s="45"/>
      <c r="I461" s="45"/>
      <c r="J461" s="45"/>
      <c r="K461" s="45"/>
      <c r="L461" s="46"/>
      <c r="M461" s="46"/>
      <c r="N461" s="46"/>
      <c r="O461" s="46"/>
      <c r="P461" s="46"/>
      <c r="Q461" s="45"/>
      <c r="R461" s="45"/>
      <c r="S461" s="45"/>
      <c r="T461" s="45"/>
      <c r="U461" s="45"/>
      <c r="V461" s="45"/>
      <c r="W461" s="45"/>
    </row>
    <row r="462" spans="1:23" ht="11.25" customHeight="1">
      <c r="A462" s="48"/>
      <c r="B462" s="48"/>
      <c r="C462" s="45"/>
      <c r="D462" s="45"/>
      <c r="E462" s="45"/>
      <c r="F462" s="45"/>
      <c r="G462" s="45"/>
      <c r="H462" s="45"/>
      <c r="I462" s="45"/>
      <c r="J462" s="45"/>
      <c r="K462" s="45"/>
      <c r="L462" s="46"/>
      <c r="M462" s="46"/>
      <c r="N462" s="46"/>
      <c r="O462" s="46"/>
      <c r="P462" s="46"/>
      <c r="Q462" s="45"/>
      <c r="R462" s="45"/>
      <c r="S462" s="45"/>
      <c r="T462" s="45"/>
      <c r="U462" s="45"/>
      <c r="V462" s="45"/>
      <c r="W462" s="45"/>
    </row>
    <row r="463" spans="1:23" ht="11.25" customHeight="1">
      <c r="A463" s="48"/>
      <c r="B463" s="48"/>
      <c r="C463" s="45"/>
      <c r="D463" s="45"/>
      <c r="E463" s="45"/>
      <c r="F463" s="45"/>
      <c r="G463" s="45"/>
      <c r="H463" s="45"/>
      <c r="I463" s="45"/>
      <c r="J463" s="45"/>
      <c r="K463" s="45"/>
      <c r="L463" s="46"/>
      <c r="M463" s="46"/>
      <c r="N463" s="46"/>
      <c r="O463" s="46"/>
      <c r="P463" s="46"/>
      <c r="Q463" s="45"/>
      <c r="R463" s="45"/>
      <c r="S463" s="45"/>
      <c r="T463" s="45"/>
      <c r="U463" s="45"/>
      <c r="V463" s="45"/>
      <c r="W463" s="45"/>
    </row>
    <row r="464" spans="1:23" ht="11.25" customHeight="1">
      <c r="A464" s="48"/>
      <c r="B464" s="48"/>
      <c r="C464" s="45"/>
      <c r="D464" s="45"/>
      <c r="E464" s="45"/>
      <c r="F464" s="45"/>
      <c r="G464" s="45"/>
      <c r="H464" s="45"/>
      <c r="I464" s="45"/>
      <c r="J464" s="45"/>
      <c r="K464" s="45"/>
      <c r="L464" s="46"/>
      <c r="M464" s="46"/>
      <c r="N464" s="46"/>
      <c r="O464" s="46"/>
      <c r="P464" s="46"/>
      <c r="Q464" s="45"/>
      <c r="R464" s="45"/>
      <c r="S464" s="45"/>
      <c r="T464" s="45"/>
      <c r="U464" s="45"/>
      <c r="V464" s="45"/>
      <c r="W464" s="45"/>
    </row>
    <row r="465" spans="1:23" ht="11.25" customHeight="1">
      <c r="A465" s="48"/>
      <c r="B465" s="48"/>
      <c r="C465" s="45"/>
      <c r="D465" s="45"/>
      <c r="E465" s="45"/>
      <c r="F465" s="45"/>
      <c r="G465" s="45"/>
      <c r="H465" s="45"/>
      <c r="I465" s="45"/>
      <c r="J465" s="45"/>
      <c r="K465" s="45"/>
      <c r="L465" s="46"/>
      <c r="M465" s="46"/>
      <c r="N465" s="46"/>
      <c r="O465" s="46"/>
      <c r="P465" s="46"/>
      <c r="Q465" s="45"/>
      <c r="R465" s="45"/>
      <c r="S465" s="45"/>
      <c r="T465" s="45"/>
      <c r="U465" s="45"/>
      <c r="V465" s="45"/>
      <c r="W465" s="45"/>
    </row>
    <row r="466" spans="1:23" ht="11.25" customHeight="1">
      <c r="A466" s="48"/>
      <c r="B466" s="48"/>
      <c r="C466" s="45"/>
      <c r="D466" s="45"/>
      <c r="E466" s="45"/>
      <c r="F466" s="45"/>
      <c r="G466" s="45"/>
      <c r="H466" s="45"/>
      <c r="I466" s="45"/>
      <c r="J466" s="45"/>
      <c r="K466" s="45"/>
      <c r="L466" s="46"/>
      <c r="M466" s="46"/>
      <c r="N466" s="46"/>
      <c r="O466" s="46"/>
      <c r="P466" s="46"/>
      <c r="Q466" s="45"/>
      <c r="R466" s="45"/>
      <c r="S466" s="45"/>
      <c r="T466" s="45"/>
      <c r="U466" s="45"/>
      <c r="V466" s="45"/>
      <c r="W466" s="45"/>
    </row>
    <row r="467" spans="1:23" ht="11.25" customHeight="1">
      <c r="A467" s="48"/>
      <c r="B467" s="48"/>
      <c r="C467" s="45"/>
      <c r="D467" s="45"/>
      <c r="E467" s="45"/>
      <c r="F467" s="45"/>
      <c r="G467" s="45"/>
      <c r="H467" s="45"/>
      <c r="I467" s="45"/>
      <c r="J467" s="45"/>
      <c r="K467" s="45"/>
      <c r="L467" s="46"/>
      <c r="M467" s="46"/>
      <c r="N467" s="46"/>
      <c r="O467" s="46"/>
      <c r="P467" s="46"/>
      <c r="Q467" s="45"/>
      <c r="R467" s="45"/>
      <c r="S467" s="45"/>
      <c r="T467" s="45"/>
      <c r="U467" s="45"/>
      <c r="V467" s="45"/>
      <c r="W467" s="45"/>
    </row>
    <row r="468" spans="1:23" ht="11.25" customHeight="1">
      <c r="A468" s="48"/>
      <c r="B468" s="48"/>
      <c r="C468" s="45"/>
      <c r="D468" s="45"/>
      <c r="E468" s="45"/>
      <c r="F468" s="45"/>
      <c r="G468" s="45"/>
      <c r="H468" s="45"/>
      <c r="I468" s="45"/>
      <c r="J468" s="45"/>
      <c r="K468" s="45"/>
      <c r="L468" s="46"/>
      <c r="M468" s="46"/>
      <c r="N468" s="46"/>
      <c r="O468" s="46"/>
      <c r="P468" s="46"/>
      <c r="Q468" s="45"/>
      <c r="R468" s="45"/>
      <c r="S468" s="45"/>
      <c r="T468" s="45"/>
      <c r="U468" s="45"/>
      <c r="V468" s="45"/>
      <c r="W468" s="45"/>
    </row>
    <row r="469" spans="1:23" ht="11.25" customHeight="1">
      <c r="A469" s="48"/>
      <c r="B469" s="48"/>
      <c r="C469" s="45"/>
      <c r="D469" s="45"/>
      <c r="E469" s="45"/>
      <c r="F469" s="45"/>
      <c r="G469" s="45"/>
      <c r="H469" s="45"/>
      <c r="I469" s="45"/>
      <c r="J469" s="45"/>
      <c r="K469" s="45"/>
      <c r="L469" s="46"/>
      <c r="M469" s="46"/>
      <c r="N469" s="46"/>
      <c r="O469" s="46"/>
      <c r="P469" s="46"/>
      <c r="Q469" s="45"/>
      <c r="R469" s="45"/>
      <c r="S469" s="45"/>
      <c r="T469" s="45"/>
      <c r="U469" s="45"/>
      <c r="V469" s="45"/>
      <c r="W469" s="45"/>
    </row>
    <row r="470" spans="1:23" ht="11.25" customHeight="1">
      <c r="A470" s="48"/>
      <c r="B470" s="48"/>
      <c r="C470" s="45"/>
      <c r="D470" s="45"/>
      <c r="E470" s="45"/>
      <c r="F470" s="45"/>
      <c r="G470" s="45"/>
      <c r="H470" s="45"/>
      <c r="I470" s="45"/>
      <c r="J470" s="45"/>
      <c r="K470" s="45"/>
      <c r="L470" s="46"/>
      <c r="M470" s="46"/>
      <c r="N470" s="46"/>
      <c r="O470" s="46"/>
      <c r="P470" s="46"/>
      <c r="Q470" s="45"/>
      <c r="R470" s="45"/>
      <c r="S470" s="45"/>
      <c r="T470" s="45"/>
      <c r="U470" s="45"/>
      <c r="V470" s="45"/>
      <c r="W470" s="45"/>
    </row>
    <row r="471" spans="1:23" ht="11.25" customHeight="1">
      <c r="A471" s="48"/>
      <c r="B471" s="48"/>
      <c r="C471" s="45"/>
      <c r="D471" s="45"/>
      <c r="E471" s="45"/>
      <c r="F471" s="45"/>
      <c r="G471" s="45"/>
      <c r="H471" s="45"/>
      <c r="I471" s="45"/>
      <c r="J471" s="45"/>
      <c r="K471" s="45"/>
      <c r="L471" s="46"/>
      <c r="M471" s="46"/>
      <c r="N471" s="46"/>
      <c r="O471" s="46"/>
      <c r="P471" s="46"/>
      <c r="Q471" s="45"/>
      <c r="R471" s="45"/>
      <c r="S471" s="45"/>
      <c r="T471" s="45"/>
      <c r="U471" s="45"/>
      <c r="V471" s="45"/>
      <c r="W471" s="45"/>
    </row>
    <row r="472" spans="1:23" ht="11.25" customHeight="1">
      <c r="A472" s="48"/>
      <c r="B472" s="48"/>
      <c r="C472" s="45"/>
      <c r="D472" s="45"/>
      <c r="E472" s="45"/>
      <c r="F472" s="45"/>
      <c r="G472" s="45"/>
      <c r="H472" s="45"/>
      <c r="I472" s="45"/>
      <c r="J472" s="45"/>
      <c r="K472" s="45"/>
      <c r="L472" s="46"/>
      <c r="M472" s="46"/>
      <c r="N472" s="46"/>
      <c r="O472" s="46"/>
      <c r="P472" s="46"/>
      <c r="Q472" s="45"/>
      <c r="R472" s="45"/>
      <c r="S472" s="45"/>
      <c r="T472" s="45"/>
      <c r="U472" s="45"/>
      <c r="V472" s="45"/>
      <c r="W472" s="45"/>
    </row>
    <row r="473" spans="1:23" ht="11.25" customHeight="1">
      <c r="A473" s="48"/>
      <c r="B473" s="48"/>
      <c r="C473" s="45"/>
      <c r="D473" s="45"/>
      <c r="E473" s="45"/>
      <c r="F473" s="45"/>
      <c r="G473" s="45"/>
      <c r="H473" s="45"/>
      <c r="I473" s="45"/>
      <c r="J473" s="45"/>
      <c r="K473" s="45"/>
      <c r="L473" s="46"/>
      <c r="M473" s="46"/>
      <c r="N473" s="46"/>
      <c r="O473" s="46"/>
      <c r="P473" s="46"/>
      <c r="Q473" s="45"/>
      <c r="R473" s="45"/>
      <c r="S473" s="45"/>
      <c r="T473" s="45"/>
      <c r="U473" s="45"/>
      <c r="V473" s="45"/>
      <c r="W473" s="45"/>
    </row>
    <row r="474" spans="1:23" ht="11.25" customHeight="1">
      <c r="A474" s="48"/>
      <c r="B474" s="48"/>
      <c r="C474" s="45"/>
      <c r="D474" s="45"/>
      <c r="E474" s="45"/>
      <c r="F474" s="45"/>
      <c r="G474" s="45"/>
      <c r="H474" s="45"/>
      <c r="I474" s="45"/>
      <c r="J474" s="45"/>
      <c r="K474" s="45"/>
      <c r="L474" s="46"/>
      <c r="M474" s="46"/>
      <c r="N474" s="46"/>
      <c r="O474" s="46"/>
      <c r="P474" s="46"/>
      <c r="Q474" s="45"/>
      <c r="R474" s="45"/>
      <c r="S474" s="45"/>
      <c r="T474" s="45"/>
      <c r="U474" s="45"/>
      <c r="V474" s="45"/>
      <c r="W474" s="45"/>
    </row>
    <row r="475" spans="1:23" ht="11.25" customHeight="1">
      <c r="A475" s="48"/>
      <c r="B475" s="48"/>
      <c r="C475" s="45"/>
      <c r="D475" s="45"/>
      <c r="E475" s="45"/>
      <c r="F475" s="45"/>
      <c r="G475" s="45"/>
      <c r="H475" s="45"/>
      <c r="I475" s="45"/>
      <c r="J475" s="45"/>
      <c r="K475" s="45"/>
      <c r="L475" s="46"/>
      <c r="M475" s="46"/>
      <c r="N475" s="46"/>
      <c r="O475" s="46"/>
      <c r="P475" s="46"/>
      <c r="Q475" s="45"/>
      <c r="R475" s="45"/>
      <c r="S475" s="45"/>
      <c r="T475" s="45"/>
      <c r="U475" s="45"/>
      <c r="V475" s="45"/>
      <c r="W475" s="45"/>
    </row>
    <row r="476" spans="1:23" ht="11.25" customHeight="1">
      <c r="A476" s="48"/>
      <c r="B476" s="48"/>
      <c r="C476" s="45"/>
      <c r="D476" s="45"/>
      <c r="E476" s="45"/>
      <c r="F476" s="45"/>
      <c r="G476" s="45"/>
      <c r="H476" s="45"/>
      <c r="I476" s="45"/>
      <c r="J476" s="45"/>
      <c r="K476" s="45"/>
      <c r="L476" s="46"/>
      <c r="M476" s="46"/>
      <c r="N476" s="46"/>
      <c r="O476" s="46"/>
      <c r="P476" s="46"/>
      <c r="Q476" s="45"/>
      <c r="R476" s="45"/>
      <c r="S476" s="45"/>
      <c r="T476" s="45"/>
      <c r="U476" s="45"/>
      <c r="V476" s="45"/>
      <c r="W476" s="45"/>
    </row>
    <row r="477" spans="1:23" ht="11.25" customHeight="1">
      <c r="A477" s="48"/>
      <c r="B477" s="48"/>
      <c r="C477" s="45"/>
      <c r="D477" s="45"/>
      <c r="E477" s="45"/>
      <c r="F477" s="45"/>
      <c r="G477" s="45"/>
      <c r="H477" s="45"/>
      <c r="I477" s="45"/>
      <c r="J477" s="45"/>
      <c r="K477" s="45"/>
      <c r="L477" s="46"/>
      <c r="M477" s="46"/>
      <c r="N477" s="46"/>
      <c r="O477" s="46"/>
      <c r="P477" s="46"/>
      <c r="Q477" s="45"/>
      <c r="R477" s="45"/>
      <c r="S477" s="45"/>
      <c r="T477" s="45"/>
      <c r="U477" s="45"/>
      <c r="V477" s="45"/>
      <c r="W477" s="45"/>
    </row>
    <row r="478" spans="1:23" ht="11.25" customHeight="1">
      <c r="A478" s="48"/>
      <c r="B478" s="48"/>
      <c r="C478" s="45"/>
      <c r="D478" s="45"/>
      <c r="E478" s="45"/>
      <c r="F478" s="45"/>
      <c r="G478" s="45"/>
      <c r="H478" s="45"/>
      <c r="I478" s="45"/>
      <c r="J478" s="45"/>
      <c r="K478" s="45"/>
      <c r="L478" s="46"/>
      <c r="M478" s="46"/>
      <c r="N478" s="46"/>
      <c r="O478" s="46"/>
      <c r="P478" s="46"/>
      <c r="Q478" s="45"/>
      <c r="R478" s="45"/>
      <c r="S478" s="45"/>
      <c r="T478" s="45"/>
      <c r="U478" s="45"/>
      <c r="V478" s="45"/>
      <c r="W478" s="45"/>
    </row>
    <row r="479" spans="1:23" ht="11.25" customHeight="1">
      <c r="A479" s="48"/>
      <c r="B479" s="48"/>
      <c r="C479" s="45"/>
      <c r="D479" s="45"/>
      <c r="E479" s="45"/>
      <c r="F479" s="45"/>
      <c r="G479" s="45"/>
      <c r="H479" s="45"/>
      <c r="I479" s="45"/>
      <c r="J479" s="45"/>
      <c r="K479" s="45"/>
      <c r="L479" s="46"/>
      <c r="M479" s="46"/>
      <c r="N479" s="46"/>
      <c r="O479" s="46"/>
      <c r="P479" s="46"/>
      <c r="Q479" s="45"/>
      <c r="R479" s="45"/>
      <c r="S479" s="45"/>
      <c r="T479" s="45"/>
      <c r="U479" s="45"/>
      <c r="V479" s="45"/>
      <c r="W479" s="45"/>
    </row>
    <row r="480" spans="1:23" ht="11.25" customHeight="1">
      <c r="A480" s="48"/>
      <c r="B480" s="48"/>
      <c r="C480" s="45"/>
      <c r="D480" s="45"/>
      <c r="E480" s="45"/>
      <c r="F480" s="45"/>
      <c r="G480" s="45"/>
      <c r="H480" s="45"/>
      <c r="I480" s="45"/>
      <c r="J480" s="45"/>
      <c r="K480" s="45"/>
      <c r="L480" s="46"/>
      <c r="M480" s="46"/>
      <c r="N480" s="46"/>
      <c r="O480" s="46"/>
      <c r="P480" s="46"/>
      <c r="Q480" s="45"/>
      <c r="R480" s="45"/>
      <c r="S480" s="45"/>
      <c r="T480" s="45"/>
      <c r="U480" s="45"/>
      <c r="V480" s="45"/>
      <c r="W480" s="45"/>
    </row>
    <row r="481" spans="1:23" ht="11.25" customHeight="1">
      <c r="A481" s="48"/>
      <c r="B481" s="48"/>
      <c r="C481" s="45"/>
      <c r="D481" s="45"/>
      <c r="E481" s="45"/>
      <c r="F481" s="45"/>
      <c r="G481" s="45"/>
      <c r="H481" s="45"/>
      <c r="I481" s="45"/>
      <c r="J481" s="45"/>
      <c r="K481" s="45"/>
      <c r="L481" s="46"/>
      <c r="M481" s="46"/>
      <c r="N481" s="46"/>
      <c r="O481" s="46"/>
      <c r="P481" s="46"/>
      <c r="Q481" s="45"/>
      <c r="R481" s="45"/>
      <c r="S481" s="45"/>
      <c r="T481" s="45"/>
      <c r="U481" s="45"/>
      <c r="V481" s="45"/>
      <c r="W481" s="45"/>
    </row>
    <row r="482" spans="1:23" ht="11.25" customHeight="1">
      <c r="A482" s="48"/>
      <c r="B482" s="48"/>
      <c r="C482" s="45"/>
      <c r="D482" s="45"/>
      <c r="E482" s="45"/>
      <c r="F482" s="45"/>
      <c r="G482" s="45"/>
      <c r="H482" s="45"/>
      <c r="I482" s="45"/>
      <c r="J482" s="45"/>
      <c r="K482" s="45"/>
      <c r="L482" s="46"/>
      <c r="M482" s="46"/>
      <c r="N482" s="46"/>
      <c r="O482" s="46"/>
      <c r="P482" s="46"/>
      <c r="Q482" s="45"/>
      <c r="R482" s="45"/>
      <c r="S482" s="45"/>
      <c r="T482" s="45"/>
      <c r="U482" s="45"/>
      <c r="V482" s="45"/>
      <c r="W482" s="45"/>
    </row>
    <row r="483" spans="1:23" ht="11.25" customHeight="1">
      <c r="A483" s="48"/>
      <c r="B483" s="48"/>
      <c r="C483" s="45"/>
      <c r="D483" s="45"/>
      <c r="E483" s="45"/>
      <c r="F483" s="45"/>
      <c r="G483" s="45"/>
      <c r="H483" s="45"/>
      <c r="I483" s="45"/>
      <c r="J483" s="45"/>
      <c r="K483" s="45"/>
      <c r="L483" s="46"/>
      <c r="M483" s="46"/>
      <c r="N483" s="46"/>
      <c r="O483" s="46"/>
      <c r="P483" s="46"/>
      <c r="Q483" s="45"/>
      <c r="R483" s="45"/>
      <c r="S483" s="45"/>
      <c r="T483" s="45"/>
      <c r="U483" s="45"/>
      <c r="V483" s="45"/>
      <c r="W483" s="45"/>
    </row>
    <row r="484" spans="1:23" ht="11.25" customHeight="1">
      <c r="A484" s="48"/>
      <c r="B484" s="48"/>
      <c r="C484" s="45"/>
      <c r="D484" s="45"/>
      <c r="E484" s="45"/>
      <c r="F484" s="45"/>
      <c r="G484" s="45"/>
      <c r="H484" s="45"/>
      <c r="I484" s="45"/>
      <c r="J484" s="45"/>
      <c r="K484" s="45"/>
      <c r="L484" s="46"/>
      <c r="M484" s="46"/>
      <c r="N484" s="46"/>
      <c r="O484" s="46"/>
      <c r="P484" s="46"/>
      <c r="Q484" s="45"/>
      <c r="R484" s="45"/>
      <c r="S484" s="45"/>
      <c r="T484" s="45"/>
      <c r="U484" s="45"/>
      <c r="V484" s="45"/>
      <c r="W484" s="45"/>
    </row>
    <row r="485" spans="1:23" ht="11.25" customHeight="1">
      <c r="A485" s="48"/>
      <c r="B485" s="48"/>
      <c r="C485" s="45"/>
      <c r="D485" s="45"/>
      <c r="E485" s="45"/>
      <c r="F485" s="45"/>
      <c r="G485" s="45"/>
      <c r="H485" s="45"/>
      <c r="I485" s="45"/>
      <c r="J485" s="45"/>
      <c r="K485" s="45"/>
      <c r="L485" s="46"/>
      <c r="M485" s="46"/>
      <c r="N485" s="46"/>
      <c r="O485" s="46"/>
      <c r="P485" s="46"/>
      <c r="Q485" s="45"/>
      <c r="R485" s="45"/>
      <c r="S485" s="45"/>
      <c r="T485" s="45"/>
      <c r="U485" s="45"/>
      <c r="V485" s="45"/>
      <c r="W485" s="45"/>
    </row>
    <row r="486" spans="1:23" ht="11.25" customHeight="1">
      <c r="A486" s="48"/>
      <c r="B486" s="48"/>
      <c r="C486" s="45"/>
      <c r="D486" s="45"/>
      <c r="E486" s="45"/>
      <c r="F486" s="45"/>
      <c r="G486" s="45"/>
      <c r="H486" s="45"/>
      <c r="I486" s="45"/>
      <c r="J486" s="45"/>
      <c r="K486" s="45"/>
      <c r="L486" s="46"/>
      <c r="M486" s="46"/>
      <c r="N486" s="46"/>
      <c r="O486" s="46"/>
      <c r="P486" s="46"/>
      <c r="Q486" s="45"/>
      <c r="R486" s="45"/>
      <c r="S486" s="45"/>
      <c r="T486" s="45"/>
      <c r="U486" s="45"/>
      <c r="V486" s="45"/>
      <c r="W486" s="45"/>
    </row>
    <row r="487" spans="1:23" ht="11.25" customHeight="1">
      <c r="A487" s="48"/>
      <c r="B487" s="48"/>
      <c r="C487" s="45"/>
      <c r="D487" s="45"/>
      <c r="E487" s="45"/>
      <c r="F487" s="45"/>
      <c r="G487" s="45"/>
      <c r="H487" s="45"/>
      <c r="I487" s="45"/>
      <c r="J487" s="45"/>
      <c r="K487" s="45"/>
      <c r="L487" s="46"/>
      <c r="M487" s="46"/>
      <c r="N487" s="46"/>
      <c r="O487" s="46"/>
      <c r="P487" s="46"/>
      <c r="Q487" s="45"/>
      <c r="R487" s="45"/>
      <c r="S487" s="45"/>
      <c r="T487" s="45"/>
      <c r="U487" s="45"/>
      <c r="V487" s="45"/>
      <c r="W487" s="45"/>
    </row>
    <row r="488" spans="1:23" ht="11.25" customHeight="1">
      <c r="A488" s="48"/>
      <c r="B488" s="48"/>
      <c r="C488" s="45"/>
      <c r="D488" s="45"/>
      <c r="E488" s="45"/>
      <c r="F488" s="45"/>
      <c r="G488" s="45"/>
      <c r="H488" s="45"/>
      <c r="I488" s="45"/>
      <c r="J488" s="45"/>
      <c r="K488" s="45"/>
      <c r="L488" s="46"/>
      <c r="M488" s="46"/>
      <c r="N488" s="46"/>
      <c r="O488" s="46"/>
      <c r="P488" s="46"/>
      <c r="Q488" s="45"/>
      <c r="R488" s="45"/>
      <c r="S488" s="45"/>
      <c r="T488" s="45"/>
      <c r="U488" s="45"/>
      <c r="V488" s="45"/>
      <c r="W488" s="45"/>
    </row>
    <row r="489" spans="1:23" ht="11.25" customHeight="1">
      <c r="A489" s="48"/>
      <c r="B489" s="48"/>
      <c r="C489" s="45"/>
      <c r="D489" s="45"/>
      <c r="E489" s="45"/>
      <c r="F489" s="45"/>
      <c r="G489" s="45"/>
      <c r="H489" s="45"/>
      <c r="I489" s="45"/>
      <c r="J489" s="45"/>
      <c r="K489" s="45"/>
      <c r="L489" s="46"/>
      <c r="M489" s="46"/>
      <c r="N489" s="46"/>
      <c r="O489" s="46"/>
      <c r="P489" s="46"/>
      <c r="Q489" s="45"/>
      <c r="R489" s="45"/>
      <c r="S489" s="45"/>
      <c r="T489" s="45"/>
      <c r="U489" s="45"/>
      <c r="V489" s="45"/>
      <c r="W489" s="45"/>
    </row>
    <row r="490" spans="1:23" ht="11.25" customHeight="1">
      <c r="A490" s="48"/>
      <c r="B490" s="48"/>
      <c r="C490" s="45"/>
      <c r="D490" s="45"/>
      <c r="E490" s="45"/>
      <c r="F490" s="45"/>
      <c r="G490" s="45"/>
      <c r="H490" s="45"/>
      <c r="I490" s="45"/>
      <c r="J490" s="45"/>
      <c r="K490" s="45"/>
      <c r="L490" s="46"/>
      <c r="M490" s="46"/>
      <c r="N490" s="46"/>
      <c r="O490" s="46"/>
      <c r="P490" s="46"/>
      <c r="Q490" s="45"/>
      <c r="R490" s="45"/>
      <c r="S490" s="45"/>
      <c r="T490" s="45"/>
      <c r="U490" s="45"/>
      <c r="V490" s="45"/>
      <c r="W490" s="45"/>
    </row>
    <row r="491" spans="1:23" ht="11.25" customHeight="1">
      <c r="A491" s="48"/>
      <c r="B491" s="48"/>
      <c r="C491" s="45"/>
      <c r="D491" s="45"/>
      <c r="E491" s="45"/>
      <c r="F491" s="45"/>
      <c r="G491" s="45"/>
      <c r="H491" s="45"/>
      <c r="I491" s="45"/>
      <c r="J491" s="45"/>
      <c r="K491" s="45"/>
      <c r="L491" s="46"/>
      <c r="M491" s="46"/>
      <c r="N491" s="46"/>
      <c r="O491" s="46"/>
      <c r="P491" s="46"/>
      <c r="Q491" s="45"/>
      <c r="R491" s="45"/>
      <c r="S491" s="45"/>
      <c r="T491" s="45"/>
      <c r="U491" s="45"/>
      <c r="V491" s="45"/>
      <c r="W491" s="45"/>
    </row>
    <row r="492" spans="1:23" ht="11.25" customHeight="1">
      <c r="A492" s="48"/>
      <c r="B492" s="48"/>
      <c r="C492" s="45"/>
      <c r="D492" s="45"/>
      <c r="E492" s="45"/>
      <c r="F492" s="45"/>
      <c r="G492" s="45"/>
      <c r="H492" s="45"/>
      <c r="I492" s="45"/>
      <c r="J492" s="45"/>
      <c r="K492" s="45"/>
      <c r="L492" s="46"/>
      <c r="M492" s="46"/>
      <c r="N492" s="46"/>
      <c r="O492" s="46"/>
      <c r="P492" s="46"/>
      <c r="Q492" s="45"/>
      <c r="R492" s="45"/>
      <c r="S492" s="45"/>
      <c r="T492" s="45"/>
      <c r="U492" s="45"/>
      <c r="V492" s="45"/>
      <c r="W492" s="45"/>
    </row>
    <row r="493" spans="1:23" ht="11.25" customHeight="1">
      <c r="A493" s="48"/>
      <c r="B493" s="48"/>
      <c r="C493" s="45"/>
      <c r="D493" s="45"/>
      <c r="E493" s="45"/>
      <c r="F493" s="45"/>
      <c r="G493" s="45"/>
      <c r="H493" s="45"/>
      <c r="I493" s="45"/>
      <c r="J493" s="45"/>
      <c r="K493" s="45"/>
      <c r="L493" s="46"/>
      <c r="M493" s="46"/>
      <c r="N493" s="46"/>
      <c r="O493" s="46"/>
      <c r="P493" s="46"/>
      <c r="Q493" s="45"/>
      <c r="R493" s="45"/>
      <c r="S493" s="45"/>
      <c r="T493" s="45"/>
      <c r="U493" s="45"/>
      <c r="V493" s="45"/>
      <c r="W493" s="45"/>
    </row>
    <row r="494" spans="1:23" ht="11.25" customHeight="1">
      <c r="A494" s="48"/>
      <c r="B494" s="48"/>
      <c r="C494" s="45"/>
      <c r="D494" s="45"/>
      <c r="E494" s="45"/>
      <c r="F494" s="45"/>
      <c r="G494" s="45"/>
      <c r="H494" s="45"/>
      <c r="I494" s="45"/>
      <c r="J494" s="45"/>
      <c r="K494" s="45"/>
      <c r="L494" s="46"/>
      <c r="M494" s="46"/>
      <c r="N494" s="46"/>
      <c r="O494" s="46"/>
      <c r="P494" s="46"/>
      <c r="Q494" s="45"/>
      <c r="R494" s="45"/>
      <c r="S494" s="45"/>
      <c r="T494" s="45"/>
      <c r="U494" s="45"/>
      <c r="V494" s="45"/>
      <c r="W494" s="45"/>
    </row>
    <row r="495" spans="1:23" ht="11.25" customHeight="1">
      <c r="A495" s="48"/>
      <c r="B495" s="48"/>
      <c r="C495" s="45"/>
      <c r="D495" s="45"/>
      <c r="E495" s="45"/>
      <c r="F495" s="45"/>
      <c r="G495" s="45"/>
      <c r="H495" s="45"/>
      <c r="I495" s="45"/>
      <c r="J495" s="45"/>
      <c r="K495" s="45"/>
      <c r="L495" s="46"/>
      <c r="M495" s="46"/>
      <c r="N495" s="46"/>
      <c r="O495" s="46"/>
      <c r="P495" s="46"/>
      <c r="Q495" s="45"/>
      <c r="R495" s="45"/>
      <c r="S495" s="45"/>
      <c r="T495" s="45"/>
      <c r="U495" s="45"/>
      <c r="V495" s="45"/>
      <c r="W495" s="45"/>
    </row>
    <row r="496" spans="1:23" ht="11.25" customHeight="1">
      <c r="A496" s="48"/>
      <c r="B496" s="48"/>
      <c r="C496" s="45"/>
      <c r="D496" s="45"/>
      <c r="E496" s="45"/>
      <c r="F496" s="45"/>
      <c r="G496" s="45"/>
      <c r="H496" s="45"/>
      <c r="I496" s="45"/>
      <c r="J496" s="45"/>
      <c r="K496" s="45"/>
      <c r="L496" s="46"/>
      <c r="M496" s="46"/>
      <c r="N496" s="46"/>
      <c r="O496" s="46"/>
      <c r="P496" s="46"/>
      <c r="Q496" s="45"/>
      <c r="R496" s="45"/>
      <c r="S496" s="45"/>
      <c r="T496" s="45"/>
      <c r="U496" s="45"/>
      <c r="V496" s="45"/>
      <c r="W496" s="45"/>
    </row>
    <row r="497" spans="1:23" ht="11.25" customHeight="1">
      <c r="A497" s="48"/>
      <c r="B497" s="48"/>
      <c r="C497" s="45"/>
      <c r="D497" s="45"/>
      <c r="E497" s="45"/>
      <c r="F497" s="45"/>
      <c r="G497" s="45"/>
      <c r="H497" s="45"/>
      <c r="I497" s="45"/>
      <c r="J497" s="45"/>
      <c r="K497" s="45"/>
      <c r="L497" s="46"/>
      <c r="M497" s="46"/>
      <c r="N497" s="46"/>
      <c r="O497" s="46"/>
      <c r="P497" s="46"/>
      <c r="Q497" s="45"/>
      <c r="R497" s="45"/>
      <c r="S497" s="45"/>
      <c r="T497" s="45"/>
      <c r="U497" s="45"/>
      <c r="V497" s="45"/>
      <c r="W497" s="45"/>
    </row>
    <row r="498" spans="1:23" ht="11.25" customHeight="1">
      <c r="A498" s="48"/>
      <c r="B498" s="48"/>
      <c r="C498" s="45"/>
      <c r="D498" s="45"/>
      <c r="E498" s="45"/>
      <c r="F498" s="45"/>
      <c r="G498" s="45"/>
      <c r="H498" s="45"/>
      <c r="I498" s="45"/>
      <c r="J498" s="45"/>
      <c r="K498" s="45"/>
      <c r="L498" s="46"/>
      <c r="M498" s="46"/>
      <c r="N498" s="46"/>
      <c r="O498" s="46"/>
      <c r="P498" s="46"/>
      <c r="Q498" s="45"/>
      <c r="R498" s="45"/>
      <c r="S498" s="45"/>
      <c r="T498" s="45"/>
      <c r="U498" s="45"/>
      <c r="V498" s="45"/>
      <c r="W498" s="45"/>
    </row>
    <row r="499" spans="1:23" ht="11.25" customHeight="1">
      <c r="A499" s="48"/>
      <c r="B499" s="48"/>
      <c r="C499" s="45"/>
      <c r="D499" s="45"/>
      <c r="E499" s="45"/>
      <c r="F499" s="45"/>
      <c r="G499" s="45"/>
      <c r="H499" s="45"/>
      <c r="I499" s="45"/>
      <c r="J499" s="45"/>
      <c r="K499" s="45"/>
      <c r="L499" s="46"/>
      <c r="M499" s="46"/>
      <c r="N499" s="46"/>
      <c r="O499" s="46"/>
      <c r="P499" s="46"/>
      <c r="Q499" s="45"/>
      <c r="R499" s="45"/>
      <c r="S499" s="45"/>
      <c r="T499" s="45"/>
      <c r="U499" s="45"/>
      <c r="V499" s="45"/>
      <c r="W499" s="45"/>
    </row>
    <row r="500" spans="1:23" ht="11.25" customHeight="1">
      <c r="A500" s="48"/>
      <c r="B500" s="48"/>
      <c r="C500" s="45"/>
      <c r="D500" s="45"/>
      <c r="E500" s="45"/>
      <c r="F500" s="45"/>
      <c r="G500" s="45"/>
      <c r="H500" s="45"/>
      <c r="I500" s="45"/>
      <c r="J500" s="45"/>
      <c r="K500" s="45"/>
      <c r="L500" s="46"/>
      <c r="M500" s="46"/>
      <c r="N500" s="46"/>
      <c r="O500" s="46"/>
      <c r="P500" s="46"/>
      <c r="Q500" s="45"/>
      <c r="R500" s="45"/>
      <c r="S500" s="45"/>
      <c r="T500" s="45"/>
      <c r="U500" s="45"/>
      <c r="V500" s="45"/>
      <c r="W500" s="45"/>
    </row>
    <row r="501" spans="1:23" ht="11.25" customHeight="1">
      <c r="A501" s="48"/>
      <c r="B501" s="48"/>
      <c r="C501" s="45"/>
      <c r="D501" s="45"/>
      <c r="E501" s="45"/>
      <c r="F501" s="45"/>
      <c r="G501" s="45"/>
      <c r="H501" s="45"/>
      <c r="I501" s="45"/>
      <c r="J501" s="45"/>
      <c r="K501" s="45"/>
      <c r="L501" s="46"/>
      <c r="M501" s="46"/>
      <c r="N501" s="46"/>
      <c r="O501" s="46"/>
      <c r="P501" s="46"/>
      <c r="Q501" s="45"/>
      <c r="R501" s="45"/>
      <c r="S501" s="45"/>
      <c r="T501" s="45"/>
      <c r="U501" s="45"/>
      <c r="V501" s="45"/>
      <c r="W501" s="45"/>
    </row>
    <row r="502" spans="1:23" ht="11.25" customHeight="1">
      <c r="A502" s="48"/>
      <c r="B502" s="48"/>
      <c r="C502" s="45"/>
      <c r="D502" s="45"/>
      <c r="E502" s="45"/>
      <c r="F502" s="45"/>
      <c r="G502" s="45"/>
      <c r="H502" s="45"/>
      <c r="I502" s="45"/>
      <c r="J502" s="45"/>
      <c r="K502" s="45"/>
      <c r="L502" s="46"/>
      <c r="M502" s="46"/>
      <c r="N502" s="46"/>
      <c r="O502" s="46"/>
      <c r="P502" s="46"/>
      <c r="Q502" s="45"/>
      <c r="R502" s="45"/>
      <c r="S502" s="45"/>
      <c r="T502" s="45"/>
      <c r="U502" s="45"/>
      <c r="V502" s="45"/>
      <c r="W502" s="45"/>
    </row>
    <row r="503" spans="1:23" ht="11.25" customHeight="1">
      <c r="A503" s="48"/>
      <c r="B503" s="48"/>
      <c r="C503" s="45"/>
      <c r="D503" s="45"/>
      <c r="E503" s="45"/>
      <c r="F503" s="45"/>
      <c r="G503" s="45"/>
      <c r="H503" s="45"/>
      <c r="I503" s="45"/>
      <c r="J503" s="45"/>
      <c r="K503" s="45"/>
      <c r="L503" s="46"/>
      <c r="M503" s="46"/>
      <c r="N503" s="46"/>
      <c r="O503" s="46"/>
      <c r="P503" s="46"/>
      <c r="Q503" s="45"/>
      <c r="R503" s="45"/>
      <c r="S503" s="45"/>
      <c r="T503" s="45"/>
      <c r="U503" s="45"/>
      <c r="V503" s="45"/>
      <c r="W503" s="45"/>
    </row>
    <row r="504" spans="1:23" ht="11.25" customHeight="1">
      <c r="A504" s="48"/>
      <c r="B504" s="48"/>
      <c r="C504" s="45"/>
      <c r="D504" s="45"/>
      <c r="E504" s="45"/>
      <c r="F504" s="45"/>
      <c r="G504" s="45"/>
      <c r="H504" s="45"/>
      <c r="I504" s="45"/>
      <c r="J504" s="45"/>
      <c r="K504" s="45"/>
      <c r="L504" s="46"/>
      <c r="M504" s="46"/>
      <c r="N504" s="46"/>
      <c r="O504" s="46"/>
      <c r="P504" s="46"/>
      <c r="Q504" s="45"/>
      <c r="R504" s="45"/>
      <c r="S504" s="45"/>
      <c r="T504" s="45"/>
      <c r="U504" s="45"/>
      <c r="V504" s="45"/>
      <c r="W504" s="45"/>
    </row>
    <row r="505" spans="1:23" ht="11.25" customHeight="1">
      <c r="A505" s="48"/>
      <c r="B505" s="48"/>
      <c r="C505" s="45"/>
      <c r="D505" s="45"/>
      <c r="E505" s="45"/>
      <c r="F505" s="45"/>
      <c r="G505" s="45"/>
      <c r="H505" s="45"/>
      <c r="I505" s="45"/>
      <c r="J505" s="45"/>
      <c r="K505" s="45"/>
      <c r="L505" s="46"/>
      <c r="M505" s="46"/>
      <c r="N505" s="46"/>
      <c r="O505" s="46"/>
      <c r="P505" s="46"/>
      <c r="Q505" s="45"/>
      <c r="R505" s="45"/>
      <c r="S505" s="45"/>
      <c r="T505" s="45"/>
      <c r="U505" s="45"/>
      <c r="V505" s="45"/>
      <c r="W505" s="45"/>
    </row>
    <row r="506" spans="1:23" ht="11.25" customHeight="1">
      <c r="A506" s="48"/>
      <c r="B506" s="48"/>
      <c r="C506" s="45"/>
      <c r="D506" s="45"/>
      <c r="E506" s="45"/>
      <c r="F506" s="45"/>
      <c r="G506" s="45"/>
      <c r="H506" s="45"/>
      <c r="I506" s="45"/>
      <c r="J506" s="45"/>
      <c r="K506" s="45"/>
      <c r="L506" s="46"/>
      <c r="M506" s="46"/>
      <c r="N506" s="46"/>
      <c r="O506" s="46"/>
      <c r="P506" s="46"/>
      <c r="Q506" s="45"/>
      <c r="R506" s="45"/>
      <c r="S506" s="45"/>
      <c r="T506" s="45"/>
      <c r="U506" s="45"/>
      <c r="V506" s="45"/>
      <c r="W506" s="45"/>
    </row>
    <row r="507" spans="1:23" ht="11.25" customHeight="1">
      <c r="A507" s="48"/>
      <c r="B507" s="48"/>
      <c r="C507" s="45"/>
      <c r="D507" s="45"/>
      <c r="E507" s="45"/>
      <c r="F507" s="45"/>
      <c r="G507" s="45"/>
      <c r="H507" s="45"/>
      <c r="I507" s="45"/>
      <c r="J507" s="45"/>
      <c r="K507" s="45"/>
      <c r="L507" s="46"/>
      <c r="M507" s="46"/>
      <c r="N507" s="46"/>
      <c r="O507" s="46"/>
      <c r="P507" s="46"/>
      <c r="Q507" s="45"/>
      <c r="R507" s="45"/>
      <c r="S507" s="45"/>
      <c r="T507" s="45"/>
      <c r="U507" s="45"/>
      <c r="V507" s="45"/>
      <c r="W507" s="45"/>
    </row>
    <row r="508" spans="1:23" ht="11.25" customHeight="1">
      <c r="A508" s="48"/>
      <c r="B508" s="48"/>
      <c r="C508" s="45"/>
      <c r="D508" s="45"/>
      <c r="E508" s="45"/>
      <c r="F508" s="45"/>
      <c r="G508" s="45"/>
      <c r="H508" s="45"/>
      <c r="I508" s="45"/>
      <c r="J508" s="45"/>
      <c r="K508" s="45"/>
      <c r="L508" s="46"/>
      <c r="M508" s="46"/>
      <c r="N508" s="46"/>
      <c r="O508" s="46"/>
      <c r="P508" s="46"/>
      <c r="Q508" s="45"/>
      <c r="R508" s="45"/>
      <c r="S508" s="45"/>
      <c r="T508" s="45"/>
      <c r="U508" s="45"/>
      <c r="V508" s="45"/>
      <c r="W508" s="45"/>
    </row>
    <row r="509" spans="1:23" ht="11.25" customHeight="1">
      <c r="A509" s="48"/>
      <c r="B509" s="48"/>
      <c r="C509" s="45"/>
      <c r="D509" s="45"/>
      <c r="E509" s="45"/>
      <c r="F509" s="45"/>
      <c r="G509" s="45"/>
      <c r="H509" s="45"/>
      <c r="I509" s="45"/>
      <c r="J509" s="45"/>
      <c r="K509" s="45"/>
      <c r="L509" s="46"/>
      <c r="M509" s="46"/>
      <c r="N509" s="46"/>
      <c r="O509" s="46"/>
      <c r="P509" s="46"/>
      <c r="Q509" s="45"/>
      <c r="R509" s="45"/>
      <c r="S509" s="45"/>
      <c r="T509" s="45"/>
      <c r="U509" s="45"/>
      <c r="V509" s="45"/>
      <c r="W509" s="45"/>
    </row>
    <row r="510" spans="1:23" ht="11.25" customHeight="1">
      <c r="A510" s="48"/>
      <c r="B510" s="48"/>
      <c r="C510" s="45"/>
      <c r="D510" s="45"/>
      <c r="E510" s="45"/>
      <c r="F510" s="45"/>
      <c r="G510" s="45"/>
      <c r="H510" s="45"/>
      <c r="I510" s="45"/>
      <c r="J510" s="45"/>
      <c r="K510" s="45"/>
      <c r="L510" s="46"/>
      <c r="M510" s="46"/>
      <c r="N510" s="46"/>
      <c r="O510" s="46"/>
      <c r="P510" s="46"/>
      <c r="Q510" s="45"/>
      <c r="R510" s="45"/>
      <c r="S510" s="45"/>
      <c r="T510" s="45"/>
      <c r="U510" s="45"/>
      <c r="V510" s="45"/>
      <c r="W510" s="45"/>
    </row>
    <row r="511" spans="1:23" ht="11.25" customHeight="1">
      <c r="A511" s="48"/>
      <c r="B511" s="48"/>
      <c r="C511" s="45"/>
      <c r="D511" s="45"/>
      <c r="E511" s="45"/>
      <c r="F511" s="45"/>
      <c r="G511" s="45"/>
      <c r="H511" s="45"/>
      <c r="I511" s="45"/>
      <c r="J511" s="45"/>
      <c r="K511" s="45"/>
      <c r="L511" s="46"/>
      <c r="M511" s="46"/>
      <c r="N511" s="46"/>
      <c r="O511" s="46"/>
      <c r="P511" s="46"/>
      <c r="Q511" s="45"/>
      <c r="R511" s="45"/>
      <c r="S511" s="45"/>
      <c r="T511" s="45"/>
      <c r="U511" s="45"/>
      <c r="V511" s="45"/>
      <c r="W511" s="45"/>
    </row>
    <row r="512" spans="1:23" ht="11.25" customHeight="1">
      <c r="A512" s="48"/>
      <c r="B512" s="48"/>
      <c r="C512" s="45"/>
      <c r="D512" s="45"/>
      <c r="E512" s="45"/>
      <c r="F512" s="45"/>
      <c r="G512" s="45"/>
      <c r="H512" s="45"/>
      <c r="I512" s="45"/>
      <c r="J512" s="45"/>
      <c r="K512" s="45"/>
      <c r="L512" s="46"/>
      <c r="M512" s="46"/>
      <c r="N512" s="46"/>
      <c r="O512" s="46"/>
      <c r="P512" s="46"/>
      <c r="Q512" s="45"/>
      <c r="R512" s="45"/>
      <c r="S512" s="45"/>
      <c r="T512" s="45"/>
      <c r="U512" s="45"/>
      <c r="V512" s="45"/>
      <c r="W512" s="45"/>
    </row>
    <row r="513" spans="1:23" ht="11.25" customHeight="1">
      <c r="A513" s="48"/>
      <c r="B513" s="48"/>
      <c r="C513" s="45"/>
      <c r="D513" s="45"/>
      <c r="E513" s="45"/>
      <c r="F513" s="45"/>
      <c r="G513" s="45"/>
      <c r="H513" s="45"/>
      <c r="I513" s="45"/>
      <c r="J513" s="45"/>
      <c r="K513" s="45"/>
      <c r="L513" s="46"/>
      <c r="M513" s="46"/>
      <c r="N513" s="46"/>
      <c r="O513" s="46"/>
      <c r="P513" s="46"/>
      <c r="Q513" s="45"/>
      <c r="R513" s="45"/>
      <c r="S513" s="45"/>
      <c r="T513" s="45"/>
      <c r="U513" s="45"/>
      <c r="V513" s="45"/>
      <c r="W513" s="45"/>
    </row>
    <row r="514" spans="1:23" ht="11.25" customHeight="1">
      <c r="A514" s="48"/>
      <c r="B514" s="48"/>
      <c r="C514" s="45"/>
      <c r="D514" s="45"/>
      <c r="E514" s="45"/>
      <c r="F514" s="45"/>
      <c r="G514" s="45"/>
      <c r="H514" s="45"/>
      <c r="I514" s="45"/>
      <c r="J514" s="45"/>
      <c r="K514" s="45"/>
      <c r="L514" s="46"/>
      <c r="M514" s="46"/>
      <c r="N514" s="46"/>
      <c r="O514" s="46"/>
      <c r="P514" s="46"/>
      <c r="Q514" s="45"/>
      <c r="R514" s="45"/>
      <c r="S514" s="45"/>
      <c r="T514" s="45"/>
      <c r="U514" s="45"/>
      <c r="V514" s="45"/>
      <c r="W514" s="45"/>
    </row>
    <row r="515" spans="1:23" ht="11.25" customHeight="1">
      <c r="A515" s="48"/>
      <c r="B515" s="48"/>
      <c r="C515" s="45"/>
      <c r="D515" s="45"/>
      <c r="E515" s="45"/>
      <c r="F515" s="45"/>
      <c r="G515" s="45"/>
      <c r="H515" s="45"/>
      <c r="I515" s="45"/>
      <c r="J515" s="45"/>
      <c r="K515" s="45"/>
      <c r="L515" s="46"/>
      <c r="M515" s="46"/>
      <c r="N515" s="46"/>
      <c r="O515" s="46"/>
      <c r="P515" s="46"/>
      <c r="Q515" s="45"/>
      <c r="R515" s="45"/>
      <c r="S515" s="45"/>
      <c r="T515" s="45"/>
      <c r="U515" s="45"/>
      <c r="V515" s="45"/>
      <c r="W515" s="45"/>
    </row>
    <row r="516" spans="1:23" ht="11.25" customHeight="1">
      <c r="A516" s="48"/>
      <c r="B516" s="48"/>
      <c r="C516" s="45"/>
      <c r="D516" s="45"/>
      <c r="E516" s="45"/>
      <c r="F516" s="45"/>
      <c r="G516" s="45"/>
      <c r="H516" s="45"/>
      <c r="I516" s="45"/>
      <c r="J516" s="45"/>
      <c r="K516" s="45"/>
      <c r="L516" s="46"/>
      <c r="M516" s="46"/>
      <c r="N516" s="46"/>
      <c r="O516" s="46"/>
      <c r="P516" s="46"/>
      <c r="Q516" s="45"/>
      <c r="R516" s="45"/>
      <c r="S516" s="45"/>
      <c r="T516" s="45"/>
      <c r="U516" s="45"/>
      <c r="V516" s="45"/>
      <c r="W516" s="45"/>
    </row>
    <row r="517" spans="1:23" ht="11.25" customHeight="1">
      <c r="A517" s="48"/>
      <c r="B517" s="48"/>
      <c r="C517" s="45"/>
      <c r="D517" s="45"/>
      <c r="E517" s="45"/>
      <c r="F517" s="45"/>
      <c r="G517" s="45"/>
      <c r="H517" s="45"/>
      <c r="I517" s="45"/>
      <c r="J517" s="45"/>
      <c r="K517" s="45"/>
      <c r="L517" s="46"/>
      <c r="M517" s="46"/>
      <c r="N517" s="46"/>
      <c r="O517" s="46"/>
      <c r="P517" s="46"/>
      <c r="Q517" s="45"/>
      <c r="R517" s="45"/>
      <c r="S517" s="45"/>
      <c r="T517" s="45"/>
      <c r="U517" s="45"/>
      <c r="V517" s="45"/>
      <c r="W517" s="45"/>
    </row>
    <row r="518" spans="1:23" ht="11.25" customHeight="1">
      <c r="A518" s="48"/>
      <c r="B518" s="48"/>
      <c r="C518" s="45"/>
      <c r="D518" s="45"/>
      <c r="E518" s="45"/>
      <c r="F518" s="45"/>
      <c r="G518" s="45"/>
      <c r="H518" s="45"/>
      <c r="I518" s="45"/>
      <c r="J518" s="45"/>
      <c r="K518" s="45"/>
      <c r="L518" s="46"/>
      <c r="M518" s="46"/>
      <c r="N518" s="46"/>
      <c r="O518" s="46"/>
      <c r="P518" s="46"/>
      <c r="Q518" s="45"/>
      <c r="R518" s="45"/>
      <c r="S518" s="45"/>
      <c r="T518" s="45"/>
      <c r="U518" s="45"/>
      <c r="V518" s="45"/>
      <c r="W518" s="45"/>
    </row>
    <row r="519" spans="1:23" ht="11.25" customHeight="1">
      <c r="A519" s="48"/>
      <c r="B519" s="48"/>
      <c r="C519" s="45"/>
      <c r="D519" s="45"/>
      <c r="E519" s="45"/>
      <c r="F519" s="45"/>
      <c r="G519" s="45"/>
      <c r="H519" s="45"/>
      <c r="I519" s="45"/>
      <c r="J519" s="45"/>
      <c r="K519" s="45"/>
      <c r="L519" s="46"/>
      <c r="M519" s="46"/>
      <c r="N519" s="46"/>
      <c r="O519" s="46"/>
      <c r="P519" s="46"/>
      <c r="Q519" s="45"/>
      <c r="R519" s="45"/>
      <c r="S519" s="45"/>
      <c r="T519" s="45"/>
      <c r="U519" s="45"/>
      <c r="V519" s="45"/>
      <c r="W519" s="45"/>
    </row>
    <row r="520" spans="1:23" ht="11.25" customHeight="1">
      <c r="A520" s="48"/>
      <c r="B520" s="48"/>
      <c r="C520" s="45"/>
      <c r="D520" s="45"/>
      <c r="E520" s="45"/>
      <c r="F520" s="45"/>
      <c r="G520" s="45"/>
      <c r="H520" s="45"/>
      <c r="I520" s="45"/>
      <c r="J520" s="45"/>
      <c r="K520" s="45"/>
      <c r="L520" s="46"/>
      <c r="M520" s="46"/>
      <c r="N520" s="46"/>
      <c r="O520" s="46"/>
      <c r="P520" s="46"/>
      <c r="Q520" s="45"/>
      <c r="R520" s="45"/>
      <c r="S520" s="45"/>
      <c r="T520" s="45"/>
      <c r="U520" s="45"/>
      <c r="V520" s="45"/>
      <c r="W520" s="45"/>
    </row>
    <row r="521" spans="1:23" ht="11.25" customHeight="1">
      <c r="A521" s="48"/>
      <c r="B521" s="48"/>
      <c r="C521" s="45"/>
      <c r="D521" s="45"/>
      <c r="E521" s="45"/>
      <c r="F521" s="45"/>
      <c r="G521" s="45"/>
      <c r="H521" s="45"/>
      <c r="I521" s="45"/>
      <c r="J521" s="45"/>
      <c r="K521" s="45"/>
      <c r="L521" s="46"/>
      <c r="M521" s="46"/>
      <c r="N521" s="46"/>
      <c r="O521" s="46"/>
      <c r="P521" s="46"/>
      <c r="Q521" s="45"/>
      <c r="R521" s="45"/>
      <c r="S521" s="45"/>
      <c r="T521" s="45"/>
      <c r="U521" s="45"/>
      <c r="V521" s="45"/>
      <c r="W521" s="45"/>
    </row>
    <row r="522" spans="1:23" ht="11.25" customHeight="1">
      <c r="A522" s="48"/>
      <c r="B522" s="48"/>
      <c r="C522" s="45"/>
      <c r="D522" s="45"/>
      <c r="E522" s="45"/>
      <c r="F522" s="45"/>
      <c r="G522" s="45"/>
      <c r="H522" s="45"/>
      <c r="I522" s="45"/>
      <c r="J522" s="45"/>
      <c r="K522" s="45"/>
      <c r="L522" s="46"/>
      <c r="M522" s="46"/>
      <c r="N522" s="46"/>
      <c r="O522" s="46"/>
      <c r="P522" s="46"/>
      <c r="Q522" s="45"/>
      <c r="R522" s="45"/>
      <c r="S522" s="45"/>
      <c r="T522" s="45"/>
      <c r="U522" s="45"/>
      <c r="V522" s="45"/>
      <c r="W522" s="45"/>
    </row>
    <row r="523" spans="1:23" ht="11.25" customHeight="1">
      <c r="A523" s="48"/>
      <c r="B523" s="48"/>
      <c r="C523" s="45"/>
      <c r="D523" s="45"/>
      <c r="E523" s="45"/>
      <c r="F523" s="45"/>
      <c r="G523" s="45"/>
      <c r="H523" s="45"/>
      <c r="I523" s="45"/>
      <c r="J523" s="45"/>
      <c r="K523" s="45"/>
      <c r="L523" s="46"/>
      <c r="M523" s="46"/>
      <c r="N523" s="46"/>
      <c r="O523" s="46"/>
      <c r="P523" s="46"/>
      <c r="Q523" s="45"/>
      <c r="R523" s="45"/>
      <c r="S523" s="45"/>
      <c r="T523" s="45"/>
      <c r="U523" s="45"/>
      <c r="V523" s="45"/>
      <c r="W523" s="45"/>
    </row>
    <row r="524" spans="1:23" ht="11.25" customHeight="1">
      <c r="A524" s="48"/>
      <c r="B524" s="48"/>
      <c r="C524" s="45"/>
      <c r="D524" s="45"/>
      <c r="E524" s="45"/>
      <c r="F524" s="45"/>
      <c r="G524" s="45"/>
      <c r="H524" s="45"/>
      <c r="I524" s="45"/>
      <c r="J524" s="45"/>
      <c r="K524" s="45"/>
      <c r="L524" s="46"/>
      <c r="M524" s="46"/>
      <c r="N524" s="46"/>
      <c r="O524" s="46"/>
      <c r="P524" s="46"/>
      <c r="Q524" s="45"/>
      <c r="R524" s="45"/>
      <c r="S524" s="45"/>
      <c r="T524" s="45"/>
      <c r="U524" s="45"/>
      <c r="V524" s="45"/>
      <c r="W524" s="45"/>
    </row>
    <row r="525" spans="1:23" ht="11.25" customHeight="1">
      <c r="A525" s="48"/>
      <c r="B525" s="48"/>
      <c r="C525" s="45"/>
      <c r="D525" s="45"/>
      <c r="E525" s="45"/>
      <c r="F525" s="45"/>
      <c r="G525" s="45"/>
      <c r="H525" s="45"/>
      <c r="I525" s="45"/>
      <c r="J525" s="45"/>
      <c r="K525" s="45"/>
      <c r="L525" s="46"/>
      <c r="M525" s="46"/>
      <c r="N525" s="46"/>
      <c r="O525" s="46"/>
      <c r="P525" s="46"/>
      <c r="Q525" s="45"/>
      <c r="R525" s="45"/>
      <c r="S525" s="45"/>
      <c r="T525" s="45"/>
      <c r="U525" s="45"/>
      <c r="V525" s="45"/>
      <c r="W525" s="45"/>
    </row>
    <row r="526" spans="1:23" ht="11.25" customHeight="1">
      <c r="A526" s="48"/>
      <c r="B526" s="48"/>
      <c r="C526" s="45"/>
      <c r="D526" s="45"/>
      <c r="E526" s="45"/>
      <c r="F526" s="45"/>
      <c r="G526" s="45"/>
      <c r="H526" s="45"/>
      <c r="I526" s="45"/>
      <c r="J526" s="45"/>
      <c r="K526" s="45"/>
      <c r="L526" s="46"/>
      <c r="M526" s="46"/>
      <c r="N526" s="46"/>
      <c r="O526" s="46"/>
      <c r="P526" s="46"/>
      <c r="Q526" s="45"/>
      <c r="R526" s="45"/>
      <c r="S526" s="45"/>
      <c r="T526" s="45"/>
      <c r="U526" s="45"/>
      <c r="V526" s="45"/>
      <c r="W526" s="45"/>
    </row>
    <row r="527" spans="1:23" ht="11.25" customHeight="1">
      <c r="A527" s="48"/>
      <c r="B527" s="48"/>
      <c r="C527" s="45"/>
      <c r="D527" s="45"/>
      <c r="E527" s="45"/>
      <c r="F527" s="45"/>
      <c r="G527" s="45"/>
      <c r="H527" s="45"/>
      <c r="I527" s="45"/>
      <c r="J527" s="45"/>
      <c r="K527" s="45"/>
      <c r="L527" s="46"/>
      <c r="M527" s="46"/>
      <c r="N527" s="46"/>
      <c r="O527" s="46"/>
      <c r="P527" s="46"/>
      <c r="Q527" s="45"/>
      <c r="R527" s="45"/>
      <c r="S527" s="45"/>
      <c r="T527" s="45"/>
      <c r="U527" s="45"/>
      <c r="V527" s="45"/>
      <c r="W527" s="45"/>
    </row>
    <row r="528" spans="1:23" ht="11.25" customHeight="1">
      <c r="A528" s="48"/>
      <c r="B528" s="48"/>
      <c r="C528" s="45"/>
      <c r="D528" s="45"/>
      <c r="E528" s="45"/>
      <c r="F528" s="45"/>
      <c r="G528" s="45"/>
      <c r="H528" s="45"/>
      <c r="I528" s="45"/>
      <c r="J528" s="45"/>
      <c r="K528" s="45"/>
      <c r="L528" s="46"/>
      <c r="M528" s="46"/>
      <c r="N528" s="46"/>
      <c r="O528" s="46"/>
      <c r="P528" s="46"/>
      <c r="Q528" s="45"/>
      <c r="R528" s="45"/>
      <c r="S528" s="45"/>
      <c r="T528" s="45"/>
      <c r="U528" s="45"/>
      <c r="V528" s="45"/>
      <c r="W528" s="45"/>
    </row>
    <row r="529" spans="1:23" ht="11.25" customHeight="1">
      <c r="A529" s="48"/>
      <c r="B529" s="48"/>
      <c r="C529" s="45"/>
      <c r="D529" s="45"/>
      <c r="E529" s="45"/>
      <c r="F529" s="45"/>
      <c r="G529" s="45"/>
      <c r="H529" s="45"/>
      <c r="I529" s="45"/>
      <c r="J529" s="45"/>
      <c r="K529" s="45"/>
      <c r="L529" s="46"/>
      <c r="M529" s="46"/>
      <c r="N529" s="46"/>
      <c r="O529" s="46"/>
      <c r="P529" s="46"/>
      <c r="Q529" s="45"/>
      <c r="R529" s="45"/>
      <c r="S529" s="45"/>
      <c r="T529" s="45"/>
      <c r="U529" s="45"/>
      <c r="V529" s="45"/>
      <c r="W529" s="45"/>
    </row>
    <row r="530" spans="1:23" ht="11.25" customHeight="1">
      <c r="A530" s="48"/>
      <c r="B530" s="48"/>
      <c r="C530" s="45"/>
      <c r="D530" s="45"/>
      <c r="E530" s="45"/>
      <c r="F530" s="45"/>
      <c r="G530" s="45"/>
      <c r="H530" s="45"/>
      <c r="I530" s="45"/>
      <c r="J530" s="45"/>
      <c r="K530" s="45"/>
      <c r="L530" s="46"/>
      <c r="M530" s="46"/>
      <c r="N530" s="46"/>
      <c r="O530" s="46"/>
      <c r="P530" s="46"/>
      <c r="Q530" s="45"/>
      <c r="R530" s="45"/>
      <c r="S530" s="45"/>
      <c r="T530" s="45"/>
      <c r="U530" s="45"/>
      <c r="V530" s="45"/>
      <c r="W530" s="45"/>
    </row>
    <row r="531" spans="1:23" ht="11.25" customHeight="1">
      <c r="A531" s="48"/>
      <c r="B531" s="48"/>
      <c r="C531" s="45"/>
      <c r="D531" s="45"/>
      <c r="E531" s="45"/>
      <c r="F531" s="45"/>
      <c r="G531" s="45"/>
      <c r="H531" s="45"/>
      <c r="I531" s="45"/>
      <c r="J531" s="45"/>
      <c r="K531" s="45"/>
      <c r="L531" s="46"/>
      <c r="M531" s="46"/>
      <c r="N531" s="46"/>
      <c r="O531" s="46"/>
      <c r="P531" s="46"/>
      <c r="Q531" s="45"/>
      <c r="R531" s="45"/>
      <c r="S531" s="45"/>
      <c r="T531" s="45"/>
      <c r="U531" s="45"/>
      <c r="V531" s="45"/>
      <c r="W531" s="45"/>
    </row>
    <row r="532" spans="1:23" ht="11.25" customHeight="1">
      <c r="A532" s="48"/>
      <c r="B532" s="48"/>
      <c r="C532" s="45"/>
      <c r="D532" s="45"/>
      <c r="E532" s="45"/>
      <c r="F532" s="45"/>
      <c r="G532" s="45"/>
      <c r="H532" s="45"/>
      <c r="I532" s="45"/>
      <c r="J532" s="45"/>
      <c r="K532" s="45"/>
      <c r="L532" s="46"/>
      <c r="M532" s="46"/>
      <c r="N532" s="46"/>
      <c r="O532" s="46"/>
      <c r="P532" s="46"/>
      <c r="Q532" s="45"/>
      <c r="R532" s="45"/>
      <c r="S532" s="45"/>
      <c r="T532" s="45"/>
      <c r="U532" s="45"/>
      <c r="V532" s="45"/>
      <c r="W532" s="45"/>
    </row>
    <row r="533" spans="1:23" ht="11.25" customHeight="1">
      <c r="A533" s="48"/>
      <c r="B533" s="48"/>
      <c r="C533" s="45"/>
      <c r="D533" s="45"/>
      <c r="E533" s="45"/>
      <c r="F533" s="45"/>
      <c r="G533" s="45"/>
      <c r="H533" s="45"/>
      <c r="I533" s="45"/>
      <c r="J533" s="45"/>
      <c r="K533" s="45"/>
      <c r="L533" s="46"/>
      <c r="M533" s="46"/>
      <c r="N533" s="46"/>
      <c r="O533" s="46"/>
      <c r="P533" s="46"/>
      <c r="Q533" s="45"/>
      <c r="R533" s="45"/>
      <c r="S533" s="45"/>
      <c r="T533" s="45"/>
      <c r="U533" s="45"/>
      <c r="V533" s="45"/>
      <c r="W533" s="45"/>
    </row>
    <row r="534" spans="1:23" ht="11.25" customHeight="1">
      <c r="A534" s="48"/>
      <c r="B534" s="48"/>
      <c r="C534" s="45"/>
      <c r="D534" s="45"/>
      <c r="E534" s="45"/>
      <c r="F534" s="45"/>
      <c r="G534" s="45"/>
      <c r="H534" s="45"/>
      <c r="I534" s="45"/>
      <c r="J534" s="45"/>
      <c r="K534" s="45"/>
      <c r="L534" s="46"/>
      <c r="M534" s="46"/>
      <c r="N534" s="46"/>
      <c r="O534" s="46"/>
      <c r="P534" s="46"/>
      <c r="Q534" s="45"/>
      <c r="R534" s="45"/>
      <c r="S534" s="45"/>
      <c r="T534" s="45"/>
      <c r="U534" s="45"/>
      <c r="V534" s="45"/>
      <c r="W534" s="45"/>
    </row>
    <row r="535" spans="1:23" ht="11.25" customHeight="1">
      <c r="A535" s="48"/>
      <c r="B535" s="48"/>
      <c r="C535" s="45"/>
      <c r="D535" s="45"/>
      <c r="E535" s="45"/>
      <c r="F535" s="45"/>
      <c r="G535" s="45"/>
      <c r="H535" s="45"/>
      <c r="I535" s="45"/>
      <c r="J535" s="45"/>
      <c r="K535" s="45"/>
      <c r="L535" s="46"/>
      <c r="M535" s="46"/>
      <c r="N535" s="46"/>
      <c r="O535" s="46"/>
      <c r="P535" s="46"/>
      <c r="Q535" s="45"/>
      <c r="R535" s="45"/>
      <c r="S535" s="45"/>
      <c r="T535" s="45"/>
      <c r="U535" s="45"/>
      <c r="V535" s="45"/>
      <c r="W535" s="45"/>
    </row>
    <row r="536" spans="1:23" ht="11.25" customHeight="1">
      <c r="A536" s="48"/>
      <c r="B536" s="48"/>
      <c r="C536" s="45"/>
      <c r="D536" s="45"/>
      <c r="E536" s="45"/>
      <c r="F536" s="45"/>
      <c r="G536" s="45"/>
      <c r="H536" s="45"/>
      <c r="I536" s="45"/>
      <c r="J536" s="45"/>
      <c r="K536" s="45"/>
      <c r="L536" s="46"/>
      <c r="M536" s="46"/>
      <c r="N536" s="46"/>
      <c r="O536" s="46"/>
      <c r="P536" s="46"/>
      <c r="Q536" s="45"/>
      <c r="R536" s="45"/>
      <c r="S536" s="45"/>
      <c r="T536" s="45"/>
      <c r="U536" s="45"/>
      <c r="V536" s="45"/>
      <c r="W536" s="45"/>
    </row>
    <row r="537" spans="1:23" ht="11.25" customHeight="1">
      <c r="A537" s="48"/>
      <c r="B537" s="48"/>
      <c r="C537" s="45"/>
      <c r="D537" s="45"/>
      <c r="E537" s="45"/>
      <c r="F537" s="45"/>
      <c r="G537" s="45"/>
      <c r="H537" s="45"/>
      <c r="I537" s="45"/>
      <c r="J537" s="45"/>
      <c r="K537" s="45"/>
      <c r="L537" s="46"/>
      <c r="M537" s="46"/>
      <c r="N537" s="46"/>
      <c r="O537" s="46"/>
      <c r="P537" s="46"/>
      <c r="Q537" s="45"/>
      <c r="R537" s="45"/>
      <c r="S537" s="45"/>
      <c r="T537" s="45"/>
      <c r="U537" s="45"/>
      <c r="V537" s="45"/>
      <c r="W537" s="45"/>
    </row>
    <row r="538" spans="1:23" ht="11.25" customHeight="1">
      <c r="A538" s="48"/>
      <c r="B538" s="48"/>
      <c r="C538" s="45"/>
      <c r="D538" s="45"/>
      <c r="E538" s="45"/>
      <c r="F538" s="45"/>
      <c r="G538" s="45"/>
      <c r="H538" s="45"/>
      <c r="I538" s="45"/>
      <c r="J538" s="45"/>
      <c r="K538" s="45"/>
      <c r="L538" s="46"/>
      <c r="M538" s="46"/>
      <c r="N538" s="46"/>
      <c r="O538" s="46"/>
      <c r="P538" s="46"/>
      <c r="Q538" s="45"/>
      <c r="R538" s="45"/>
      <c r="S538" s="45"/>
      <c r="T538" s="45"/>
      <c r="U538" s="45"/>
      <c r="V538" s="45"/>
      <c r="W538" s="45"/>
    </row>
    <row r="539" spans="1:23" ht="11.25" customHeight="1">
      <c r="A539" s="48"/>
      <c r="B539" s="48"/>
      <c r="C539" s="45"/>
      <c r="D539" s="45"/>
      <c r="E539" s="45"/>
      <c r="F539" s="45"/>
      <c r="G539" s="45"/>
      <c r="H539" s="45"/>
      <c r="I539" s="45"/>
      <c r="J539" s="45"/>
      <c r="K539" s="45"/>
      <c r="L539" s="46"/>
      <c r="M539" s="46"/>
      <c r="N539" s="46"/>
      <c r="O539" s="46"/>
      <c r="P539" s="46"/>
      <c r="Q539" s="45"/>
      <c r="R539" s="45"/>
      <c r="S539" s="45"/>
      <c r="T539" s="45"/>
      <c r="U539" s="45"/>
      <c r="V539" s="45"/>
      <c r="W539" s="45"/>
    </row>
    <row r="540" spans="1:23" ht="11.25" customHeight="1">
      <c r="A540" s="48"/>
      <c r="B540" s="48"/>
      <c r="C540" s="45"/>
      <c r="D540" s="45"/>
      <c r="E540" s="45"/>
      <c r="F540" s="45"/>
      <c r="G540" s="45"/>
      <c r="H540" s="45"/>
      <c r="I540" s="45"/>
      <c r="J540" s="45"/>
      <c r="K540" s="45"/>
      <c r="L540" s="46"/>
      <c r="M540" s="46"/>
      <c r="N540" s="46"/>
      <c r="O540" s="46"/>
      <c r="P540" s="46"/>
      <c r="Q540" s="45"/>
      <c r="R540" s="45"/>
      <c r="S540" s="45"/>
      <c r="T540" s="45"/>
      <c r="U540" s="45"/>
      <c r="V540" s="45"/>
      <c r="W540" s="45"/>
    </row>
    <row r="541" spans="1:23" ht="11.25" customHeight="1">
      <c r="A541" s="48"/>
      <c r="B541" s="48"/>
      <c r="C541" s="45"/>
      <c r="D541" s="45"/>
      <c r="E541" s="45"/>
      <c r="F541" s="45"/>
      <c r="G541" s="45"/>
      <c r="H541" s="45"/>
      <c r="I541" s="45"/>
      <c r="J541" s="45"/>
      <c r="K541" s="45"/>
      <c r="L541" s="46"/>
      <c r="M541" s="46"/>
      <c r="N541" s="46"/>
      <c r="O541" s="46"/>
      <c r="P541" s="46"/>
      <c r="Q541" s="45"/>
      <c r="R541" s="45"/>
      <c r="S541" s="45"/>
      <c r="T541" s="45"/>
      <c r="U541" s="45"/>
      <c r="V541" s="45"/>
      <c r="W541" s="45"/>
    </row>
    <row r="542" spans="1:23" ht="11.25" customHeight="1">
      <c r="A542" s="48"/>
      <c r="B542" s="48"/>
      <c r="C542" s="45"/>
      <c r="D542" s="45"/>
      <c r="E542" s="45"/>
      <c r="F542" s="45"/>
      <c r="G542" s="45"/>
      <c r="H542" s="45"/>
      <c r="I542" s="45"/>
      <c r="J542" s="45"/>
      <c r="K542" s="45"/>
      <c r="L542" s="46"/>
      <c r="M542" s="46"/>
      <c r="N542" s="46"/>
      <c r="O542" s="46"/>
      <c r="P542" s="46"/>
      <c r="Q542" s="45"/>
      <c r="R542" s="45"/>
      <c r="S542" s="45"/>
      <c r="T542" s="45"/>
      <c r="U542" s="45"/>
      <c r="V542" s="45"/>
      <c r="W542" s="45"/>
    </row>
    <row r="543" spans="1:23" ht="11.25" customHeight="1">
      <c r="A543" s="48"/>
      <c r="B543" s="48"/>
      <c r="C543" s="45"/>
      <c r="D543" s="45"/>
      <c r="E543" s="45"/>
      <c r="F543" s="45"/>
      <c r="G543" s="45"/>
      <c r="H543" s="45"/>
      <c r="I543" s="45"/>
      <c r="J543" s="45"/>
      <c r="K543" s="45"/>
      <c r="L543" s="46"/>
      <c r="M543" s="46"/>
      <c r="N543" s="46"/>
      <c r="O543" s="46"/>
      <c r="P543" s="46"/>
      <c r="Q543" s="45"/>
      <c r="R543" s="45"/>
      <c r="S543" s="45"/>
      <c r="T543" s="45"/>
      <c r="U543" s="45"/>
      <c r="V543" s="45"/>
      <c r="W543" s="45"/>
    </row>
    <row r="544" spans="1:23" ht="11.25" customHeight="1">
      <c r="A544" s="48"/>
      <c r="B544" s="48"/>
      <c r="C544" s="45"/>
      <c r="D544" s="45"/>
      <c r="E544" s="45"/>
      <c r="F544" s="45"/>
      <c r="G544" s="45"/>
      <c r="H544" s="45"/>
      <c r="I544" s="45"/>
      <c r="J544" s="45"/>
      <c r="K544" s="45"/>
      <c r="L544" s="46"/>
      <c r="M544" s="46"/>
      <c r="N544" s="46"/>
      <c r="O544" s="46"/>
      <c r="P544" s="46"/>
      <c r="Q544" s="45"/>
      <c r="R544" s="45"/>
      <c r="S544" s="45"/>
      <c r="T544" s="45"/>
      <c r="U544" s="45"/>
      <c r="V544" s="45"/>
      <c r="W544" s="45"/>
    </row>
    <row r="545" spans="1:23" ht="11.25" customHeight="1">
      <c r="A545" s="48"/>
      <c r="B545" s="48"/>
      <c r="C545" s="45"/>
      <c r="D545" s="45"/>
      <c r="E545" s="45"/>
      <c r="F545" s="45"/>
      <c r="G545" s="45"/>
      <c r="H545" s="45"/>
      <c r="I545" s="45"/>
      <c r="J545" s="45"/>
      <c r="K545" s="45"/>
      <c r="L545" s="46"/>
      <c r="M545" s="46"/>
      <c r="N545" s="46"/>
      <c r="O545" s="46"/>
      <c r="P545" s="46"/>
      <c r="Q545" s="45"/>
      <c r="R545" s="45"/>
      <c r="S545" s="45"/>
      <c r="T545" s="45"/>
      <c r="U545" s="45"/>
      <c r="V545" s="45"/>
      <c r="W545" s="45"/>
    </row>
    <row r="546" spans="1:23" ht="11.25" customHeight="1">
      <c r="A546" s="48"/>
      <c r="B546" s="48"/>
      <c r="C546" s="45"/>
      <c r="D546" s="45"/>
      <c r="E546" s="45"/>
      <c r="F546" s="45"/>
      <c r="G546" s="45"/>
      <c r="H546" s="45"/>
      <c r="I546" s="45"/>
      <c r="J546" s="45"/>
      <c r="K546" s="45"/>
      <c r="L546" s="46"/>
      <c r="M546" s="46"/>
      <c r="N546" s="46"/>
      <c r="O546" s="46"/>
      <c r="P546" s="46"/>
      <c r="Q546" s="45"/>
      <c r="R546" s="45"/>
      <c r="S546" s="45"/>
      <c r="T546" s="45"/>
      <c r="U546" s="45"/>
      <c r="V546" s="45"/>
      <c r="W546" s="45"/>
    </row>
    <row r="547" spans="1:23" ht="11.25" customHeight="1">
      <c r="A547" s="48"/>
      <c r="B547" s="48"/>
      <c r="C547" s="45"/>
      <c r="D547" s="45"/>
      <c r="E547" s="45"/>
      <c r="F547" s="45"/>
      <c r="G547" s="45"/>
      <c r="H547" s="45"/>
      <c r="I547" s="45"/>
      <c r="J547" s="45"/>
      <c r="K547" s="45"/>
      <c r="L547" s="46"/>
      <c r="M547" s="46"/>
      <c r="N547" s="46"/>
      <c r="O547" s="46"/>
      <c r="P547" s="46"/>
      <c r="Q547" s="45"/>
      <c r="R547" s="45"/>
      <c r="S547" s="45"/>
      <c r="T547" s="45"/>
      <c r="U547" s="45"/>
      <c r="V547" s="45"/>
      <c r="W547" s="45"/>
    </row>
    <row r="548" spans="1:23" ht="11.25" customHeight="1">
      <c r="A548" s="48"/>
      <c r="B548" s="48"/>
      <c r="C548" s="45"/>
      <c r="D548" s="45"/>
      <c r="E548" s="45"/>
      <c r="F548" s="45"/>
      <c r="G548" s="45"/>
      <c r="H548" s="45"/>
      <c r="I548" s="45"/>
      <c r="J548" s="45"/>
      <c r="K548" s="45"/>
      <c r="L548" s="46"/>
      <c r="M548" s="46"/>
      <c r="N548" s="46"/>
      <c r="O548" s="46"/>
      <c r="P548" s="46"/>
      <c r="Q548" s="45"/>
      <c r="R548" s="45"/>
      <c r="S548" s="45"/>
      <c r="T548" s="45"/>
      <c r="U548" s="45"/>
      <c r="V548" s="45"/>
      <c r="W548" s="45"/>
    </row>
    <row r="549" spans="1:23" ht="11.25" customHeight="1">
      <c r="A549" s="48"/>
      <c r="B549" s="48"/>
      <c r="C549" s="45"/>
      <c r="D549" s="45"/>
      <c r="E549" s="45"/>
      <c r="F549" s="45"/>
      <c r="G549" s="45"/>
      <c r="H549" s="45"/>
      <c r="I549" s="45"/>
      <c r="J549" s="45"/>
      <c r="K549" s="45"/>
      <c r="L549" s="46"/>
      <c r="M549" s="46"/>
      <c r="N549" s="46"/>
      <c r="O549" s="46"/>
      <c r="P549" s="46"/>
      <c r="Q549" s="45"/>
      <c r="R549" s="45"/>
      <c r="S549" s="45"/>
      <c r="T549" s="45"/>
      <c r="U549" s="45"/>
      <c r="V549" s="45"/>
      <c r="W549" s="45"/>
    </row>
    <row r="550" spans="1:23" ht="11.25" customHeight="1">
      <c r="A550" s="48"/>
      <c r="B550" s="48"/>
      <c r="C550" s="45"/>
      <c r="D550" s="45"/>
      <c r="E550" s="45"/>
      <c r="F550" s="45"/>
      <c r="G550" s="45"/>
      <c r="H550" s="45"/>
      <c r="I550" s="45"/>
      <c r="J550" s="45"/>
      <c r="K550" s="45"/>
      <c r="L550" s="46"/>
      <c r="M550" s="46"/>
      <c r="N550" s="46"/>
      <c r="O550" s="46"/>
      <c r="P550" s="46"/>
      <c r="Q550" s="45"/>
      <c r="R550" s="45"/>
      <c r="S550" s="45"/>
      <c r="T550" s="45"/>
      <c r="U550" s="45"/>
      <c r="V550" s="45"/>
      <c r="W550" s="45"/>
    </row>
    <row r="551" spans="1:23" ht="11.25" customHeight="1">
      <c r="A551" s="48"/>
      <c r="B551" s="48"/>
      <c r="C551" s="45"/>
      <c r="D551" s="45"/>
      <c r="E551" s="45"/>
      <c r="F551" s="45"/>
      <c r="G551" s="45"/>
      <c r="H551" s="45"/>
      <c r="I551" s="45"/>
      <c r="J551" s="45"/>
      <c r="K551" s="45"/>
      <c r="L551" s="46"/>
      <c r="M551" s="46"/>
      <c r="N551" s="46"/>
      <c r="O551" s="46"/>
      <c r="P551" s="46"/>
      <c r="Q551" s="45"/>
      <c r="R551" s="45"/>
      <c r="S551" s="45"/>
      <c r="T551" s="45"/>
      <c r="U551" s="45"/>
      <c r="V551" s="45"/>
      <c r="W551" s="45"/>
    </row>
    <row r="552" spans="1:23" ht="11.25" customHeight="1">
      <c r="A552" s="48"/>
      <c r="B552" s="48"/>
      <c r="C552" s="45"/>
      <c r="D552" s="45"/>
      <c r="E552" s="45"/>
      <c r="F552" s="45"/>
      <c r="G552" s="45"/>
      <c r="H552" s="45"/>
      <c r="I552" s="45"/>
      <c r="J552" s="45"/>
      <c r="K552" s="45"/>
      <c r="L552" s="46"/>
      <c r="M552" s="46"/>
      <c r="N552" s="46"/>
      <c r="O552" s="46"/>
      <c r="P552" s="46"/>
      <c r="Q552" s="45"/>
      <c r="R552" s="45"/>
      <c r="S552" s="45"/>
      <c r="T552" s="45"/>
      <c r="U552" s="45"/>
      <c r="V552" s="45"/>
      <c r="W552" s="45"/>
    </row>
    <row r="553" spans="1:23" ht="11.25" customHeight="1">
      <c r="A553" s="48"/>
      <c r="B553" s="48"/>
      <c r="C553" s="45"/>
      <c r="D553" s="45"/>
      <c r="E553" s="45"/>
      <c r="F553" s="45"/>
      <c r="G553" s="45"/>
      <c r="H553" s="45"/>
      <c r="I553" s="45"/>
      <c r="J553" s="45"/>
      <c r="K553" s="45"/>
      <c r="L553" s="46"/>
      <c r="M553" s="46"/>
      <c r="N553" s="46"/>
      <c r="O553" s="46"/>
      <c r="P553" s="46"/>
      <c r="Q553" s="45"/>
      <c r="R553" s="45"/>
      <c r="S553" s="45"/>
      <c r="T553" s="45"/>
      <c r="U553" s="45"/>
      <c r="V553" s="45"/>
      <c r="W553" s="45"/>
    </row>
    <row r="554" spans="1:23" ht="11.25" customHeight="1">
      <c r="A554" s="48"/>
      <c r="B554" s="48"/>
      <c r="C554" s="45"/>
      <c r="D554" s="45"/>
      <c r="E554" s="45"/>
      <c r="F554" s="45"/>
      <c r="G554" s="45"/>
      <c r="H554" s="45"/>
      <c r="I554" s="45"/>
      <c r="J554" s="45"/>
      <c r="K554" s="45"/>
      <c r="L554" s="46"/>
      <c r="M554" s="46"/>
      <c r="N554" s="46"/>
      <c r="O554" s="46"/>
      <c r="P554" s="46"/>
      <c r="Q554" s="45"/>
      <c r="R554" s="45"/>
      <c r="S554" s="45"/>
      <c r="T554" s="45"/>
      <c r="U554" s="45"/>
      <c r="V554" s="45"/>
      <c r="W554" s="45"/>
    </row>
    <row r="555" spans="1:23" ht="11.25" customHeight="1">
      <c r="A555" s="48"/>
      <c r="B555" s="48"/>
      <c r="C555" s="45"/>
      <c r="D555" s="45"/>
      <c r="E555" s="45"/>
      <c r="F555" s="45"/>
      <c r="G555" s="45"/>
      <c r="H555" s="45"/>
      <c r="I555" s="45"/>
      <c r="J555" s="45"/>
      <c r="K555" s="45"/>
      <c r="L555" s="46"/>
      <c r="M555" s="46"/>
      <c r="N555" s="46"/>
      <c r="O555" s="46"/>
      <c r="P555" s="46"/>
      <c r="Q555" s="45"/>
      <c r="R555" s="45"/>
      <c r="S555" s="45"/>
      <c r="T555" s="45"/>
      <c r="U555" s="45"/>
      <c r="V555" s="45"/>
      <c r="W555" s="45"/>
    </row>
    <row r="556" spans="1:23" ht="11.25" customHeight="1">
      <c r="A556" s="48"/>
      <c r="B556" s="48"/>
      <c r="C556" s="45"/>
      <c r="D556" s="45"/>
      <c r="E556" s="45"/>
      <c r="F556" s="45"/>
      <c r="G556" s="45"/>
      <c r="H556" s="45"/>
      <c r="I556" s="45"/>
      <c r="J556" s="45"/>
      <c r="K556" s="45"/>
      <c r="L556" s="46"/>
      <c r="M556" s="46"/>
      <c r="N556" s="46"/>
      <c r="O556" s="46"/>
      <c r="P556" s="46"/>
      <c r="Q556" s="45"/>
      <c r="R556" s="45"/>
      <c r="S556" s="45"/>
      <c r="T556" s="45"/>
      <c r="U556" s="45"/>
      <c r="V556" s="45"/>
      <c r="W556" s="45"/>
    </row>
    <row r="557" spans="1:23" ht="11.25" customHeight="1">
      <c r="A557" s="48"/>
      <c r="B557" s="48"/>
      <c r="C557" s="45"/>
      <c r="D557" s="45"/>
      <c r="E557" s="45"/>
      <c r="F557" s="45"/>
      <c r="G557" s="45"/>
      <c r="H557" s="45"/>
      <c r="I557" s="45"/>
      <c r="J557" s="45"/>
      <c r="K557" s="45"/>
      <c r="L557" s="46"/>
      <c r="M557" s="46"/>
      <c r="N557" s="46"/>
      <c r="O557" s="46"/>
      <c r="P557" s="46"/>
      <c r="Q557" s="45"/>
      <c r="R557" s="45"/>
      <c r="S557" s="45"/>
      <c r="T557" s="45"/>
      <c r="U557" s="45"/>
      <c r="V557" s="45"/>
      <c r="W557" s="45"/>
    </row>
    <row r="558" spans="1:23" ht="11.25" customHeight="1">
      <c r="A558" s="48"/>
      <c r="B558" s="48"/>
      <c r="C558" s="45"/>
      <c r="D558" s="45"/>
      <c r="E558" s="45"/>
      <c r="F558" s="45"/>
      <c r="G558" s="45"/>
      <c r="H558" s="45"/>
      <c r="I558" s="45"/>
      <c r="J558" s="45"/>
      <c r="K558" s="45"/>
      <c r="L558" s="46"/>
      <c r="M558" s="46"/>
      <c r="N558" s="46"/>
      <c r="O558" s="46"/>
      <c r="P558" s="46"/>
      <c r="Q558" s="45"/>
      <c r="R558" s="45"/>
      <c r="S558" s="45"/>
      <c r="T558" s="45"/>
      <c r="U558" s="45"/>
      <c r="V558" s="45"/>
      <c r="W558" s="45"/>
    </row>
    <row r="559" spans="1:23" ht="11.25" customHeight="1">
      <c r="A559" s="48"/>
      <c r="B559" s="48"/>
      <c r="C559" s="45"/>
      <c r="D559" s="45"/>
      <c r="E559" s="45"/>
      <c r="F559" s="45"/>
      <c r="G559" s="45"/>
      <c r="H559" s="45"/>
      <c r="I559" s="45"/>
      <c r="J559" s="45"/>
      <c r="K559" s="45"/>
      <c r="L559" s="46"/>
      <c r="M559" s="46"/>
      <c r="N559" s="46"/>
      <c r="O559" s="46"/>
      <c r="P559" s="46"/>
      <c r="Q559" s="45"/>
      <c r="R559" s="45"/>
      <c r="S559" s="45"/>
      <c r="T559" s="45"/>
      <c r="U559" s="45"/>
      <c r="V559" s="45"/>
      <c r="W559" s="45"/>
    </row>
    <row r="560" spans="1:23" ht="11.25" customHeight="1">
      <c r="A560" s="48"/>
      <c r="B560" s="48"/>
      <c r="C560" s="45"/>
      <c r="D560" s="45"/>
      <c r="E560" s="45"/>
      <c r="F560" s="45"/>
      <c r="G560" s="45"/>
      <c r="H560" s="45"/>
      <c r="I560" s="45"/>
      <c r="J560" s="45"/>
      <c r="K560" s="45"/>
      <c r="L560" s="46"/>
      <c r="M560" s="46"/>
      <c r="N560" s="46"/>
      <c r="O560" s="46"/>
      <c r="P560" s="46"/>
      <c r="Q560" s="45"/>
      <c r="R560" s="45"/>
      <c r="S560" s="45"/>
      <c r="T560" s="45"/>
      <c r="U560" s="45"/>
      <c r="V560" s="45"/>
      <c r="W560" s="45"/>
    </row>
    <row r="561" spans="1:23" ht="11.25" customHeight="1">
      <c r="A561" s="48"/>
      <c r="B561" s="48"/>
      <c r="C561" s="45"/>
      <c r="D561" s="45"/>
      <c r="E561" s="45"/>
      <c r="F561" s="45"/>
      <c r="G561" s="45"/>
      <c r="H561" s="45"/>
      <c r="I561" s="45"/>
      <c r="J561" s="45"/>
      <c r="K561" s="45"/>
      <c r="L561" s="46"/>
      <c r="M561" s="46"/>
      <c r="N561" s="46"/>
      <c r="O561" s="46"/>
      <c r="P561" s="46"/>
      <c r="Q561" s="45"/>
      <c r="R561" s="45"/>
      <c r="S561" s="45"/>
      <c r="T561" s="45"/>
      <c r="U561" s="45"/>
      <c r="V561" s="45"/>
      <c r="W561" s="45"/>
    </row>
    <row r="562" spans="1:23" ht="11.25" customHeight="1">
      <c r="A562" s="48"/>
      <c r="B562" s="48"/>
      <c r="C562" s="45"/>
      <c r="D562" s="45"/>
      <c r="E562" s="45"/>
      <c r="F562" s="45"/>
      <c r="G562" s="45"/>
      <c r="H562" s="45"/>
      <c r="I562" s="45"/>
      <c r="J562" s="45"/>
      <c r="K562" s="45"/>
      <c r="L562" s="46"/>
      <c r="M562" s="46"/>
      <c r="N562" s="46"/>
      <c r="O562" s="46"/>
      <c r="P562" s="46"/>
      <c r="Q562" s="45"/>
      <c r="R562" s="45"/>
      <c r="S562" s="45"/>
      <c r="T562" s="45"/>
      <c r="U562" s="45"/>
      <c r="V562" s="45"/>
      <c r="W562" s="45"/>
    </row>
    <row r="563" spans="1:23" ht="11.25" customHeight="1">
      <c r="A563" s="48"/>
      <c r="B563" s="48"/>
      <c r="C563" s="45"/>
      <c r="D563" s="45"/>
      <c r="E563" s="45"/>
      <c r="F563" s="45"/>
      <c r="G563" s="45"/>
      <c r="H563" s="45"/>
      <c r="I563" s="45"/>
      <c r="J563" s="45"/>
      <c r="K563" s="45"/>
      <c r="L563" s="46"/>
      <c r="M563" s="46"/>
      <c r="N563" s="46"/>
      <c r="O563" s="46"/>
      <c r="P563" s="46"/>
      <c r="Q563" s="45"/>
      <c r="R563" s="45"/>
      <c r="S563" s="45"/>
      <c r="T563" s="45"/>
      <c r="U563" s="45"/>
      <c r="V563" s="45"/>
      <c r="W563" s="45"/>
    </row>
    <row r="564" spans="1:23" ht="11.25" customHeight="1">
      <c r="A564" s="48"/>
      <c r="B564" s="48"/>
      <c r="C564" s="45"/>
      <c r="D564" s="45"/>
      <c r="E564" s="45"/>
      <c r="F564" s="45"/>
      <c r="G564" s="45"/>
      <c r="H564" s="45"/>
      <c r="I564" s="45"/>
      <c r="J564" s="45"/>
      <c r="K564" s="45"/>
      <c r="L564" s="46"/>
      <c r="M564" s="46"/>
      <c r="N564" s="46"/>
      <c r="O564" s="46"/>
      <c r="P564" s="46"/>
      <c r="Q564" s="45"/>
      <c r="R564" s="45"/>
      <c r="S564" s="45"/>
      <c r="T564" s="45"/>
      <c r="U564" s="45"/>
      <c r="V564" s="45"/>
      <c r="W564" s="45"/>
    </row>
    <row r="565" spans="1:23" ht="11.25" customHeight="1">
      <c r="A565" s="48"/>
      <c r="B565" s="48"/>
      <c r="C565" s="45"/>
      <c r="D565" s="45"/>
      <c r="E565" s="45"/>
      <c r="F565" s="45"/>
      <c r="G565" s="45"/>
      <c r="H565" s="45"/>
      <c r="I565" s="45"/>
      <c r="J565" s="45"/>
      <c r="K565" s="45"/>
      <c r="L565" s="46"/>
      <c r="M565" s="46"/>
      <c r="N565" s="46"/>
      <c r="O565" s="46"/>
      <c r="P565" s="46"/>
      <c r="Q565" s="45"/>
      <c r="R565" s="45"/>
      <c r="S565" s="45"/>
      <c r="T565" s="45"/>
      <c r="U565" s="45"/>
      <c r="V565" s="45"/>
      <c r="W565" s="45"/>
    </row>
    <row r="566" spans="1:23" ht="11.25" customHeight="1">
      <c r="A566" s="48"/>
      <c r="B566" s="48"/>
      <c r="C566" s="45"/>
      <c r="D566" s="45"/>
      <c r="E566" s="45"/>
      <c r="F566" s="45"/>
      <c r="G566" s="45"/>
      <c r="H566" s="45"/>
      <c r="I566" s="45"/>
      <c r="J566" s="45"/>
      <c r="K566" s="45"/>
      <c r="L566" s="46"/>
      <c r="M566" s="46"/>
      <c r="N566" s="46"/>
      <c r="O566" s="46"/>
      <c r="P566" s="46"/>
      <c r="Q566" s="45"/>
      <c r="R566" s="45"/>
      <c r="S566" s="45"/>
      <c r="T566" s="45"/>
      <c r="U566" s="45"/>
      <c r="V566" s="45"/>
      <c r="W566" s="45"/>
    </row>
    <row r="567" spans="1:23" ht="11.25" customHeight="1">
      <c r="A567" s="48"/>
      <c r="B567" s="48"/>
      <c r="C567" s="45"/>
      <c r="D567" s="45"/>
      <c r="E567" s="45"/>
      <c r="F567" s="45"/>
      <c r="G567" s="45"/>
      <c r="H567" s="45"/>
      <c r="I567" s="45"/>
      <c r="J567" s="45"/>
      <c r="K567" s="45"/>
      <c r="L567" s="46"/>
      <c r="M567" s="46"/>
      <c r="N567" s="46"/>
      <c r="O567" s="46"/>
      <c r="P567" s="46"/>
      <c r="Q567" s="45"/>
      <c r="R567" s="45"/>
      <c r="S567" s="45"/>
      <c r="T567" s="45"/>
      <c r="U567" s="45"/>
      <c r="V567" s="45"/>
      <c r="W567" s="45"/>
    </row>
    <row r="568" spans="1:23" ht="11.25" customHeight="1">
      <c r="A568" s="48"/>
      <c r="B568" s="48"/>
      <c r="C568" s="45"/>
      <c r="D568" s="45"/>
      <c r="E568" s="45"/>
      <c r="F568" s="45"/>
      <c r="G568" s="45"/>
      <c r="H568" s="45"/>
      <c r="I568" s="45"/>
      <c r="J568" s="45"/>
      <c r="K568" s="45"/>
      <c r="L568" s="46"/>
      <c r="M568" s="46"/>
      <c r="N568" s="46"/>
      <c r="O568" s="46"/>
      <c r="P568" s="46"/>
      <c r="Q568" s="45"/>
      <c r="R568" s="45"/>
      <c r="S568" s="45"/>
      <c r="T568" s="45"/>
      <c r="U568" s="45"/>
      <c r="V568" s="45"/>
      <c r="W568" s="45"/>
    </row>
    <row r="569" spans="1:23" ht="11.25" customHeight="1">
      <c r="A569" s="48"/>
      <c r="B569" s="48"/>
      <c r="C569" s="45"/>
      <c r="D569" s="45"/>
      <c r="E569" s="45"/>
      <c r="F569" s="45"/>
      <c r="G569" s="45"/>
      <c r="H569" s="45"/>
      <c r="I569" s="45"/>
      <c r="J569" s="45"/>
      <c r="K569" s="45"/>
      <c r="L569" s="46"/>
      <c r="M569" s="46"/>
      <c r="N569" s="46"/>
      <c r="O569" s="46"/>
      <c r="P569" s="46"/>
      <c r="Q569" s="45"/>
      <c r="R569" s="45"/>
      <c r="S569" s="45"/>
      <c r="T569" s="45"/>
      <c r="U569" s="45"/>
      <c r="V569" s="45"/>
      <c r="W569" s="45"/>
    </row>
    <row r="570" spans="1:23" ht="11.25" customHeight="1">
      <c r="A570" s="48"/>
      <c r="B570" s="48"/>
      <c r="C570" s="45"/>
      <c r="D570" s="45"/>
      <c r="E570" s="45"/>
      <c r="F570" s="45"/>
      <c r="G570" s="45"/>
      <c r="H570" s="45"/>
      <c r="I570" s="45"/>
      <c r="J570" s="45"/>
      <c r="K570" s="45"/>
      <c r="L570" s="46"/>
      <c r="M570" s="46"/>
      <c r="N570" s="46"/>
      <c r="O570" s="46"/>
      <c r="P570" s="46"/>
      <c r="Q570" s="45"/>
      <c r="R570" s="45"/>
      <c r="S570" s="45"/>
      <c r="T570" s="45"/>
      <c r="U570" s="45"/>
      <c r="V570" s="45"/>
      <c r="W570" s="45"/>
    </row>
    <row r="571" spans="1:23" ht="11.25" customHeight="1">
      <c r="A571" s="48"/>
      <c r="B571" s="48"/>
      <c r="C571" s="45"/>
      <c r="D571" s="45"/>
      <c r="E571" s="45"/>
      <c r="F571" s="45"/>
      <c r="G571" s="45"/>
      <c r="H571" s="45"/>
      <c r="I571" s="45"/>
      <c r="J571" s="45"/>
      <c r="K571" s="45"/>
      <c r="L571" s="46"/>
      <c r="M571" s="46"/>
      <c r="N571" s="46"/>
      <c r="O571" s="46"/>
      <c r="P571" s="46"/>
      <c r="Q571" s="45"/>
      <c r="R571" s="45"/>
      <c r="S571" s="45"/>
      <c r="T571" s="45"/>
      <c r="U571" s="45"/>
      <c r="V571" s="45"/>
      <c r="W571" s="45"/>
    </row>
    <row r="572" spans="1:23" ht="11.25" customHeight="1">
      <c r="A572" s="48"/>
      <c r="B572" s="48"/>
      <c r="C572" s="45"/>
      <c r="D572" s="45"/>
      <c r="E572" s="45"/>
      <c r="F572" s="45"/>
      <c r="G572" s="45"/>
      <c r="H572" s="45"/>
      <c r="I572" s="45"/>
      <c r="J572" s="45"/>
      <c r="K572" s="45"/>
      <c r="L572" s="46"/>
      <c r="M572" s="46"/>
      <c r="N572" s="46"/>
      <c r="O572" s="46"/>
      <c r="P572" s="46"/>
      <c r="Q572" s="45"/>
      <c r="R572" s="45"/>
      <c r="S572" s="45"/>
      <c r="T572" s="45"/>
      <c r="U572" s="45"/>
      <c r="V572" s="45"/>
      <c r="W572" s="45"/>
    </row>
    <row r="573" spans="1:23" ht="11.25" customHeight="1">
      <c r="A573" s="48"/>
      <c r="B573" s="48"/>
      <c r="C573" s="45"/>
      <c r="D573" s="45"/>
      <c r="E573" s="45"/>
      <c r="F573" s="45"/>
      <c r="G573" s="45"/>
      <c r="H573" s="45"/>
      <c r="I573" s="45"/>
      <c r="J573" s="45"/>
      <c r="K573" s="45"/>
      <c r="L573" s="46"/>
      <c r="M573" s="46"/>
      <c r="N573" s="46"/>
      <c r="O573" s="46"/>
      <c r="P573" s="46"/>
      <c r="Q573" s="45"/>
      <c r="R573" s="45"/>
      <c r="S573" s="45"/>
      <c r="T573" s="45"/>
      <c r="U573" s="45"/>
      <c r="V573" s="45"/>
      <c r="W573" s="45"/>
    </row>
    <row r="574" spans="1:23" ht="11.25" customHeight="1">
      <c r="A574" s="48"/>
      <c r="B574" s="48"/>
      <c r="C574" s="45"/>
      <c r="D574" s="45"/>
      <c r="E574" s="45"/>
      <c r="F574" s="45"/>
      <c r="G574" s="45"/>
      <c r="H574" s="45"/>
      <c r="I574" s="45"/>
      <c r="J574" s="45"/>
      <c r="K574" s="45"/>
      <c r="L574" s="46"/>
      <c r="M574" s="46"/>
      <c r="N574" s="46"/>
      <c r="O574" s="46"/>
      <c r="P574" s="46"/>
      <c r="Q574" s="45"/>
      <c r="R574" s="45"/>
      <c r="S574" s="45"/>
      <c r="T574" s="45"/>
      <c r="U574" s="45"/>
      <c r="V574" s="45"/>
      <c r="W574" s="45"/>
    </row>
    <row r="575" spans="1:23" ht="11.25" customHeight="1">
      <c r="A575" s="48"/>
      <c r="B575" s="48"/>
      <c r="C575" s="45"/>
      <c r="D575" s="45"/>
      <c r="E575" s="45"/>
      <c r="F575" s="45"/>
      <c r="G575" s="45"/>
      <c r="H575" s="45"/>
      <c r="I575" s="45"/>
      <c r="J575" s="45"/>
      <c r="K575" s="45"/>
      <c r="L575" s="46"/>
      <c r="M575" s="46"/>
      <c r="N575" s="46"/>
      <c r="O575" s="46"/>
      <c r="P575" s="46"/>
      <c r="Q575" s="45"/>
      <c r="R575" s="45"/>
      <c r="S575" s="45"/>
      <c r="T575" s="45"/>
      <c r="U575" s="45"/>
      <c r="V575" s="45"/>
      <c r="W575" s="45"/>
    </row>
    <row r="576" spans="1:23" ht="11.25" customHeight="1">
      <c r="A576" s="48"/>
      <c r="B576" s="48"/>
      <c r="C576" s="45"/>
      <c r="D576" s="45"/>
      <c r="E576" s="45"/>
      <c r="F576" s="45"/>
      <c r="G576" s="45"/>
      <c r="H576" s="45"/>
      <c r="I576" s="45"/>
      <c r="J576" s="45"/>
      <c r="K576" s="45"/>
      <c r="L576" s="46"/>
      <c r="M576" s="46"/>
      <c r="N576" s="46"/>
      <c r="O576" s="46"/>
      <c r="P576" s="46"/>
      <c r="Q576" s="45"/>
      <c r="R576" s="45"/>
      <c r="S576" s="45"/>
      <c r="T576" s="45"/>
      <c r="U576" s="45"/>
      <c r="V576" s="45"/>
      <c r="W576" s="45"/>
    </row>
    <row r="577" spans="1:23" ht="11.25" customHeight="1">
      <c r="A577" s="48"/>
      <c r="B577" s="48"/>
      <c r="C577" s="45"/>
      <c r="D577" s="45"/>
      <c r="E577" s="45"/>
      <c r="F577" s="45"/>
      <c r="G577" s="45"/>
      <c r="H577" s="45"/>
      <c r="I577" s="45"/>
      <c r="J577" s="45"/>
      <c r="K577" s="45"/>
      <c r="L577" s="46"/>
      <c r="M577" s="46"/>
      <c r="N577" s="46"/>
      <c r="O577" s="46"/>
      <c r="P577" s="46"/>
      <c r="Q577" s="45"/>
      <c r="R577" s="45"/>
      <c r="S577" s="45"/>
      <c r="T577" s="45"/>
      <c r="U577" s="45"/>
      <c r="V577" s="45"/>
      <c r="W577" s="45"/>
    </row>
    <row r="578" spans="1:23" ht="11.25" customHeight="1">
      <c r="A578" s="48"/>
      <c r="B578" s="48"/>
      <c r="C578" s="45"/>
      <c r="D578" s="45"/>
      <c r="E578" s="45"/>
      <c r="F578" s="45"/>
      <c r="G578" s="45"/>
      <c r="H578" s="45"/>
      <c r="I578" s="45"/>
      <c r="J578" s="45"/>
      <c r="K578" s="45"/>
      <c r="L578" s="46"/>
      <c r="M578" s="46"/>
      <c r="N578" s="46"/>
      <c r="O578" s="46"/>
      <c r="P578" s="46"/>
      <c r="Q578" s="45"/>
      <c r="R578" s="45"/>
      <c r="S578" s="45"/>
      <c r="T578" s="45"/>
      <c r="U578" s="45"/>
      <c r="V578" s="45"/>
      <c r="W578" s="45"/>
    </row>
    <row r="579" spans="1:23" ht="11.25" customHeight="1">
      <c r="A579" s="48"/>
      <c r="B579" s="48"/>
      <c r="C579" s="45"/>
      <c r="D579" s="45"/>
      <c r="E579" s="45"/>
      <c r="F579" s="45"/>
      <c r="G579" s="45"/>
      <c r="H579" s="45"/>
      <c r="I579" s="45"/>
      <c r="J579" s="45"/>
      <c r="K579" s="45"/>
      <c r="L579" s="46"/>
      <c r="M579" s="46"/>
      <c r="N579" s="46"/>
      <c r="O579" s="46"/>
      <c r="P579" s="46"/>
      <c r="Q579" s="45"/>
      <c r="R579" s="45"/>
      <c r="S579" s="45"/>
      <c r="T579" s="45"/>
      <c r="U579" s="45"/>
      <c r="V579" s="45"/>
      <c r="W579" s="45"/>
    </row>
    <row r="580" spans="1:23" ht="11.25" customHeight="1">
      <c r="A580" s="48"/>
      <c r="B580" s="48"/>
      <c r="C580" s="45"/>
      <c r="D580" s="45"/>
      <c r="E580" s="45"/>
      <c r="F580" s="45"/>
      <c r="G580" s="45"/>
      <c r="H580" s="45"/>
      <c r="I580" s="45"/>
      <c r="J580" s="45"/>
      <c r="K580" s="45"/>
      <c r="L580" s="46"/>
      <c r="M580" s="46"/>
      <c r="N580" s="46"/>
      <c r="O580" s="46"/>
      <c r="P580" s="46"/>
      <c r="Q580" s="45"/>
      <c r="R580" s="45"/>
      <c r="S580" s="45"/>
      <c r="T580" s="45"/>
      <c r="U580" s="45"/>
      <c r="V580" s="45"/>
      <c r="W580" s="45"/>
    </row>
    <row r="581" spans="1:23" ht="11.25" customHeight="1">
      <c r="A581" s="48"/>
      <c r="B581" s="48"/>
      <c r="C581" s="45"/>
      <c r="D581" s="45"/>
      <c r="E581" s="45"/>
      <c r="F581" s="45"/>
      <c r="G581" s="45"/>
      <c r="H581" s="45"/>
      <c r="I581" s="45"/>
      <c r="J581" s="45"/>
      <c r="K581" s="45"/>
      <c r="L581" s="46"/>
      <c r="M581" s="46"/>
      <c r="N581" s="46"/>
      <c r="O581" s="46"/>
      <c r="P581" s="46"/>
      <c r="Q581" s="45"/>
      <c r="R581" s="45"/>
      <c r="S581" s="45"/>
      <c r="T581" s="45"/>
      <c r="U581" s="45"/>
      <c r="V581" s="45"/>
      <c r="W581" s="45"/>
    </row>
    <row r="582" spans="1:23" ht="11.25" customHeight="1">
      <c r="A582" s="48"/>
      <c r="B582" s="48"/>
      <c r="C582" s="45"/>
      <c r="D582" s="45"/>
      <c r="E582" s="45"/>
      <c r="F582" s="45"/>
      <c r="G582" s="45"/>
      <c r="H582" s="45"/>
      <c r="I582" s="45"/>
      <c r="J582" s="45"/>
      <c r="K582" s="45"/>
      <c r="L582" s="46"/>
      <c r="M582" s="46"/>
      <c r="N582" s="46"/>
      <c r="O582" s="46"/>
      <c r="P582" s="46"/>
      <c r="Q582" s="45"/>
      <c r="R582" s="45"/>
      <c r="S582" s="45"/>
      <c r="T582" s="45"/>
      <c r="U582" s="45"/>
      <c r="V582" s="45"/>
      <c r="W582" s="45"/>
    </row>
    <row r="583" spans="1:23" ht="11.25" customHeight="1">
      <c r="A583" s="48"/>
      <c r="B583" s="48"/>
      <c r="C583" s="45"/>
      <c r="D583" s="45"/>
      <c r="E583" s="45"/>
      <c r="F583" s="45"/>
      <c r="G583" s="45"/>
      <c r="H583" s="45"/>
      <c r="I583" s="45"/>
      <c r="J583" s="45"/>
      <c r="K583" s="45"/>
      <c r="L583" s="46"/>
      <c r="M583" s="46"/>
      <c r="N583" s="46"/>
      <c r="O583" s="46"/>
      <c r="P583" s="46"/>
      <c r="Q583" s="45"/>
      <c r="R583" s="45"/>
      <c r="S583" s="45"/>
      <c r="T583" s="45"/>
      <c r="U583" s="45"/>
      <c r="V583" s="45"/>
      <c r="W583" s="45"/>
    </row>
    <row r="584" spans="1:23" ht="11.25" customHeight="1">
      <c r="A584" s="48"/>
      <c r="B584" s="48"/>
      <c r="C584" s="45"/>
      <c r="D584" s="45"/>
      <c r="E584" s="45"/>
      <c r="F584" s="45"/>
      <c r="G584" s="45"/>
      <c r="H584" s="45"/>
      <c r="I584" s="45"/>
      <c r="J584" s="45"/>
      <c r="K584" s="45"/>
      <c r="L584" s="46"/>
      <c r="M584" s="46"/>
      <c r="N584" s="46"/>
      <c r="O584" s="46"/>
      <c r="P584" s="46"/>
      <c r="Q584" s="45"/>
      <c r="R584" s="45"/>
      <c r="S584" s="45"/>
      <c r="T584" s="45"/>
      <c r="U584" s="45"/>
      <c r="V584" s="45"/>
      <c r="W584" s="45"/>
    </row>
    <row r="585" spans="1:23" ht="11.25" customHeight="1">
      <c r="A585" s="48"/>
      <c r="B585" s="48"/>
      <c r="C585" s="45"/>
      <c r="D585" s="45"/>
      <c r="E585" s="45"/>
      <c r="F585" s="45"/>
      <c r="G585" s="45"/>
      <c r="H585" s="45"/>
      <c r="I585" s="45"/>
      <c r="J585" s="45"/>
      <c r="K585" s="45"/>
      <c r="L585" s="46"/>
      <c r="M585" s="46"/>
      <c r="N585" s="46"/>
      <c r="O585" s="46"/>
      <c r="P585" s="46"/>
      <c r="Q585" s="45"/>
      <c r="R585" s="45"/>
      <c r="S585" s="45"/>
      <c r="T585" s="45"/>
      <c r="U585" s="45"/>
      <c r="V585" s="45"/>
      <c r="W585" s="45"/>
    </row>
    <row r="586" spans="1:23" ht="11.25" customHeight="1">
      <c r="A586" s="48"/>
      <c r="B586" s="48"/>
      <c r="C586" s="45"/>
      <c r="D586" s="45"/>
      <c r="E586" s="45"/>
      <c r="F586" s="45"/>
      <c r="G586" s="45"/>
      <c r="H586" s="45"/>
      <c r="I586" s="45"/>
      <c r="J586" s="45"/>
      <c r="K586" s="45"/>
      <c r="L586" s="46"/>
      <c r="M586" s="46"/>
      <c r="N586" s="46"/>
      <c r="O586" s="46"/>
      <c r="P586" s="46"/>
      <c r="Q586" s="45"/>
      <c r="R586" s="45"/>
      <c r="S586" s="45"/>
      <c r="T586" s="45"/>
      <c r="U586" s="45"/>
      <c r="V586" s="45"/>
      <c r="W586" s="45"/>
    </row>
    <row r="587" spans="1:23" ht="11.25" customHeight="1">
      <c r="A587" s="48"/>
      <c r="B587" s="48"/>
      <c r="C587" s="45"/>
      <c r="D587" s="45"/>
      <c r="E587" s="45"/>
      <c r="F587" s="45"/>
      <c r="G587" s="45"/>
      <c r="H587" s="45"/>
      <c r="I587" s="45"/>
      <c r="J587" s="45"/>
      <c r="K587" s="45"/>
      <c r="L587" s="46"/>
      <c r="M587" s="46"/>
      <c r="N587" s="46"/>
      <c r="O587" s="46"/>
      <c r="P587" s="46"/>
      <c r="Q587" s="45"/>
      <c r="R587" s="45"/>
      <c r="S587" s="45"/>
      <c r="T587" s="45"/>
      <c r="U587" s="45"/>
      <c r="V587" s="45"/>
      <c r="W587" s="45"/>
    </row>
    <row r="588" spans="1:23" ht="11.25" customHeight="1">
      <c r="A588" s="48"/>
      <c r="B588" s="48"/>
      <c r="C588" s="45"/>
      <c r="D588" s="45"/>
      <c r="E588" s="45"/>
      <c r="F588" s="45"/>
      <c r="G588" s="45"/>
      <c r="H588" s="45"/>
      <c r="I588" s="45"/>
      <c r="J588" s="45"/>
      <c r="K588" s="45"/>
      <c r="L588" s="46"/>
      <c r="M588" s="46"/>
      <c r="N588" s="46"/>
      <c r="O588" s="46"/>
      <c r="P588" s="46"/>
      <c r="Q588" s="45"/>
      <c r="R588" s="45"/>
      <c r="S588" s="45"/>
      <c r="T588" s="45"/>
      <c r="U588" s="45"/>
      <c r="V588" s="45"/>
      <c r="W588" s="45"/>
    </row>
    <row r="589" spans="1:23" ht="11.25" customHeight="1">
      <c r="A589" s="48"/>
      <c r="B589" s="48"/>
      <c r="C589" s="45"/>
      <c r="D589" s="45"/>
      <c r="E589" s="45"/>
      <c r="F589" s="45"/>
      <c r="G589" s="45"/>
      <c r="H589" s="45"/>
      <c r="I589" s="45"/>
      <c r="J589" s="45"/>
      <c r="K589" s="45"/>
      <c r="L589" s="46"/>
      <c r="M589" s="46"/>
      <c r="N589" s="46"/>
      <c r="O589" s="46"/>
      <c r="P589" s="46"/>
      <c r="Q589" s="45"/>
      <c r="R589" s="45"/>
      <c r="S589" s="45"/>
      <c r="T589" s="45"/>
      <c r="U589" s="45"/>
      <c r="V589" s="45"/>
      <c r="W589" s="45"/>
    </row>
    <row r="590" spans="1:23" ht="11.25" customHeight="1">
      <c r="A590" s="48"/>
      <c r="B590" s="48"/>
      <c r="C590" s="45"/>
      <c r="D590" s="45"/>
      <c r="E590" s="45"/>
      <c r="F590" s="45"/>
      <c r="G590" s="45"/>
      <c r="H590" s="45"/>
      <c r="I590" s="45"/>
      <c r="J590" s="45"/>
      <c r="K590" s="45"/>
      <c r="L590" s="46"/>
      <c r="M590" s="46"/>
      <c r="N590" s="46"/>
      <c r="O590" s="46"/>
      <c r="P590" s="46"/>
      <c r="Q590" s="45"/>
      <c r="R590" s="45"/>
      <c r="S590" s="45"/>
      <c r="T590" s="45"/>
      <c r="U590" s="45"/>
      <c r="V590" s="45"/>
      <c r="W590" s="45"/>
    </row>
    <row r="591" spans="1:23" ht="11.25" customHeight="1">
      <c r="A591" s="48"/>
      <c r="B591" s="48"/>
      <c r="C591" s="45"/>
      <c r="D591" s="45"/>
      <c r="E591" s="45"/>
      <c r="F591" s="45"/>
      <c r="G591" s="45"/>
      <c r="H591" s="45"/>
      <c r="I591" s="45"/>
      <c r="J591" s="45"/>
      <c r="K591" s="45"/>
      <c r="L591" s="46"/>
      <c r="M591" s="46"/>
      <c r="N591" s="46"/>
      <c r="O591" s="46"/>
      <c r="P591" s="46"/>
      <c r="Q591" s="45"/>
      <c r="R591" s="45"/>
      <c r="S591" s="45"/>
      <c r="T591" s="45"/>
      <c r="U591" s="45"/>
      <c r="V591" s="45"/>
      <c r="W591" s="45"/>
    </row>
    <row r="592" spans="1:23" ht="11.25" customHeight="1">
      <c r="A592" s="48"/>
      <c r="B592" s="48"/>
      <c r="C592" s="45"/>
      <c r="D592" s="45"/>
      <c r="E592" s="45"/>
      <c r="F592" s="45"/>
      <c r="G592" s="45"/>
      <c r="H592" s="45"/>
      <c r="I592" s="45"/>
      <c r="J592" s="45"/>
      <c r="K592" s="45"/>
      <c r="L592" s="46"/>
      <c r="M592" s="46"/>
      <c r="N592" s="46"/>
      <c r="O592" s="46"/>
      <c r="P592" s="46"/>
      <c r="Q592" s="45"/>
      <c r="R592" s="45"/>
      <c r="S592" s="45"/>
      <c r="T592" s="45"/>
      <c r="U592" s="45"/>
      <c r="V592" s="45"/>
      <c r="W592" s="45"/>
    </row>
    <row r="593" spans="1:23" ht="11.25" customHeight="1">
      <c r="A593" s="48"/>
      <c r="B593" s="48"/>
      <c r="C593" s="45"/>
      <c r="D593" s="45"/>
      <c r="E593" s="45"/>
      <c r="F593" s="45"/>
      <c r="G593" s="45"/>
      <c r="H593" s="45"/>
      <c r="I593" s="45"/>
      <c r="J593" s="45"/>
      <c r="K593" s="45"/>
      <c r="L593" s="46"/>
      <c r="M593" s="46"/>
      <c r="N593" s="46"/>
      <c r="O593" s="46"/>
      <c r="P593" s="46"/>
      <c r="Q593" s="45"/>
      <c r="R593" s="45"/>
      <c r="S593" s="45"/>
      <c r="T593" s="45"/>
      <c r="U593" s="45"/>
      <c r="V593" s="45"/>
      <c r="W593" s="45"/>
    </row>
    <row r="594" spans="1:23" ht="11.25" customHeight="1">
      <c r="A594" s="48"/>
      <c r="B594" s="48"/>
      <c r="C594" s="45"/>
      <c r="D594" s="45"/>
      <c r="E594" s="45"/>
      <c r="F594" s="45"/>
      <c r="G594" s="45"/>
      <c r="H594" s="45"/>
      <c r="I594" s="45"/>
      <c r="J594" s="45"/>
      <c r="K594" s="45"/>
      <c r="L594" s="46"/>
      <c r="M594" s="46"/>
      <c r="N594" s="46"/>
      <c r="O594" s="46"/>
      <c r="P594" s="46"/>
      <c r="Q594" s="45"/>
      <c r="R594" s="45"/>
      <c r="S594" s="45"/>
      <c r="T594" s="45"/>
      <c r="U594" s="45"/>
      <c r="V594" s="45"/>
      <c r="W594" s="45"/>
    </row>
    <row r="595" spans="1:23" ht="11.25" customHeight="1">
      <c r="A595" s="48"/>
      <c r="B595" s="48"/>
      <c r="C595" s="45"/>
      <c r="D595" s="45"/>
      <c r="E595" s="45"/>
      <c r="F595" s="45"/>
      <c r="G595" s="45"/>
      <c r="H595" s="45"/>
      <c r="I595" s="45"/>
      <c r="J595" s="45"/>
      <c r="K595" s="45"/>
      <c r="L595" s="46"/>
      <c r="M595" s="46"/>
      <c r="N595" s="46"/>
      <c r="O595" s="46"/>
      <c r="P595" s="46"/>
      <c r="Q595" s="45"/>
      <c r="R595" s="45"/>
      <c r="S595" s="45"/>
      <c r="T595" s="45"/>
      <c r="U595" s="45"/>
      <c r="V595" s="45"/>
      <c r="W595" s="45"/>
    </row>
    <row r="596" spans="1:23" ht="11.25" customHeight="1">
      <c r="A596" s="48"/>
      <c r="B596" s="48"/>
      <c r="C596" s="45"/>
      <c r="D596" s="45"/>
      <c r="E596" s="45"/>
      <c r="F596" s="45"/>
      <c r="G596" s="45"/>
      <c r="H596" s="45"/>
      <c r="I596" s="45"/>
      <c r="J596" s="45"/>
      <c r="K596" s="45"/>
      <c r="L596" s="46"/>
      <c r="M596" s="46"/>
      <c r="N596" s="46"/>
      <c r="O596" s="46"/>
      <c r="P596" s="46"/>
      <c r="Q596" s="45"/>
      <c r="R596" s="45"/>
      <c r="S596" s="45"/>
      <c r="T596" s="45"/>
      <c r="U596" s="45"/>
      <c r="V596" s="45"/>
      <c r="W596" s="45"/>
    </row>
    <row r="597" spans="1:23" ht="11.25" customHeight="1">
      <c r="A597" s="48"/>
      <c r="B597" s="48"/>
      <c r="C597" s="45"/>
      <c r="D597" s="45"/>
      <c r="E597" s="45"/>
      <c r="F597" s="45"/>
      <c r="G597" s="45"/>
      <c r="H597" s="45"/>
      <c r="I597" s="45"/>
      <c r="J597" s="45"/>
      <c r="K597" s="45"/>
      <c r="L597" s="46"/>
      <c r="M597" s="46"/>
      <c r="N597" s="46"/>
      <c r="O597" s="46"/>
      <c r="P597" s="46"/>
      <c r="Q597" s="45"/>
      <c r="R597" s="45"/>
      <c r="S597" s="45"/>
      <c r="T597" s="45"/>
      <c r="U597" s="45"/>
      <c r="V597" s="45"/>
      <c r="W597" s="45"/>
    </row>
    <row r="598" spans="1:23" ht="11.25" customHeight="1">
      <c r="A598" s="48"/>
      <c r="B598" s="48"/>
      <c r="C598" s="45"/>
      <c r="D598" s="45"/>
      <c r="E598" s="45"/>
      <c r="F598" s="45"/>
      <c r="G598" s="45"/>
      <c r="H598" s="45"/>
      <c r="I598" s="45"/>
      <c r="J598" s="45"/>
      <c r="K598" s="45"/>
      <c r="L598" s="46"/>
      <c r="M598" s="46"/>
      <c r="N598" s="46"/>
      <c r="O598" s="46"/>
      <c r="P598" s="46"/>
      <c r="Q598" s="45"/>
      <c r="R598" s="45"/>
      <c r="S598" s="45"/>
      <c r="T598" s="45"/>
      <c r="U598" s="45"/>
      <c r="V598" s="45"/>
      <c r="W598" s="45"/>
    </row>
    <row r="599" spans="1:23" ht="11.25" customHeight="1">
      <c r="A599" s="48"/>
      <c r="B599" s="48"/>
      <c r="C599" s="45"/>
      <c r="D599" s="45"/>
      <c r="E599" s="45"/>
      <c r="F599" s="45"/>
      <c r="G599" s="45"/>
      <c r="H599" s="45"/>
      <c r="I599" s="45"/>
      <c r="J599" s="45"/>
      <c r="K599" s="45"/>
      <c r="L599" s="46"/>
      <c r="M599" s="46"/>
      <c r="N599" s="46"/>
      <c r="O599" s="46"/>
      <c r="P599" s="46"/>
      <c r="Q599" s="45"/>
      <c r="R599" s="45"/>
      <c r="S599" s="45"/>
      <c r="T599" s="45"/>
      <c r="U599" s="45"/>
      <c r="V599" s="45"/>
      <c r="W599" s="45"/>
    </row>
    <row r="600" spans="1:23" ht="11.25" customHeight="1">
      <c r="A600" s="48"/>
      <c r="B600" s="48"/>
      <c r="C600" s="45"/>
      <c r="D600" s="45"/>
      <c r="E600" s="45"/>
      <c r="F600" s="45"/>
      <c r="G600" s="45"/>
      <c r="H600" s="45"/>
      <c r="I600" s="45"/>
      <c r="J600" s="45"/>
      <c r="K600" s="45"/>
      <c r="L600" s="46"/>
      <c r="M600" s="46"/>
      <c r="N600" s="46"/>
      <c r="O600" s="46"/>
      <c r="P600" s="46"/>
      <c r="Q600" s="45"/>
      <c r="R600" s="45"/>
      <c r="S600" s="45"/>
      <c r="T600" s="45"/>
      <c r="U600" s="45"/>
      <c r="V600" s="45"/>
      <c r="W600" s="45"/>
    </row>
    <row r="601" spans="1:23" ht="11.25" customHeight="1">
      <c r="A601" s="48"/>
      <c r="B601" s="48"/>
      <c r="C601" s="45"/>
      <c r="D601" s="45"/>
      <c r="E601" s="45"/>
      <c r="F601" s="45"/>
      <c r="G601" s="45"/>
      <c r="H601" s="45"/>
      <c r="I601" s="45"/>
      <c r="J601" s="45"/>
      <c r="K601" s="45"/>
      <c r="L601" s="46"/>
      <c r="M601" s="46"/>
      <c r="N601" s="46"/>
      <c r="O601" s="46"/>
      <c r="P601" s="46"/>
      <c r="Q601" s="45"/>
      <c r="R601" s="45"/>
      <c r="S601" s="45"/>
      <c r="T601" s="45"/>
      <c r="U601" s="45"/>
      <c r="V601" s="45"/>
      <c r="W601" s="45"/>
    </row>
    <row r="602" spans="1:23" ht="11.25" customHeight="1">
      <c r="A602" s="48"/>
      <c r="B602" s="48"/>
      <c r="C602" s="45"/>
      <c r="D602" s="45"/>
      <c r="E602" s="45"/>
      <c r="F602" s="45"/>
      <c r="G602" s="45"/>
      <c r="H602" s="45"/>
      <c r="I602" s="45"/>
      <c r="J602" s="45"/>
      <c r="K602" s="45"/>
      <c r="L602" s="46"/>
      <c r="M602" s="46"/>
      <c r="N602" s="46"/>
      <c r="O602" s="46"/>
      <c r="P602" s="46"/>
      <c r="Q602" s="45"/>
      <c r="R602" s="45"/>
      <c r="S602" s="45"/>
      <c r="T602" s="45"/>
      <c r="U602" s="45"/>
      <c r="V602" s="45"/>
      <c r="W602" s="45"/>
    </row>
    <row r="603" spans="1:23" ht="11.25" customHeight="1">
      <c r="A603" s="48"/>
      <c r="B603" s="48"/>
      <c r="C603" s="45"/>
      <c r="D603" s="45"/>
      <c r="E603" s="45"/>
      <c r="F603" s="45"/>
      <c r="G603" s="45"/>
      <c r="H603" s="45"/>
      <c r="I603" s="45"/>
      <c r="J603" s="45"/>
      <c r="K603" s="45"/>
      <c r="L603" s="46"/>
      <c r="M603" s="46"/>
      <c r="N603" s="46"/>
      <c r="O603" s="46"/>
      <c r="P603" s="46"/>
      <c r="Q603" s="45"/>
      <c r="R603" s="45"/>
      <c r="S603" s="45"/>
      <c r="T603" s="45"/>
      <c r="U603" s="45"/>
      <c r="V603" s="45"/>
      <c r="W603" s="45"/>
    </row>
    <row r="604" spans="1:23" ht="11.25" customHeight="1">
      <c r="A604" s="48"/>
      <c r="B604" s="48"/>
      <c r="C604" s="45"/>
      <c r="D604" s="45"/>
      <c r="E604" s="45"/>
      <c r="F604" s="45"/>
      <c r="G604" s="45"/>
      <c r="H604" s="45"/>
      <c r="I604" s="45"/>
      <c r="J604" s="45"/>
      <c r="K604" s="45"/>
      <c r="L604" s="46"/>
      <c r="M604" s="46"/>
      <c r="N604" s="46"/>
      <c r="O604" s="46"/>
      <c r="P604" s="46"/>
      <c r="Q604" s="45"/>
      <c r="R604" s="45"/>
      <c r="S604" s="45"/>
      <c r="T604" s="45"/>
      <c r="U604" s="45"/>
      <c r="V604" s="45"/>
      <c r="W604" s="45"/>
    </row>
    <row r="605" spans="1:23" ht="11.25" customHeight="1">
      <c r="A605" s="48"/>
      <c r="B605" s="48"/>
      <c r="C605" s="45"/>
      <c r="D605" s="45"/>
      <c r="E605" s="45"/>
      <c r="F605" s="45"/>
      <c r="G605" s="45"/>
      <c r="H605" s="45"/>
      <c r="I605" s="45"/>
      <c r="J605" s="45"/>
      <c r="K605" s="45"/>
      <c r="L605" s="46"/>
      <c r="M605" s="46"/>
      <c r="N605" s="46"/>
      <c r="O605" s="46"/>
      <c r="P605" s="46"/>
      <c r="Q605" s="45"/>
      <c r="R605" s="45"/>
      <c r="S605" s="45"/>
      <c r="T605" s="45"/>
      <c r="U605" s="45"/>
      <c r="V605" s="45"/>
      <c r="W605" s="45"/>
    </row>
    <row r="606" spans="1:23" ht="11.25" customHeight="1">
      <c r="A606" s="48"/>
      <c r="B606" s="48"/>
      <c r="C606" s="45"/>
      <c r="D606" s="45"/>
      <c r="E606" s="45"/>
      <c r="F606" s="45"/>
      <c r="G606" s="45"/>
      <c r="H606" s="45"/>
      <c r="I606" s="45"/>
      <c r="J606" s="45"/>
      <c r="K606" s="45"/>
      <c r="L606" s="46"/>
      <c r="M606" s="46"/>
      <c r="N606" s="46"/>
      <c r="O606" s="46"/>
      <c r="P606" s="46"/>
      <c r="Q606" s="45"/>
      <c r="R606" s="45"/>
      <c r="S606" s="45"/>
      <c r="T606" s="45"/>
      <c r="U606" s="45"/>
      <c r="V606" s="45"/>
      <c r="W606" s="45"/>
    </row>
    <row r="607" spans="1:23" ht="11.25" customHeight="1">
      <c r="A607" s="48"/>
      <c r="B607" s="48"/>
      <c r="C607" s="45"/>
      <c r="D607" s="45"/>
      <c r="E607" s="45"/>
      <c r="F607" s="45"/>
      <c r="G607" s="45"/>
      <c r="H607" s="45"/>
      <c r="I607" s="45"/>
      <c r="J607" s="45"/>
      <c r="K607" s="45"/>
      <c r="L607" s="46"/>
      <c r="M607" s="46"/>
      <c r="N607" s="46"/>
      <c r="O607" s="46"/>
      <c r="P607" s="46"/>
      <c r="Q607" s="45"/>
      <c r="R607" s="45"/>
      <c r="S607" s="45"/>
      <c r="T607" s="45"/>
      <c r="U607" s="45"/>
      <c r="V607" s="45"/>
      <c r="W607" s="45"/>
    </row>
    <row r="608" spans="1:23" ht="11.25" customHeight="1">
      <c r="A608" s="48"/>
      <c r="B608" s="48"/>
      <c r="C608" s="45"/>
      <c r="D608" s="45"/>
      <c r="E608" s="45"/>
      <c r="F608" s="45"/>
      <c r="G608" s="45"/>
      <c r="H608" s="45"/>
      <c r="I608" s="45"/>
      <c r="J608" s="45"/>
      <c r="K608" s="45"/>
      <c r="L608" s="46"/>
      <c r="M608" s="46"/>
      <c r="N608" s="46"/>
      <c r="O608" s="46"/>
      <c r="P608" s="46"/>
      <c r="Q608" s="45"/>
      <c r="R608" s="45"/>
      <c r="S608" s="45"/>
      <c r="T608" s="45"/>
      <c r="U608" s="45"/>
      <c r="V608" s="45"/>
      <c r="W608" s="45"/>
    </row>
    <row r="609" spans="1:23" ht="11.25" customHeight="1">
      <c r="A609" s="48"/>
      <c r="B609" s="48"/>
      <c r="C609" s="45"/>
      <c r="D609" s="45"/>
      <c r="E609" s="45"/>
      <c r="F609" s="45"/>
      <c r="G609" s="45"/>
      <c r="H609" s="45"/>
      <c r="I609" s="45"/>
      <c r="J609" s="45"/>
      <c r="K609" s="45"/>
      <c r="L609" s="46"/>
      <c r="M609" s="46"/>
      <c r="N609" s="46"/>
      <c r="O609" s="46"/>
      <c r="P609" s="46"/>
      <c r="Q609" s="45"/>
      <c r="R609" s="45"/>
      <c r="S609" s="45"/>
      <c r="T609" s="45"/>
      <c r="U609" s="45"/>
      <c r="V609" s="45"/>
      <c r="W609" s="45"/>
    </row>
    <row r="610" spans="1:23" ht="11.25" customHeight="1">
      <c r="A610" s="48"/>
      <c r="B610" s="48"/>
      <c r="C610" s="45"/>
      <c r="D610" s="45"/>
      <c r="E610" s="45"/>
      <c r="F610" s="45"/>
      <c r="G610" s="45"/>
      <c r="H610" s="45"/>
      <c r="I610" s="45"/>
      <c r="J610" s="45"/>
      <c r="K610" s="45"/>
      <c r="L610" s="46"/>
      <c r="M610" s="46"/>
      <c r="N610" s="46"/>
      <c r="O610" s="46"/>
      <c r="P610" s="46"/>
      <c r="Q610" s="45"/>
      <c r="R610" s="45"/>
      <c r="S610" s="45"/>
      <c r="T610" s="45"/>
      <c r="U610" s="45"/>
      <c r="V610" s="45"/>
      <c r="W610" s="45"/>
    </row>
    <row r="611" spans="1:23" ht="11.25" customHeight="1">
      <c r="A611" s="48"/>
      <c r="B611" s="48"/>
      <c r="C611" s="45"/>
      <c r="D611" s="45"/>
      <c r="E611" s="45"/>
      <c r="F611" s="45"/>
      <c r="G611" s="45"/>
      <c r="H611" s="45"/>
      <c r="I611" s="45"/>
      <c r="J611" s="45"/>
      <c r="K611" s="45"/>
      <c r="L611" s="46"/>
      <c r="M611" s="46"/>
      <c r="N611" s="46"/>
      <c r="O611" s="46"/>
      <c r="P611" s="46"/>
      <c r="Q611" s="45"/>
      <c r="R611" s="45"/>
      <c r="S611" s="45"/>
      <c r="T611" s="45"/>
      <c r="U611" s="45"/>
      <c r="V611" s="45"/>
      <c r="W611" s="45"/>
    </row>
    <row r="612" spans="1:23" ht="11.25" customHeight="1">
      <c r="A612" s="48"/>
      <c r="B612" s="48"/>
      <c r="C612" s="45"/>
      <c r="D612" s="45"/>
      <c r="E612" s="45"/>
      <c r="F612" s="45"/>
      <c r="G612" s="45"/>
      <c r="H612" s="45"/>
      <c r="I612" s="45"/>
      <c r="J612" s="45"/>
      <c r="K612" s="45"/>
      <c r="L612" s="46"/>
      <c r="M612" s="46"/>
      <c r="N612" s="46"/>
      <c r="O612" s="46"/>
      <c r="P612" s="46"/>
      <c r="Q612" s="45"/>
      <c r="R612" s="45"/>
      <c r="S612" s="45"/>
      <c r="T612" s="45"/>
      <c r="U612" s="45"/>
      <c r="V612" s="45"/>
      <c r="W612" s="45"/>
    </row>
    <row r="613" spans="1:23" ht="11.25" customHeight="1">
      <c r="A613" s="48"/>
      <c r="B613" s="48"/>
      <c r="C613" s="45"/>
      <c r="D613" s="45"/>
      <c r="E613" s="45"/>
      <c r="F613" s="45"/>
      <c r="G613" s="45"/>
      <c r="H613" s="45"/>
      <c r="I613" s="45"/>
      <c r="J613" s="45"/>
      <c r="K613" s="45"/>
      <c r="L613" s="46"/>
      <c r="M613" s="46"/>
      <c r="N613" s="46"/>
      <c r="O613" s="46"/>
      <c r="P613" s="46"/>
      <c r="Q613" s="45"/>
      <c r="R613" s="45"/>
      <c r="S613" s="45"/>
      <c r="T613" s="45"/>
      <c r="U613" s="45"/>
      <c r="V613" s="45"/>
      <c r="W613" s="45"/>
    </row>
    <row r="614" spans="1:23" ht="11.25" customHeight="1">
      <c r="A614" s="48"/>
      <c r="B614" s="48"/>
      <c r="C614" s="45"/>
      <c r="D614" s="45"/>
      <c r="E614" s="45"/>
      <c r="F614" s="45"/>
      <c r="G614" s="45"/>
      <c r="H614" s="45"/>
      <c r="I614" s="45"/>
      <c r="J614" s="45"/>
      <c r="K614" s="45"/>
      <c r="L614" s="46"/>
      <c r="M614" s="46"/>
      <c r="N614" s="46"/>
      <c r="O614" s="46"/>
      <c r="P614" s="46"/>
      <c r="Q614" s="45"/>
      <c r="R614" s="45"/>
      <c r="S614" s="45"/>
      <c r="T614" s="45"/>
      <c r="U614" s="45"/>
      <c r="V614" s="45"/>
      <c r="W614" s="45"/>
    </row>
    <row r="615" spans="1:23" ht="11.25" customHeight="1">
      <c r="A615" s="48"/>
      <c r="B615" s="48"/>
      <c r="C615" s="45"/>
      <c r="D615" s="45"/>
      <c r="E615" s="45"/>
      <c r="F615" s="45"/>
      <c r="G615" s="45"/>
      <c r="H615" s="45"/>
      <c r="I615" s="45"/>
      <c r="J615" s="45"/>
      <c r="K615" s="45"/>
      <c r="L615" s="46"/>
      <c r="M615" s="46"/>
      <c r="N615" s="46"/>
      <c r="O615" s="46"/>
      <c r="P615" s="46"/>
      <c r="Q615" s="45"/>
      <c r="R615" s="45"/>
      <c r="S615" s="45"/>
      <c r="T615" s="45"/>
      <c r="U615" s="45"/>
      <c r="V615" s="45"/>
      <c r="W615" s="45"/>
    </row>
    <row r="616" spans="1:23" ht="11.25" customHeight="1">
      <c r="A616" s="48"/>
      <c r="B616" s="48"/>
      <c r="C616" s="45"/>
      <c r="D616" s="45"/>
      <c r="E616" s="45"/>
      <c r="F616" s="45"/>
      <c r="G616" s="45"/>
      <c r="H616" s="45"/>
      <c r="I616" s="45"/>
      <c r="J616" s="45"/>
      <c r="K616" s="45"/>
      <c r="L616" s="46"/>
      <c r="M616" s="46"/>
      <c r="N616" s="46"/>
      <c r="O616" s="46"/>
      <c r="P616" s="46"/>
      <c r="Q616" s="45"/>
      <c r="R616" s="45"/>
      <c r="S616" s="45"/>
      <c r="T616" s="45"/>
      <c r="U616" s="45"/>
      <c r="V616" s="45"/>
      <c r="W616" s="45"/>
    </row>
    <row r="617" spans="1:23" ht="11.25" customHeight="1">
      <c r="A617" s="48"/>
      <c r="B617" s="48"/>
      <c r="C617" s="45"/>
      <c r="D617" s="45"/>
      <c r="E617" s="45"/>
      <c r="F617" s="45"/>
      <c r="G617" s="45"/>
      <c r="H617" s="45"/>
      <c r="I617" s="45"/>
      <c r="J617" s="45"/>
      <c r="K617" s="45"/>
      <c r="L617" s="46"/>
      <c r="M617" s="46"/>
      <c r="N617" s="46"/>
      <c r="O617" s="46"/>
      <c r="P617" s="46"/>
      <c r="Q617" s="45"/>
      <c r="R617" s="45"/>
      <c r="S617" s="45"/>
      <c r="T617" s="45"/>
      <c r="U617" s="45"/>
      <c r="V617" s="45"/>
      <c r="W617" s="45"/>
    </row>
    <row r="618" spans="1:23" ht="11.25" customHeight="1">
      <c r="A618" s="48"/>
      <c r="B618" s="48"/>
      <c r="C618" s="45"/>
      <c r="D618" s="45"/>
      <c r="E618" s="45"/>
      <c r="F618" s="45"/>
      <c r="G618" s="45"/>
      <c r="H618" s="45"/>
      <c r="I618" s="45"/>
      <c r="J618" s="45"/>
      <c r="K618" s="45"/>
      <c r="L618" s="46"/>
      <c r="M618" s="46"/>
      <c r="N618" s="46"/>
      <c r="O618" s="46"/>
      <c r="P618" s="46"/>
      <c r="Q618" s="45"/>
      <c r="R618" s="45"/>
      <c r="S618" s="45"/>
      <c r="T618" s="45"/>
      <c r="U618" s="45"/>
      <c r="V618" s="45"/>
      <c r="W618" s="45"/>
    </row>
    <row r="619" spans="1:23" ht="11.25" customHeight="1">
      <c r="A619" s="48"/>
      <c r="B619" s="48"/>
      <c r="C619" s="45"/>
      <c r="D619" s="45"/>
      <c r="E619" s="45"/>
      <c r="F619" s="45"/>
      <c r="G619" s="45"/>
      <c r="H619" s="45"/>
      <c r="I619" s="45"/>
      <c r="J619" s="45"/>
      <c r="K619" s="45"/>
      <c r="L619" s="46"/>
      <c r="M619" s="46"/>
      <c r="N619" s="46"/>
      <c r="O619" s="46"/>
      <c r="P619" s="46"/>
      <c r="Q619" s="45"/>
      <c r="R619" s="45"/>
      <c r="S619" s="45"/>
      <c r="T619" s="45"/>
      <c r="U619" s="45"/>
      <c r="V619" s="45"/>
      <c r="W619" s="45"/>
    </row>
    <row r="620" spans="1:23" ht="11.25" customHeight="1">
      <c r="A620" s="48"/>
      <c r="B620" s="48"/>
      <c r="C620" s="45"/>
      <c r="D620" s="45"/>
      <c r="E620" s="45"/>
      <c r="F620" s="45"/>
      <c r="G620" s="45"/>
      <c r="H620" s="45"/>
      <c r="I620" s="45"/>
      <c r="J620" s="45"/>
      <c r="K620" s="45"/>
      <c r="L620" s="46"/>
      <c r="M620" s="46"/>
      <c r="N620" s="46"/>
      <c r="O620" s="46"/>
      <c r="P620" s="46"/>
      <c r="Q620" s="45"/>
      <c r="R620" s="45"/>
      <c r="S620" s="45"/>
      <c r="T620" s="45"/>
      <c r="U620" s="45"/>
      <c r="V620" s="45"/>
      <c r="W620" s="45"/>
    </row>
    <row r="621" spans="1:23" ht="11.25" customHeight="1">
      <c r="A621" s="48"/>
      <c r="B621" s="48"/>
      <c r="C621" s="45"/>
      <c r="D621" s="45"/>
      <c r="E621" s="45"/>
      <c r="F621" s="45"/>
      <c r="G621" s="45"/>
      <c r="H621" s="45"/>
      <c r="I621" s="45"/>
      <c r="J621" s="45"/>
      <c r="K621" s="45"/>
      <c r="L621" s="46"/>
      <c r="M621" s="46"/>
      <c r="N621" s="46"/>
      <c r="O621" s="46"/>
      <c r="P621" s="46"/>
      <c r="Q621" s="45"/>
      <c r="R621" s="45"/>
      <c r="S621" s="45"/>
      <c r="T621" s="45"/>
      <c r="U621" s="45"/>
      <c r="V621" s="45"/>
      <c r="W621" s="45"/>
    </row>
    <row r="622" spans="1:23" ht="11.25" customHeight="1">
      <c r="A622" s="48"/>
      <c r="B622" s="48"/>
      <c r="C622" s="45"/>
      <c r="D622" s="45"/>
      <c r="E622" s="45"/>
      <c r="F622" s="45"/>
      <c r="G622" s="45"/>
      <c r="H622" s="45"/>
      <c r="I622" s="45"/>
      <c r="J622" s="45"/>
      <c r="K622" s="45"/>
      <c r="L622" s="46"/>
      <c r="M622" s="46"/>
      <c r="N622" s="46"/>
      <c r="O622" s="46"/>
      <c r="P622" s="46"/>
      <c r="Q622" s="45"/>
      <c r="R622" s="45"/>
      <c r="S622" s="45"/>
      <c r="T622" s="45"/>
      <c r="U622" s="45"/>
      <c r="V622" s="45"/>
      <c r="W622" s="45"/>
    </row>
    <row r="623" spans="1:23" ht="11.25" customHeight="1">
      <c r="A623" s="48"/>
      <c r="B623" s="48"/>
      <c r="C623" s="45"/>
      <c r="D623" s="45"/>
      <c r="E623" s="45"/>
      <c r="F623" s="45"/>
      <c r="G623" s="45"/>
      <c r="H623" s="45"/>
      <c r="I623" s="45"/>
      <c r="J623" s="45"/>
      <c r="K623" s="45"/>
      <c r="L623" s="46"/>
      <c r="M623" s="46"/>
      <c r="N623" s="46"/>
      <c r="O623" s="46"/>
      <c r="P623" s="46"/>
      <c r="Q623" s="45"/>
      <c r="R623" s="45"/>
      <c r="S623" s="45"/>
      <c r="T623" s="45"/>
      <c r="U623" s="45"/>
      <c r="V623" s="45"/>
      <c r="W623" s="45"/>
    </row>
    <row r="624" spans="1:23" ht="11.25" customHeight="1">
      <c r="A624" s="48"/>
      <c r="B624" s="48"/>
      <c r="C624" s="45"/>
      <c r="D624" s="45"/>
      <c r="E624" s="45"/>
      <c r="F624" s="45"/>
      <c r="G624" s="45"/>
      <c r="H624" s="45"/>
      <c r="I624" s="45"/>
      <c r="J624" s="45"/>
      <c r="K624" s="45"/>
      <c r="L624" s="46"/>
      <c r="M624" s="46"/>
      <c r="N624" s="46"/>
      <c r="O624" s="46"/>
      <c r="P624" s="46"/>
      <c r="Q624" s="45"/>
      <c r="R624" s="45"/>
      <c r="S624" s="45"/>
      <c r="T624" s="45"/>
      <c r="U624" s="45"/>
      <c r="V624" s="45"/>
      <c r="W624" s="45"/>
    </row>
    <row r="625" spans="1:23" ht="11.25" customHeight="1">
      <c r="A625" s="48"/>
      <c r="B625" s="48"/>
      <c r="C625" s="45"/>
      <c r="D625" s="45"/>
      <c r="E625" s="45"/>
      <c r="F625" s="45"/>
      <c r="G625" s="45"/>
      <c r="H625" s="45"/>
      <c r="I625" s="45"/>
      <c r="J625" s="45"/>
      <c r="K625" s="45"/>
      <c r="L625" s="46"/>
      <c r="M625" s="46"/>
      <c r="N625" s="46"/>
      <c r="O625" s="46"/>
      <c r="P625" s="46"/>
      <c r="Q625" s="45"/>
      <c r="R625" s="45"/>
      <c r="S625" s="45"/>
      <c r="T625" s="45"/>
      <c r="U625" s="45"/>
      <c r="V625" s="45"/>
      <c r="W625" s="45"/>
    </row>
    <row r="626" spans="1:23" ht="11.25" customHeight="1">
      <c r="A626" s="48"/>
      <c r="B626" s="48"/>
      <c r="C626" s="45"/>
      <c r="D626" s="45"/>
      <c r="E626" s="45"/>
      <c r="F626" s="45"/>
      <c r="G626" s="45"/>
      <c r="H626" s="45"/>
      <c r="I626" s="45"/>
      <c r="J626" s="45"/>
      <c r="K626" s="45"/>
      <c r="L626" s="46"/>
      <c r="M626" s="46"/>
      <c r="N626" s="46"/>
      <c r="O626" s="46"/>
      <c r="P626" s="46"/>
      <c r="Q626" s="45"/>
      <c r="R626" s="45"/>
      <c r="S626" s="45"/>
      <c r="T626" s="45"/>
      <c r="U626" s="45"/>
      <c r="V626" s="45"/>
      <c r="W626" s="45"/>
    </row>
    <row r="627" spans="1:23" ht="11.25" customHeight="1">
      <c r="A627" s="48"/>
      <c r="B627" s="48"/>
      <c r="C627" s="45"/>
      <c r="D627" s="45"/>
      <c r="E627" s="45"/>
      <c r="F627" s="45"/>
      <c r="G627" s="45"/>
      <c r="H627" s="45"/>
      <c r="I627" s="45"/>
      <c r="J627" s="45"/>
      <c r="K627" s="45"/>
      <c r="L627" s="46"/>
      <c r="M627" s="46"/>
      <c r="N627" s="46"/>
      <c r="O627" s="46"/>
      <c r="P627" s="46"/>
      <c r="Q627" s="45"/>
      <c r="R627" s="45"/>
      <c r="S627" s="45"/>
      <c r="T627" s="45"/>
      <c r="U627" s="45"/>
      <c r="V627" s="45"/>
      <c r="W627" s="45"/>
    </row>
    <row r="628" spans="1:23" ht="11.25" customHeight="1">
      <c r="A628" s="48"/>
      <c r="B628" s="48"/>
      <c r="C628" s="45"/>
      <c r="D628" s="45"/>
      <c r="E628" s="45"/>
      <c r="F628" s="45"/>
      <c r="G628" s="45"/>
      <c r="H628" s="45"/>
      <c r="I628" s="45"/>
      <c r="J628" s="45"/>
      <c r="K628" s="45"/>
      <c r="L628" s="46"/>
      <c r="M628" s="46"/>
      <c r="N628" s="46"/>
      <c r="O628" s="46"/>
      <c r="P628" s="46"/>
      <c r="Q628" s="45"/>
      <c r="R628" s="45"/>
      <c r="S628" s="45"/>
      <c r="T628" s="45"/>
      <c r="U628" s="45"/>
      <c r="V628" s="45"/>
      <c r="W628" s="45"/>
    </row>
    <row r="629" spans="1:23" ht="11.25" customHeight="1">
      <c r="A629" s="48"/>
      <c r="B629" s="48"/>
      <c r="C629" s="45"/>
      <c r="D629" s="45"/>
      <c r="E629" s="45"/>
      <c r="F629" s="45"/>
      <c r="G629" s="45"/>
      <c r="H629" s="45"/>
      <c r="I629" s="45"/>
      <c r="J629" s="45"/>
      <c r="K629" s="45"/>
      <c r="L629" s="46"/>
      <c r="M629" s="46"/>
      <c r="N629" s="46"/>
      <c r="O629" s="46"/>
      <c r="P629" s="46"/>
      <c r="Q629" s="45"/>
      <c r="R629" s="45"/>
      <c r="S629" s="45"/>
      <c r="T629" s="45"/>
      <c r="U629" s="45"/>
      <c r="V629" s="45"/>
      <c r="W629" s="45"/>
    </row>
    <row r="630" spans="1:23" ht="11.25" customHeight="1">
      <c r="A630" s="48"/>
      <c r="B630" s="48"/>
      <c r="C630" s="45"/>
      <c r="D630" s="45"/>
      <c r="E630" s="45"/>
      <c r="F630" s="45"/>
      <c r="G630" s="45"/>
      <c r="H630" s="45"/>
      <c r="I630" s="45"/>
      <c r="J630" s="45"/>
      <c r="K630" s="45"/>
      <c r="L630" s="46"/>
      <c r="M630" s="46"/>
      <c r="N630" s="46"/>
      <c r="O630" s="46"/>
      <c r="P630" s="46"/>
      <c r="Q630" s="45"/>
      <c r="R630" s="45"/>
      <c r="S630" s="45"/>
      <c r="T630" s="45"/>
      <c r="U630" s="45"/>
      <c r="V630" s="45"/>
      <c r="W630" s="45"/>
    </row>
    <row r="631" spans="1:23" ht="11.25" customHeight="1">
      <c r="A631" s="48"/>
      <c r="B631" s="48"/>
      <c r="C631" s="45"/>
      <c r="D631" s="45"/>
      <c r="E631" s="45"/>
      <c r="F631" s="45"/>
      <c r="G631" s="45"/>
      <c r="H631" s="45"/>
      <c r="I631" s="45"/>
      <c r="J631" s="45"/>
      <c r="K631" s="45"/>
      <c r="L631" s="46"/>
      <c r="M631" s="46"/>
      <c r="N631" s="46"/>
      <c r="O631" s="46"/>
      <c r="P631" s="46"/>
      <c r="Q631" s="45"/>
      <c r="R631" s="45"/>
      <c r="S631" s="45"/>
      <c r="T631" s="45"/>
      <c r="U631" s="45"/>
      <c r="V631" s="45"/>
      <c r="W631" s="45"/>
    </row>
    <row r="632" spans="1:23" ht="11.25" customHeight="1">
      <c r="A632" s="48"/>
      <c r="B632" s="48"/>
      <c r="C632" s="45"/>
      <c r="D632" s="45"/>
      <c r="E632" s="45"/>
      <c r="F632" s="45"/>
      <c r="G632" s="45"/>
      <c r="H632" s="45"/>
      <c r="I632" s="45"/>
      <c r="J632" s="45"/>
      <c r="K632" s="45"/>
      <c r="L632" s="46"/>
      <c r="M632" s="46"/>
      <c r="N632" s="46"/>
      <c r="O632" s="46"/>
      <c r="P632" s="46"/>
      <c r="Q632" s="45"/>
      <c r="R632" s="45"/>
      <c r="S632" s="45"/>
      <c r="T632" s="45"/>
      <c r="U632" s="45"/>
      <c r="V632" s="45"/>
      <c r="W632" s="45"/>
    </row>
    <row r="633" spans="1:23" ht="11.25" customHeight="1">
      <c r="A633" s="48"/>
      <c r="B633" s="48"/>
      <c r="C633" s="45"/>
      <c r="D633" s="45"/>
      <c r="E633" s="45"/>
      <c r="F633" s="45"/>
      <c r="G633" s="45"/>
      <c r="H633" s="45"/>
      <c r="I633" s="45"/>
      <c r="J633" s="45"/>
      <c r="K633" s="45"/>
      <c r="L633" s="46"/>
      <c r="M633" s="46"/>
      <c r="N633" s="46"/>
      <c r="O633" s="46"/>
      <c r="P633" s="46"/>
      <c r="Q633" s="45"/>
      <c r="R633" s="45"/>
      <c r="S633" s="45"/>
      <c r="T633" s="45"/>
      <c r="U633" s="45"/>
      <c r="V633" s="45"/>
      <c r="W633" s="45"/>
    </row>
    <row r="634" spans="1:23" ht="11.25" customHeight="1">
      <c r="A634" s="48"/>
      <c r="B634" s="48"/>
      <c r="C634" s="45"/>
      <c r="D634" s="45"/>
      <c r="E634" s="45"/>
      <c r="F634" s="45"/>
      <c r="G634" s="45"/>
      <c r="H634" s="45"/>
      <c r="I634" s="45"/>
      <c r="J634" s="45"/>
      <c r="K634" s="45"/>
      <c r="L634" s="46"/>
      <c r="M634" s="46"/>
      <c r="N634" s="46"/>
      <c r="O634" s="46"/>
      <c r="P634" s="46"/>
      <c r="Q634" s="45"/>
      <c r="R634" s="45"/>
      <c r="S634" s="45"/>
      <c r="T634" s="45"/>
      <c r="U634" s="45"/>
      <c r="V634" s="45"/>
      <c r="W634" s="45"/>
    </row>
    <row r="635" spans="1:23" ht="11.25" customHeight="1">
      <c r="A635" s="48"/>
      <c r="B635" s="48"/>
      <c r="C635" s="45"/>
      <c r="D635" s="45"/>
      <c r="E635" s="45"/>
      <c r="F635" s="45"/>
      <c r="G635" s="45"/>
      <c r="H635" s="45"/>
      <c r="I635" s="45"/>
      <c r="J635" s="45"/>
      <c r="K635" s="45"/>
      <c r="L635" s="46"/>
      <c r="M635" s="46"/>
      <c r="N635" s="46"/>
      <c r="O635" s="46"/>
      <c r="P635" s="46"/>
      <c r="Q635" s="45"/>
      <c r="R635" s="45"/>
      <c r="S635" s="45"/>
      <c r="T635" s="45"/>
      <c r="U635" s="45"/>
      <c r="V635" s="45"/>
      <c r="W635" s="45"/>
    </row>
    <row r="636" spans="1:23" ht="11.25" customHeight="1">
      <c r="A636" s="48"/>
      <c r="B636" s="48"/>
      <c r="C636" s="45"/>
      <c r="D636" s="45"/>
      <c r="E636" s="45"/>
      <c r="F636" s="45"/>
      <c r="G636" s="45"/>
      <c r="H636" s="45"/>
      <c r="I636" s="45"/>
      <c r="J636" s="45"/>
      <c r="K636" s="45"/>
      <c r="L636" s="46"/>
      <c r="M636" s="46"/>
      <c r="N636" s="46"/>
      <c r="O636" s="46"/>
      <c r="P636" s="46"/>
      <c r="Q636" s="45"/>
      <c r="R636" s="45"/>
      <c r="S636" s="45"/>
      <c r="T636" s="45"/>
      <c r="U636" s="45"/>
      <c r="V636" s="45"/>
      <c r="W636" s="45"/>
    </row>
    <row r="637" spans="1:23" ht="11.25" customHeight="1">
      <c r="A637" s="48"/>
      <c r="B637" s="48"/>
      <c r="C637" s="45"/>
      <c r="D637" s="45"/>
      <c r="E637" s="45"/>
      <c r="F637" s="45"/>
      <c r="G637" s="45"/>
      <c r="H637" s="45"/>
      <c r="I637" s="45"/>
      <c r="J637" s="45"/>
      <c r="K637" s="45"/>
      <c r="L637" s="46"/>
      <c r="M637" s="46"/>
      <c r="N637" s="46"/>
      <c r="O637" s="46"/>
      <c r="P637" s="46"/>
      <c r="Q637" s="45"/>
      <c r="R637" s="45"/>
      <c r="S637" s="45"/>
      <c r="T637" s="45"/>
      <c r="U637" s="45"/>
      <c r="V637" s="45"/>
      <c r="W637" s="45"/>
    </row>
    <row r="638" spans="1:23" ht="11.25" customHeight="1">
      <c r="A638" s="48"/>
      <c r="B638" s="48"/>
      <c r="C638" s="45"/>
      <c r="D638" s="45"/>
      <c r="E638" s="45"/>
      <c r="F638" s="45"/>
      <c r="G638" s="45"/>
      <c r="H638" s="45"/>
      <c r="I638" s="45"/>
      <c r="J638" s="45"/>
      <c r="K638" s="45"/>
      <c r="L638" s="46"/>
      <c r="M638" s="46"/>
      <c r="N638" s="46"/>
      <c r="O638" s="46"/>
      <c r="P638" s="46"/>
      <c r="Q638" s="45"/>
      <c r="R638" s="45"/>
      <c r="S638" s="45"/>
      <c r="T638" s="45"/>
      <c r="U638" s="45"/>
      <c r="V638" s="45"/>
      <c r="W638" s="45"/>
    </row>
    <row r="639" spans="1:23" ht="11.25" customHeight="1">
      <c r="A639" s="48"/>
      <c r="B639" s="48"/>
      <c r="C639" s="45"/>
      <c r="D639" s="45"/>
      <c r="E639" s="45"/>
      <c r="F639" s="45"/>
      <c r="G639" s="45"/>
      <c r="H639" s="45"/>
      <c r="I639" s="45"/>
      <c r="J639" s="45"/>
      <c r="K639" s="45"/>
      <c r="L639" s="46"/>
      <c r="M639" s="46"/>
      <c r="N639" s="46"/>
      <c r="O639" s="46"/>
      <c r="P639" s="46"/>
      <c r="Q639" s="45"/>
      <c r="R639" s="45"/>
      <c r="S639" s="45"/>
      <c r="T639" s="45"/>
      <c r="U639" s="45"/>
      <c r="V639" s="45"/>
      <c r="W639" s="45"/>
    </row>
    <row r="640" spans="1:23" ht="11.25" customHeight="1">
      <c r="A640" s="48"/>
      <c r="B640" s="48"/>
      <c r="C640" s="45"/>
      <c r="D640" s="45"/>
      <c r="E640" s="45"/>
      <c r="F640" s="45"/>
      <c r="G640" s="45"/>
      <c r="H640" s="45"/>
      <c r="I640" s="45"/>
      <c r="J640" s="45"/>
      <c r="K640" s="45"/>
      <c r="L640" s="46"/>
      <c r="M640" s="46"/>
      <c r="N640" s="46"/>
      <c r="O640" s="46"/>
      <c r="P640" s="46"/>
      <c r="Q640" s="45"/>
      <c r="R640" s="45"/>
      <c r="S640" s="45"/>
      <c r="T640" s="45"/>
      <c r="U640" s="45"/>
      <c r="V640" s="45"/>
      <c r="W640" s="45"/>
    </row>
    <row r="641" spans="1:23" ht="11.25" customHeight="1">
      <c r="A641" s="48"/>
      <c r="B641" s="48"/>
      <c r="C641" s="45"/>
      <c r="D641" s="45"/>
      <c r="E641" s="45"/>
      <c r="F641" s="45"/>
      <c r="G641" s="45"/>
      <c r="H641" s="45"/>
      <c r="I641" s="45"/>
      <c r="J641" s="45"/>
      <c r="K641" s="45"/>
      <c r="L641" s="46"/>
      <c r="M641" s="46"/>
      <c r="N641" s="46"/>
      <c r="O641" s="46"/>
      <c r="P641" s="46"/>
      <c r="Q641" s="45"/>
      <c r="R641" s="45"/>
      <c r="S641" s="45"/>
      <c r="T641" s="45"/>
      <c r="U641" s="45"/>
      <c r="V641" s="45"/>
      <c r="W641" s="45"/>
    </row>
    <row r="642" spans="1:23" ht="11.25" customHeight="1">
      <c r="A642" s="48"/>
      <c r="B642" s="48"/>
      <c r="C642" s="45"/>
      <c r="D642" s="45"/>
      <c r="E642" s="45"/>
      <c r="F642" s="45"/>
      <c r="G642" s="45"/>
      <c r="H642" s="45"/>
      <c r="I642" s="45"/>
      <c r="J642" s="45"/>
      <c r="K642" s="45"/>
      <c r="L642" s="46"/>
      <c r="M642" s="46"/>
      <c r="N642" s="46"/>
      <c r="O642" s="46"/>
      <c r="P642" s="46"/>
      <c r="Q642" s="45"/>
      <c r="R642" s="45"/>
      <c r="S642" s="45"/>
      <c r="T642" s="45"/>
      <c r="U642" s="45"/>
      <c r="V642" s="45"/>
      <c r="W642" s="45"/>
    </row>
    <row r="643" spans="1:23" ht="11.25" customHeight="1">
      <c r="A643" s="48"/>
      <c r="B643" s="48"/>
      <c r="C643" s="45"/>
      <c r="D643" s="45"/>
      <c r="E643" s="45"/>
      <c r="F643" s="45"/>
      <c r="G643" s="45"/>
      <c r="H643" s="45"/>
      <c r="I643" s="45"/>
      <c r="J643" s="45"/>
      <c r="K643" s="45"/>
      <c r="L643" s="46"/>
      <c r="M643" s="46"/>
      <c r="N643" s="46"/>
      <c r="O643" s="46"/>
      <c r="P643" s="46"/>
      <c r="Q643" s="45"/>
      <c r="R643" s="45"/>
      <c r="S643" s="45"/>
      <c r="T643" s="45"/>
      <c r="U643" s="45"/>
      <c r="V643" s="45"/>
      <c r="W643" s="45"/>
    </row>
    <row r="644" spans="1:23" ht="11.25" customHeight="1">
      <c r="A644" s="48"/>
      <c r="B644" s="48"/>
      <c r="C644" s="45"/>
      <c r="D644" s="45"/>
      <c r="E644" s="45"/>
      <c r="F644" s="45"/>
      <c r="G644" s="45"/>
      <c r="H644" s="45"/>
      <c r="I644" s="45"/>
      <c r="J644" s="45"/>
      <c r="K644" s="45"/>
      <c r="L644" s="46"/>
      <c r="M644" s="46"/>
      <c r="N644" s="46"/>
      <c r="O644" s="46"/>
      <c r="P644" s="46"/>
      <c r="Q644" s="45"/>
      <c r="R644" s="45"/>
      <c r="S644" s="45"/>
      <c r="T644" s="45"/>
      <c r="U644" s="45"/>
      <c r="V644" s="45"/>
      <c r="W644" s="45"/>
    </row>
    <row r="645" spans="1:23" ht="11.25" customHeight="1">
      <c r="A645" s="48"/>
      <c r="B645" s="48"/>
      <c r="C645" s="45"/>
      <c r="D645" s="45"/>
      <c r="E645" s="45"/>
      <c r="F645" s="45"/>
      <c r="G645" s="45"/>
      <c r="H645" s="45"/>
      <c r="I645" s="45"/>
      <c r="J645" s="45"/>
      <c r="K645" s="45"/>
      <c r="L645" s="46"/>
      <c r="M645" s="46"/>
      <c r="N645" s="46"/>
      <c r="O645" s="46"/>
      <c r="P645" s="46"/>
      <c r="Q645" s="45"/>
      <c r="R645" s="45"/>
      <c r="S645" s="45"/>
      <c r="T645" s="45"/>
      <c r="U645" s="45"/>
      <c r="V645" s="45"/>
      <c r="W645" s="45"/>
    </row>
    <row r="646" spans="1:23" ht="11.25" customHeight="1">
      <c r="A646" s="48"/>
      <c r="B646" s="48"/>
      <c r="C646" s="45"/>
      <c r="D646" s="45"/>
      <c r="E646" s="45"/>
      <c r="F646" s="45"/>
      <c r="G646" s="45"/>
      <c r="H646" s="45"/>
      <c r="I646" s="45"/>
      <c r="J646" s="45"/>
      <c r="K646" s="45"/>
      <c r="L646" s="46"/>
      <c r="M646" s="46"/>
      <c r="N646" s="46"/>
      <c r="O646" s="46"/>
      <c r="P646" s="46"/>
      <c r="Q646" s="45"/>
      <c r="R646" s="45"/>
      <c r="S646" s="45"/>
      <c r="T646" s="45"/>
      <c r="U646" s="45"/>
      <c r="V646" s="45"/>
      <c r="W646" s="45"/>
    </row>
    <row r="647" spans="1:23" ht="11.25" customHeight="1">
      <c r="A647" s="48"/>
      <c r="B647" s="48"/>
      <c r="C647" s="45"/>
      <c r="D647" s="45"/>
      <c r="E647" s="45"/>
      <c r="F647" s="45"/>
      <c r="G647" s="45"/>
      <c r="H647" s="45"/>
      <c r="I647" s="45"/>
      <c r="J647" s="45"/>
      <c r="K647" s="45"/>
      <c r="L647" s="46"/>
      <c r="M647" s="46"/>
      <c r="N647" s="46"/>
      <c r="O647" s="46"/>
      <c r="P647" s="46"/>
      <c r="Q647" s="45"/>
      <c r="R647" s="45"/>
      <c r="S647" s="45"/>
      <c r="T647" s="45"/>
      <c r="U647" s="45"/>
      <c r="V647" s="45"/>
      <c r="W647" s="45"/>
    </row>
    <row r="648" spans="1:23" ht="11.25" customHeight="1">
      <c r="A648" s="48"/>
      <c r="B648" s="48"/>
      <c r="C648" s="45"/>
      <c r="D648" s="45"/>
      <c r="E648" s="45"/>
      <c r="F648" s="45"/>
      <c r="G648" s="45"/>
      <c r="H648" s="45"/>
      <c r="I648" s="45"/>
      <c r="J648" s="45"/>
      <c r="K648" s="45"/>
      <c r="L648" s="46"/>
      <c r="M648" s="46"/>
      <c r="N648" s="46"/>
      <c r="O648" s="46"/>
      <c r="P648" s="46"/>
      <c r="Q648" s="45"/>
      <c r="R648" s="45"/>
      <c r="S648" s="45"/>
      <c r="T648" s="45"/>
      <c r="U648" s="45"/>
      <c r="V648" s="45"/>
      <c r="W648" s="45"/>
    </row>
    <row r="649" spans="1:23" ht="11.25" customHeight="1">
      <c r="A649" s="48"/>
      <c r="B649" s="48"/>
      <c r="C649" s="45"/>
      <c r="D649" s="45"/>
      <c r="E649" s="45"/>
      <c r="F649" s="45"/>
      <c r="G649" s="45"/>
      <c r="H649" s="45"/>
      <c r="I649" s="45"/>
      <c r="J649" s="45"/>
      <c r="K649" s="45"/>
      <c r="L649" s="46"/>
      <c r="M649" s="46"/>
      <c r="N649" s="46"/>
      <c r="O649" s="46"/>
      <c r="P649" s="46"/>
      <c r="Q649" s="45"/>
      <c r="R649" s="45"/>
      <c r="S649" s="45"/>
      <c r="T649" s="45"/>
      <c r="U649" s="45"/>
      <c r="V649" s="45"/>
      <c r="W649" s="45"/>
    </row>
    <row r="650" spans="1:23" ht="11.25" customHeight="1">
      <c r="A650" s="48"/>
      <c r="B650" s="48"/>
      <c r="C650" s="45"/>
      <c r="D650" s="45"/>
      <c r="E650" s="45"/>
      <c r="F650" s="45"/>
      <c r="G650" s="45"/>
      <c r="H650" s="45"/>
      <c r="I650" s="45"/>
      <c r="J650" s="45"/>
      <c r="K650" s="45"/>
      <c r="L650" s="46"/>
      <c r="M650" s="46"/>
      <c r="N650" s="46"/>
      <c r="O650" s="46"/>
      <c r="P650" s="46"/>
      <c r="Q650" s="45"/>
      <c r="R650" s="45"/>
      <c r="S650" s="45"/>
      <c r="T650" s="45"/>
      <c r="U650" s="45"/>
      <c r="V650" s="45"/>
      <c r="W650" s="45"/>
    </row>
    <row r="651" spans="1:23" ht="11.25" customHeight="1">
      <c r="A651" s="48"/>
      <c r="B651" s="48"/>
      <c r="C651" s="45"/>
      <c r="D651" s="45"/>
      <c r="E651" s="45"/>
      <c r="F651" s="45"/>
      <c r="G651" s="45"/>
      <c r="H651" s="45"/>
      <c r="I651" s="45"/>
      <c r="J651" s="45"/>
      <c r="K651" s="45"/>
      <c r="L651" s="46"/>
      <c r="M651" s="46"/>
      <c r="N651" s="46"/>
      <c r="O651" s="46"/>
      <c r="P651" s="46"/>
      <c r="Q651" s="45"/>
      <c r="R651" s="45"/>
      <c r="S651" s="45"/>
      <c r="T651" s="45"/>
      <c r="U651" s="45"/>
      <c r="V651" s="45"/>
      <c r="W651" s="45"/>
    </row>
    <row r="652" spans="1:23" ht="11.25" customHeight="1">
      <c r="A652" s="48"/>
      <c r="B652" s="48"/>
      <c r="C652" s="45"/>
      <c r="D652" s="45"/>
      <c r="E652" s="45"/>
      <c r="F652" s="45"/>
      <c r="G652" s="45"/>
      <c r="H652" s="45"/>
      <c r="I652" s="45"/>
      <c r="J652" s="45"/>
      <c r="K652" s="45"/>
      <c r="L652" s="46"/>
      <c r="M652" s="46"/>
      <c r="N652" s="46"/>
      <c r="O652" s="46"/>
      <c r="P652" s="46"/>
      <c r="Q652" s="45"/>
      <c r="R652" s="45"/>
      <c r="S652" s="45"/>
      <c r="T652" s="45"/>
      <c r="U652" s="45"/>
      <c r="V652" s="45"/>
      <c r="W652" s="45"/>
    </row>
    <row r="653" spans="1:23" ht="11.25" customHeight="1">
      <c r="A653" s="48"/>
      <c r="B653" s="48"/>
      <c r="C653" s="45"/>
      <c r="D653" s="45"/>
      <c r="E653" s="45"/>
      <c r="F653" s="45"/>
      <c r="G653" s="45"/>
      <c r="H653" s="45"/>
      <c r="I653" s="45"/>
      <c r="J653" s="45"/>
      <c r="K653" s="45"/>
      <c r="L653" s="46"/>
      <c r="M653" s="46"/>
      <c r="N653" s="46"/>
      <c r="O653" s="46"/>
      <c r="P653" s="46"/>
      <c r="Q653" s="45"/>
      <c r="R653" s="45"/>
      <c r="S653" s="45"/>
      <c r="T653" s="45"/>
      <c r="U653" s="45"/>
      <c r="V653" s="45"/>
      <c r="W653" s="45"/>
    </row>
    <row r="654" spans="1:23" ht="11.25" customHeight="1">
      <c r="A654" s="48"/>
      <c r="B654" s="48"/>
      <c r="C654" s="45"/>
      <c r="D654" s="45"/>
      <c r="E654" s="45"/>
      <c r="F654" s="45"/>
      <c r="G654" s="45"/>
      <c r="H654" s="45"/>
      <c r="I654" s="45"/>
      <c r="J654" s="45"/>
      <c r="K654" s="45"/>
      <c r="L654" s="46"/>
      <c r="M654" s="46"/>
      <c r="N654" s="46"/>
      <c r="O654" s="46"/>
      <c r="P654" s="46"/>
      <c r="Q654" s="45"/>
      <c r="R654" s="45"/>
      <c r="S654" s="45"/>
      <c r="T654" s="45"/>
      <c r="U654" s="45"/>
      <c r="V654" s="45"/>
      <c r="W654" s="45"/>
    </row>
    <row r="655" spans="1:23" ht="11.25" customHeight="1">
      <c r="A655" s="48"/>
      <c r="B655" s="48"/>
      <c r="C655" s="45"/>
      <c r="D655" s="45"/>
      <c r="E655" s="45"/>
      <c r="F655" s="45"/>
      <c r="G655" s="45"/>
      <c r="H655" s="45"/>
      <c r="I655" s="45"/>
      <c r="J655" s="45"/>
      <c r="K655" s="45"/>
      <c r="L655" s="46"/>
      <c r="M655" s="46"/>
      <c r="N655" s="46"/>
      <c r="O655" s="46"/>
      <c r="P655" s="46"/>
      <c r="Q655" s="45"/>
      <c r="R655" s="45"/>
      <c r="S655" s="45"/>
      <c r="T655" s="45"/>
      <c r="U655" s="45"/>
      <c r="V655" s="45"/>
      <c r="W655" s="45"/>
    </row>
    <row r="656" spans="1:23" ht="11.25" customHeight="1">
      <c r="A656" s="48"/>
      <c r="B656" s="48"/>
      <c r="C656" s="45"/>
      <c r="D656" s="45"/>
      <c r="E656" s="45"/>
      <c r="F656" s="45"/>
      <c r="G656" s="45"/>
      <c r="H656" s="45"/>
      <c r="I656" s="45"/>
      <c r="J656" s="45"/>
      <c r="K656" s="45"/>
      <c r="L656" s="46"/>
      <c r="M656" s="46"/>
      <c r="N656" s="46"/>
      <c r="O656" s="46"/>
      <c r="P656" s="46"/>
      <c r="Q656" s="45"/>
      <c r="R656" s="45"/>
      <c r="S656" s="45"/>
      <c r="T656" s="45"/>
      <c r="U656" s="45"/>
      <c r="V656" s="45"/>
      <c r="W656" s="45"/>
    </row>
    <row r="657" spans="1:23" ht="11.25" customHeight="1">
      <c r="A657" s="48"/>
      <c r="B657" s="48"/>
      <c r="C657" s="45"/>
      <c r="D657" s="45"/>
      <c r="E657" s="45"/>
      <c r="F657" s="45"/>
      <c r="G657" s="45"/>
      <c r="H657" s="45"/>
      <c r="I657" s="45"/>
      <c r="J657" s="45"/>
      <c r="K657" s="45"/>
      <c r="L657" s="46"/>
      <c r="M657" s="46"/>
      <c r="N657" s="46"/>
      <c r="O657" s="46"/>
      <c r="P657" s="46"/>
      <c r="Q657" s="45"/>
      <c r="R657" s="45"/>
      <c r="S657" s="45"/>
      <c r="T657" s="45"/>
      <c r="U657" s="45"/>
      <c r="V657" s="45"/>
      <c r="W657" s="45"/>
    </row>
    <row r="658" spans="1:23" ht="11.25" customHeight="1">
      <c r="A658" s="48"/>
      <c r="B658" s="48"/>
      <c r="C658" s="45"/>
      <c r="D658" s="45"/>
      <c r="E658" s="45"/>
      <c r="F658" s="45"/>
      <c r="G658" s="45"/>
      <c r="H658" s="45"/>
      <c r="I658" s="45"/>
      <c r="J658" s="45"/>
      <c r="K658" s="45"/>
      <c r="L658" s="46"/>
      <c r="M658" s="46"/>
      <c r="N658" s="46"/>
      <c r="O658" s="46"/>
      <c r="P658" s="46"/>
      <c r="Q658" s="45"/>
      <c r="R658" s="45"/>
      <c r="S658" s="45"/>
      <c r="T658" s="45"/>
      <c r="U658" s="45"/>
      <c r="V658" s="45"/>
      <c r="W658" s="45"/>
    </row>
    <row r="659" spans="1:23" ht="11.25" customHeight="1">
      <c r="A659" s="48"/>
      <c r="B659" s="48"/>
      <c r="C659" s="45"/>
      <c r="D659" s="45"/>
      <c r="E659" s="45"/>
      <c r="F659" s="45"/>
      <c r="G659" s="45"/>
      <c r="H659" s="45"/>
      <c r="I659" s="45"/>
      <c r="J659" s="45"/>
      <c r="K659" s="45"/>
      <c r="L659" s="46"/>
      <c r="M659" s="46"/>
      <c r="N659" s="46"/>
      <c r="O659" s="46"/>
      <c r="P659" s="46"/>
      <c r="Q659" s="45"/>
      <c r="R659" s="45"/>
      <c r="S659" s="45"/>
      <c r="T659" s="45"/>
      <c r="U659" s="45"/>
      <c r="V659" s="45"/>
      <c r="W659" s="45"/>
    </row>
    <row r="660" spans="1:23" ht="11.25" customHeight="1">
      <c r="A660" s="48"/>
      <c r="B660" s="48"/>
      <c r="C660" s="45"/>
      <c r="D660" s="45"/>
      <c r="E660" s="45"/>
      <c r="F660" s="45"/>
      <c r="G660" s="45"/>
      <c r="H660" s="45"/>
      <c r="I660" s="45"/>
      <c r="J660" s="45"/>
      <c r="K660" s="45"/>
      <c r="L660" s="46"/>
      <c r="M660" s="46"/>
      <c r="N660" s="46"/>
      <c r="O660" s="46"/>
      <c r="P660" s="46"/>
      <c r="Q660" s="45"/>
      <c r="R660" s="45"/>
      <c r="S660" s="45"/>
      <c r="T660" s="45"/>
      <c r="U660" s="45"/>
      <c r="V660" s="45"/>
      <c r="W660" s="45"/>
    </row>
    <row r="661" spans="1:23" ht="11.25" customHeight="1">
      <c r="A661" s="48"/>
      <c r="B661" s="48"/>
      <c r="C661" s="45"/>
      <c r="D661" s="45"/>
      <c r="E661" s="45"/>
      <c r="F661" s="45"/>
      <c r="G661" s="45"/>
      <c r="H661" s="45"/>
      <c r="I661" s="45"/>
      <c r="J661" s="45"/>
      <c r="K661" s="45"/>
      <c r="L661" s="46"/>
      <c r="M661" s="46"/>
      <c r="N661" s="46"/>
      <c r="O661" s="46"/>
      <c r="P661" s="46"/>
      <c r="Q661" s="45"/>
      <c r="R661" s="45"/>
      <c r="S661" s="45"/>
      <c r="T661" s="45"/>
      <c r="U661" s="45"/>
      <c r="V661" s="45"/>
      <c r="W661" s="45"/>
    </row>
    <row r="662" spans="1:23" ht="11.25" customHeight="1">
      <c r="A662" s="48"/>
      <c r="B662" s="48"/>
      <c r="C662" s="45"/>
      <c r="D662" s="45"/>
      <c r="E662" s="45"/>
      <c r="F662" s="45"/>
      <c r="G662" s="45"/>
      <c r="H662" s="45"/>
      <c r="I662" s="45"/>
      <c r="J662" s="45"/>
      <c r="K662" s="45"/>
      <c r="L662" s="46"/>
      <c r="M662" s="46"/>
      <c r="N662" s="46"/>
      <c r="O662" s="46"/>
      <c r="P662" s="46"/>
      <c r="Q662" s="45"/>
      <c r="R662" s="45"/>
      <c r="S662" s="45"/>
      <c r="T662" s="45"/>
      <c r="U662" s="45"/>
      <c r="V662" s="45"/>
      <c r="W662" s="45"/>
    </row>
    <row r="663" spans="1:23" ht="11.25" customHeight="1">
      <c r="A663" s="48"/>
      <c r="B663" s="48"/>
      <c r="C663" s="45"/>
      <c r="D663" s="45"/>
      <c r="E663" s="45"/>
      <c r="F663" s="45"/>
      <c r="G663" s="45"/>
      <c r="H663" s="45"/>
      <c r="I663" s="45"/>
      <c r="J663" s="45"/>
      <c r="K663" s="45"/>
      <c r="L663" s="46"/>
      <c r="M663" s="46"/>
      <c r="N663" s="46"/>
      <c r="O663" s="46"/>
      <c r="P663" s="46"/>
      <c r="Q663" s="45"/>
      <c r="R663" s="45"/>
      <c r="S663" s="45"/>
      <c r="T663" s="45"/>
      <c r="U663" s="45"/>
      <c r="V663" s="45"/>
      <c r="W663" s="45"/>
    </row>
    <row r="664" spans="1:23" ht="11.25" customHeight="1">
      <c r="A664" s="48"/>
      <c r="B664" s="48"/>
      <c r="C664" s="45"/>
      <c r="D664" s="45"/>
      <c r="E664" s="45"/>
      <c r="F664" s="45"/>
      <c r="G664" s="45"/>
      <c r="H664" s="45"/>
      <c r="I664" s="45"/>
      <c r="J664" s="45"/>
      <c r="K664" s="45"/>
      <c r="L664" s="46"/>
      <c r="M664" s="46"/>
      <c r="N664" s="46"/>
      <c r="O664" s="46"/>
      <c r="P664" s="46"/>
      <c r="Q664" s="45"/>
      <c r="R664" s="45"/>
      <c r="S664" s="45"/>
      <c r="T664" s="45"/>
      <c r="U664" s="45"/>
      <c r="V664" s="45"/>
      <c r="W664" s="45"/>
    </row>
    <row r="665" spans="1:23" ht="11.25" customHeight="1">
      <c r="A665" s="48"/>
      <c r="B665" s="48"/>
      <c r="C665" s="45"/>
      <c r="D665" s="45"/>
      <c r="E665" s="45"/>
      <c r="F665" s="45"/>
      <c r="G665" s="45"/>
      <c r="H665" s="45"/>
      <c r="I665" s="45"/>
      <c r="J665" s="45"/>
      <c r="K665" s="45"/>
      <c r="L665" s="46"/>
      <c r="M665" s="46"/>
      <c r="N665" s="46"/>
      <c r="O665" s="46"/>
      <c r="P665" s="46"/>
      <c r="Q665" s="45"/>
      <c r="R665" s="45"/>
      <c r="S665" s="45"/>
      <c r="T665" s="45"/>
      <c r="U665" s="45"/>
      <c r="V665" s="45"/>
      <c r="W665" s="45"/>
    </row>
    <row r="666" spans="1:23" ht="11.25" customHeight="1">
      <c r="A666" s="48"/>
      <c r="B666" s="48"/>
      <c r="C666" s="45"/>
      <c r="D666" s="45"/>
      <c r="E666" s="45"/>
      <c r="F666" s="45"/>
      <c r="G666" s="45"/>
      <c r="H666" s="45"/>
      <c r="I666" s="45"/>
      <c r="J666" s="45"/>
      <c r="K666" s="45"/>
      <c r="L666" s="46"/>
      <c r="M666" s="46"/>
      <c r="N666" s="46"/>
      <c r="O666" s="46"/>
      <c r="P666" s="46"/>
      <c r="Q666" s="45"/>
      <c r="R666" s="45"/>
      <c r="S666" s="45"/>
      <c r="T666" s="45"/>
      <c r="U666" s="45"/>
      <c r="V666" s="45"/>
      <c r="W666" s="45"/>
    </row>
    <row r="667" spans="1:23" ht="11.25" customHeight="1">
      <c r="A667" s="48"/>
      <c r="B667" s="48"/>
      <c r="C667" s="45"/>
      <c r="D667" s="45"/>
      <c r="E667" s="45"/>
      <c r="F667" s="45"/>
      <c r="G667" s="45"/>
      <c r="H667" s="45"/>
      <c r="I667" s="45"/>
      <c r="J667" s="45"/>
      <c r="K667" s="45"/>
      <c r="L667" s="46"/>
      <c r="M667" s="46"/>
      <c r="N667" s="46"/>
      <c r="O667" s="46"/>
      <c r="P667" s="46"/>
      <c r="Q667" s="45"/>
      <c r="R667" s="45"/>
      <c r="S667" s="45"/>
      <c r="T667" s="45"/>
      <c r="U667" s="45"/>
      <c r="V667" s="45"/>
      <c r="W667" s="45"/>
    </row>
    <row r="668" spans="1:23" ht="11.25" customHeight="1">
      <c r="A668" s="48"/>
      <c r="B668" s="48"/>
      <c r="C668" s="45"/>
      <c r="D668" s="45"/>
      <c r="E668" s="45"/>
      <c r="F668" s="45"/>
      <c r="G668" s="45"/>
      <c r="H668" s="45"/>
      <c r="I668" s="45"/>
      <c r="J668" s="45"/>
      <c r="K668" s="45"/>
      <c r="L668" s="46"/>
      <c r="M668" s="46"/>
      <c r="N668" s="46"/>
      <c r="O668" s="46"/>
      <c r="P668" s="46"/>
      <c r="Q668" s="45"/>
      <c r="R668" s="45"/>
      <c r="S668" s="45"/>
      <c r="T668" s="45"/>
      <c r="U668" s="45"/>
      <c r="V668" s="45"/>
      <c r="W668" s="45"/>
    </row>
    <row r="669" spans="1:23" ht="11.25" customHeight="1">
      <c r="A669" s="48"/>
      <c r="B669" s="48"/>
      <c r="C669" s="45"/>
      <c r="D669" s="45"/>
      <c r="E669" s="45"/>
      <c r="F669" s="45"/>
      <c r="G669" s="45"/>
      <c r="H669" s="45"/>
      <c r="I669" s="45"/>
      <c r="J669" s="45"/>
      <c r="K669" s="45"/>
      <c r="L669" s="46"/>
      <c r="M669" s="46"/>
      <c r="N669" s="46"/>
      <c r="O669" s="46"/>
      <c r="P669" s="46"/>
      <c r="Q669" s="45"/>
      <c r="R669" s="45"/>
      <c r="S669" s="45"/>
      <c r="T669" s="45"/>
      <c r="U669" s="45"/>
      <c r="V669" s="45"/>
      <c r="W669" s="45"/>
    </row>
    <row r="670" spans="1:23" ht="11.25" customHeight="1">
      <c r="A670" s="48"/>
      <c r="B670" s="48"/>
      <c r="C670" s="45"/>
      <c r="D670" s="45"/>
      <c r="E670" s="45"/>
      <c r="F670" s="45"/>
      <c r="G670" s="45"/>
      <c r="H670" s="45"/>
      <c r="I670" s="45"/>
      <c r="J670" s="45"/>
      <c r="K670" s="45"/>
      <c r="L670" s="46"/>
      <c r="M670" s="46"/>
      <c r="N670" s="46"/>
      <c r="O670" s="46"/>
      <c r="P670" s="46"/>
      <c r="Q670" s="45"/>
      <c r="R670" s="45"/>
      <c r="S670" s="45"/>
      <c r="T670" s="45"/>
      <c r="U670" s="45"/>
      <c r="V670" s="45"/>
      <c r="W670" s="45"/>
    </row>
    <row r="671" spans="1:23" ht="11.25" customHeight="1">
      <c r="A671" s="48"/>
      <c r="B671" s="48"/>
      <c r="C671" s="45"/>
      <c r="D671" s="45"/>
      <c r="E671" s="45"/>
      <c r="F671" s="45"/>
      <c r="G671" s="45"/>
      <c r="H671" s="45"/>
      <c r="I671" s="45"/>
      <c r="J671" s="45"/>
      <c r="K671" s="45"/>
      <c r="L671" s="46"/>
      <c r="M671" s="46"/>
      <c r="N671" s="46"/>
      <c r="O671" s="46"/>
      <c r="P671" s="46"/>
      <c r="Q671" s="45"/>
      <c r="R671" s="45"/>
      <c r="S671" s="45"/>
      <c r="T671" s="45"/>
      <c r="U671" s="45"/>
      <c r="V671" s="45"/>
      <c r="W671" s="45"/>
    </row>
    <row r="672" spans="1:23" ht="11.25" customHeight="1">
      <c r="A672" s="48"/>
      <c r="B672" s="48"/>
      <c r="C672" s="45"/>
      <c r="D672" s="45"/>
      <c r="E672" s="45"/>
      <c r="F672" s="45"/>
      <c r="G672" s="45"/>
      <c r="H672" s="45"/>
      <c r="I672" s="45"/>
      <c r="J672" s="45"/>
      <c r="K672" s="45"/>
      <c r="L672" s="46"/>
      <c r="M672" s="46"/>
      <c r="N672" s="46"/>
      <c r="O672" s="46"/>
      <c r="P672" s="46"/>
      <c r="Q672" s="45"/>
      <c r="R672" s="45"/>
      <c r="S672" s="45"/>
      <c r="T672" s="45"/>
      <c r="U672" s="45"/>
      <c r="V672" s="45"/>
      <c r="W672" s="45"/>
    </row>
    <row r="673" spans="1:23" ht="11.25" customHeight="1">
      <c r="A673" s="48"/>
      <c r="B673" s="48"/>
      <c r="C673" s="45"/>
      <c r="D673" s="45"/>
      <c r="E673" s="45"/>
      <c r="F673" s="45"/>
      <c r="G673" s="45"/>
      <c r="H673" s="45"/>
      <c r="I673" s="45"/>
      <c r="J673" s="45"/>
      <c r="K673" s="45"/>
      <c r="L673" s="46"/>
      <c r="M673" s="46"/>
      <c r="N673" s="46"/>
      <c r="O673" s="46"/>
      <c r="P673" s="46"/>
      <c r="Q673" s="45"/>
      <c r="R673" s="45"/>
      <c r="S673" s="45"/>
      <c r="T673" s="45"/>
      <c r="U673" s="45"/>
      <c r="V673" s="45"/>
      <c r="W673" s="45"/>
    </row>
    <row r="674" spans="1:23" ht="11.25" customHeight="1">
      <c r="A674" s="48"/>
      <c r="B674" s="48"/>
      <c r="C674" s="45"/>
      <c r="D674" s="45"/>
      <c r="E674" s="45"/>
      <c r="F674" s="45"/>
      <c r="G674" s="45"/>
      <c r="H674" s="45"/>
      <c r="I674" s="45"/>
      <c r="J674" s="45"/>
      <c r="K674" s="45"/>
      <c r="L674" s="46"/>
      <c r="M674" s="46"/>
      <c r="N674" s="46"/>
      <c r="O674" s="46"/>
      <c r="P674" s="46"/>
      <c r="Q674" s="45"/>
      <c r="R674" s="45"/>
      <c r="S674" s="45"/>
      <c r="T674" s="45"/>
      <c r="U674" s="45"/>
      <c r="V674" s="45"/>
      <c r="W674" s="45"/>
    </row>
    <row r="675" spans="1:23" ht="11.25" customHeight="1">
      <c r="A675" s="48"/>
      <c r="B675" s="48"/>
      <c r="C675" s="45"/>
      <c r="D675" s="45"/>
      <c r="E675" s="45"/>
      <c r="F675" s="45"/>
      <c r="G675" s="45"/>
      <c r="H675" s="45"/>
      <c r="I675" s="45"/>
      <c r="J675" s="45"/>
      <c r="K675" s="45"/>
      <c r="L675" s="46"/>
      <c r="M675" s="46"/>
      <c r="N675" s="46"/>
      <c r="O675" s="46"/>
      <c r="P675" s="46"/>
      <c r="Q675" s="45"/>
      <c r="R675" s="45"/>
      <c r="S675" s="45"/>
      <c r="T675" s="45"/>
      <c r="U675" s="45"/>
      <c r="V675" s="45"/>
      <c r="W675" s="45"/>
    </row>
    <row r="676" spans="1:23" ht="11.25" customHeight="1">
      <c r="A676" s="48"/>
      <c r="B676" s="48"/>
      <c r="C676" s="45"/>
      <c r="D676" s="45"/>
      <c r="E676" s="45"/>
      <c r="F676" s="45"/>
      <c r="G676" s="45"/>
      <c r="H676" s="45"/>
      <c r="I676" s="45"/>
      <c r="J676" s="45"/>
      <c r="K676" s="45"/>
      <c r="L676" s="46"/>
      <c r="M676" s="46"/>
      <c r="N676" s="46"/>
      <c r="O676" s="46"/>
      <c r="P676" s="46"/>
      <c r="Q676" s="45"/>
      <c r="R676" s="45"/>
      <c r="S676" s="45"/>
      <c r="T676" s="45"/>
      <c r="U676" s="45"/>
      <c r="V676" s="45"/>
      <c r="W676" s="45"/>
    </row>
    <row r="677" spans="1:23" ht="11.25" customHeight="1">
      <c r="A677" s="48"/>
      <c r="B677" s="48"/>
      <c r="C677" s="45"/>
      <c r="D677" s="45"/>
      <c r="E677" s="45"/>
      <c r="F677" s="45"/>
      <c r="G677" s="45"/>
      <c r="H677" s="45"/>
      <c r="I677" s="45"/>
      <c r="J677" s="45"/>
      <c r="K677" s="45"/>
      <c r="L677" s="46"/>
      <c r="M677" s="46"/>
      <c r="N677" s="46"/>
      <c r="O677" s="46"/>
      <c r="P677" s="46"/>
      <c r="Q677" s="45"/>
      <c r="R677" s="45"/>
      <c r="S677" s="45"/>
      <c r="T677" s="45"/>
      <c r="U677" s="45"/>
      <c r="V677" s="45"/>
      <c r="W677" s="45"/>
    </row>
    <row r="678" spans="1:23" ht="11.25" customHeight="1">
      <c r="A678" s="48"/>
      <c r="B678" s="48"/>
      <c r="C678" s="45"/>
      <c r="D678" s="45"/>
      <c r="E678" s="45"/>
      <c r="F678" s="45"/>
      <c r="G678" s="45"/>
      <c r="H678" s="45"/>
      <c r="I678" s="45"/>
      <c r="J678" s="45"/>
      <c r="K678" s="45"/>
      <c r="L678" s="46"/>
      <c r="M678" s="46"/>
      <c r="N678" s="46"/>
      <c r="O678" s="46"/>
      <c r="P678" s="46"/>
      <c r="Q678" s="45"/>
      <c r="R678" s="45"/>
      <c r="S678" s="45"/>
      <c r="T678" s="45"/>
      <c r="U678" s="45"/>
      <c r="V678" s="45"/>
      <c r="W678" s="45"/>
    </row>
    <row r="679" spans="1:23" ht="11.25" customHeight="1">
      <c r="A679" s="48"/>
      <c r="B679" s="48"/>
      <c r="C679" s="45"/>
      <c r="D679" s="45"/>
      <c r="E679" s="45"/>
      <c r="F679" s="45"/>
      <c r="G679" s="45"/>
      <c r="H679" s="45"/>
      <c r="I679" s="45"/>
      <c r="J679" s="45"/>
      <c r="K679" s="45"/>
      <c r="L679" s="46"/>
      <c r="M679" s="46"/>
      <c r="N679" s="46"/>
      <c r="O679" s="46"/>
      <c r="P679" s="46"/>
      <c r="Q679" s="45"/>
      <c r="R679" s="45"/>
      <c r="S679" s="45"/>
      <c r="T679" s="45"/>
      <c r="U679" s="45"/>
      <c r="V679" s="45"/>
      <c r="W679" s="45"/>
    </row>
    <row r="680" spans="1:23" ht="11.25" customHeight="1">
      <c r="A680" s="48"/>
      <c r="B680" s="48"/>
      <c r="C680" s="45"/>
      <c r="D680" s="45"/>
      <c r="E680" s="45"/>
      <c r="F680" s="45"/>
      <c r="G680" s="45"/>
      <c r="H680" s="45"/>
      <c r="I680" s="45"/>
      <c r="J680" s="45"/>
      <c r="K680" s="45"/>
      <c r="L680" s="46"/>
      <c r="M680" s="46"/>
      <c r="N680" s="46"/>
      <c r="O680" s="46"/>
      <c r="P680" s="46"/>
      <c r="Q680" s="45"/>
      <c r="R680" s="45"/>
      <c r="S680" s="45"/>
      <c r="T680" s="45"/>
      <c r="U680" s="45"/>
      <c r="V680" s="45"/>
      <c r="W680" s="45"/>
    </row>
    <row r="681" spans="1:23" ht="11.25" customHeight="1">
      <c r="A681" s="48"/>
      <c r="B681" s="48"/>
      <c r="C681" s="45"/>
      <c r="D681" s="45"/>
      <c r="E681" s="45"/>
      <c r="F681" s="45"/>
      <c r="G681" s="45"/>
      <c r="H681" s="45"/>
      <c r="I681" s="45"/>
      <c r="J681" s="45"/>
      <c r="K681" s="45"/>
      <c r="L681" s="46"/>
      <c r="M681" s="46"/>
      <c r="N681" s="46"/>
      <c r="O681" s="46"/>
      <c r="P681" s="46"/>
      <c r="Q681" s="45"/>
      <c r="R681" s="45"/>
      <c r="S681" s="45"/>
      <c r="T681" s="45"/>
      <c r="U681" s="45"/>
      <c r="V681" s="45"/>
      <c r="W681" s="45"/>
    </row>
    <row r="682" spans="1:23" ht="11.25" customHeight="1">
      <c r="A682" s="48"/>
      <c r="B682" s="48"/>
      <c r="C682" s="45"/>
      <c r="D682" s="45"/>
      <c r="E682" s="45"/>
      <c r="F682" s="45"/>
      <c r="G682" s="45"/>
      <c r="H682" s="45"/>
      <c r="I682" s="45"/>
      <c r="J682" s="45"/>
      <c r="K682" s="45"/>
      <c r="L682" s="46"/>
      <c r="M682" s="46"/>
      <c r="N682" s="46"/>
      <c r="O682" s="46"/>
      <c r="P682" s="46"/>
      <c r="Q682" s="45"/>
      <c r="R682" s="45"/>
      <c r="S682" s="45"/>
      <c r="T682" s="45"/>
      <c r="U682" s="45"/>
      <c r="V682" s="45"/>
      <c r="W682" s="45"/>
    </row>
    <row r="683" spans="1:23" ht="11.25" customHeight="1">
      <c r="A683" s="48"/>
      <c r="B683" s="48"/>
      <c r="C683" s="45"/>
      <c r="D683" s="45"/>
      <c r="E683" s="45"/>
      <c r="F683" s="45"/>
      <c r="G683" s="45"/>
      <c r="H683" s="45"/>
      <c r="I683" s="45"/>
      <c r="J683" s="45"/>
      <c r="K683" s="45"/>
      <c r="L683" s="46"/>
      <c r="M683" s="46"/>
      <c r="N683" s="46"/>
      <c r="O683" s="46"/>
      <c r="P683" s="46"/>
      <c r="Q683" s="45"/>
      <c r="R683" s="45"/>
      <c r="S683" s="45"/>
      <c r="T683" s="45"/>
      <c r="U683" s="45"/>
      <c r="V683" s="45"/>
      <c r="W683" s="45"/>
    </row>
    <row r="684" spans="1:23" ht="11.25" customHeight="1">
      <c r="A684" s="48"/>
      <c r="B684" s="48"/>
      <c r="C684" s="45"/>
      <c r="D684" s="45"/>
      <c r="E684" s="45"/>
      <c r="F684" s="45"/>
      <c r="G684" s="45"/>
      <c r="H684" s="45"/>
      <c r="I684" s="45"/>
      <c r="J684" s="45"/>
      <c r="K684" s="45"/>
      <c r="L684" s="46"/>
      <c r="M684" s="46"/>
      <c r="N684" s="46"/>
      <c r="O684" s="46"/>
      <c r="P684" s="46"/>
      <c r="Q684" s="45"/>
      <c r="R684" s="45"/>
      <c r="S684" s="45"/>
      <c r="T684" s="45"/>
      <c r="U684" s="45"/>
      <c r="V684" s="45"/>
      <c r="W684" s="45"/>
    </row>
    <row r="685" spans="1:23" ht="11.25" customHeight="1">
      <c r="A685" s="48"/>
      <c r="B685" s="48"/>
      <c r="C685" s="45"/>
      <c r="D685" s="45"/>
      <c r="E685" s="45"/>
      <c r="F685" s="45"/>
      <c r="G685" s="45"/>
      <c r="H685" s="45"/>
      <c r="I685" s="45"/>
      <c r="J685" s="45"/>
      <c r="K685" s="45"/>
      <c r="L685" s="46"/>
      <c r="M685" s="46"/>
      <c r="N685" s="46"/>
      <c r="O685" s="46"/>
      <c r="P685" s="46"/>
      <c r="Q685" s="45"/>
      <c r="R685" s="45"/>
      <c r="S685" s="45"/>
      <c r="T685" s="45"/>
      <c r="U685" s="45"/>
      <c r="V685" s="45"/>
      <c r="W685" s="45"/>
    </row>
    <row r="686" spans="1:23" ht="11.25" customHeight="1">
      <c r="A686" s="48"/>
      <c r="B686" s="48"/>
      <c r="C686" s="45"/>
      <c r="D686" s="45"/>
      <c r="E686" s="45"/>
      <c r="F686" s="45"/>
      <c r="G686" s="45"/>
      <c r="H686" s="45"/>
      <c r="I686" s="45"/>
      <c r="J686" s="45"/>
      <c r="K686" s="45"/>
      <c r="L686" s="46"/>
      <c r="M686" s="46"/>
      <c r="N686" s="46"/>
      <c r="O686" s="46"/>
      <c r="P686" s="46"/>
      <c r="Q686" s="45"/>
      <c r="R686" s="45"/>
      <c r="S686" s="45"/>
      <c r="T686" s="45"/>
      <c r="U686" s="45"/>
      <c r="V686" s="45"/>
      <c r="W686" s="45"/>
    </row>
    <row r="687" spans="1:23" ht="11.25" customHeight="1">
      <c r="A687" s="48"/>
      <c r="B687" s="48"/>
      <c r="C687" s="45"/>
      <c r="D687" s="45"/>
      <c r="E687" s="45"/>
      <c r="F687" s="45"/>
      <c r="G687" s="45"/>
      <c r="H687" s="45"/>
      <c r="I687" s="45"/>
      <c r="J687" s="45"/>
      <c r="K687" s="45"/>
      <c r="L687" s="46"/>
      <c r="M687" s="46"/>
      <c r="N687" s="46"/>
      <c r="O687" s="46"/>
      <c r="P687" s="46"/>
      <c r="Q687" s="45"/>
      <c r="R687" s="45"/>
      <c r="S687" s="45"/>
      <c r="T687" s="45"/>
      <c r="U687" s="45"/>
      <c r="V687" s="45"/>
      <c r="W687" s="45"/>
    </row>
    <row r="688" spans="1:23" ht="11.25" customHeight="1">
      <c r="A688" s="48"/>
      <c r="B688" s="48"/>
      <c r="C688" s="45"/>
      <c r="D688" s="45"/>
      <c r="E688" s="45"/>
      <c r="F688" s="45"/>
      <c r="G688" s="45"/>
      <c r="H688" s="45"/>
      <c r="I688" s="45"/>
      <c r="J688" s="45"/>
      <c r="K688" s="45"/>
      <c r="L688" s="46"/>
      <c r="M688" s="46"/>
      <c r="N688" s="46"/>
      <c r="O688" s="46"/>
      <c r="P688" s="46"/>
      <c r="Q688" s="45"/>
      <c r="R688" s="45"/>
      <c r="S688" s="45"/>
      <c r="T688" s="45"/>
      <c r="U688" s="45"/>
      <c r="V688" s="45"/>
      <c r="W688" s="45"/>
    </row>
    <row r="689" spans="1:23" ht="11.25" customHeight="1">
      <c r="A689" s="48"/>
      <c r="B689" s="48"/>
      <c r="C689" s="45"/>
      <c r="D689" s="45"/>
      <c r="E689" s="45"/>
      <c r="F689" s="45"/>
      <c r="G689" s="45"/>
      <c r="H689" s="45"/>
      <c r="I689" s="45"/>
      <c r="J689" s="45"/>
      <c r="K689" s="45"/>
      <c r="L689" s="46"/>
      <c r="M689" s="46"/>
      <c r="N689" s="46"/>
      <c r="O689" s="46"/>
      <c r="P689" s="46"/>
      <c r="Q689" s="45"/>
      <c r="R689" s="45"/>
      <c r="S689" s="45"/>
      <c r="T689" s="45"/>
      <c r="U689" s="45"/>
      <c r="V689" s="45"/>
      <c r="W689" s="45"/>
    </row>
    <row r="690" spans="1:23" ht="11.25" customHeight="1">
      <c r="A690" s="48"/>
      <c r="B690" s="48"/>
      <c r="C690" s="45"/>
      <c r="D690" s="45"/>
      <c r="E690" s="45"/>
      <c r="F690" s="45"/>
      <c r="G690" s="45"/>
      <c r="H690" s="45"/>
      <c r="I690" s="45"/>
      <c r="J690" s="45"/>
      <c r="K690" s="45"/>
      <c r="L690" s="46"/>
      <c r="M690" s="46"/>
      <c r="N690" s="46"/>
      <c r="O690" s="46"/>
      <c r="P690" s="46"/>
      <c r="Q690" s="45"/>
      <c r="R690" s="45"/>
      <c r="S690" s="45"/>
      <c r="T690" s="45"/>
      <c r="U690" s="45"/>
      <c r="V690" s="45"/>
      <c r="W690" s="45"/>
    </row>
    <row r="691" spans="1:23" ht="11.25" customHeight="1">
      <c r="A691" s="48"/>
      <c r="B691" s="48"/>
      <c r="C691" s="45"/>
      <c r="D691" s="45"/>
      <c r="E691" s="45"/>
      <c r="F691" s="45"/>
      <c r="G691" s="45"/>
      <c r="H691" s="45"/>
      <c r="I691" s="45"/>
      <c r="J691" s="45"/>
      <c r="K691" s="45"/>
      <c r="L691" s="46"/>
      <c r="M691" s="46"/>
      <c r="N691" s="46"/>
      <c r="O691" s="46"/>
      <c r="P691" s="46"/>
      <c r="Q691" s="45"/>
      <c r="R691" s="45"/>
      <c r="S691" s="45"/>
      <c r="T691" s="45"/>
      <c r="U691" s="45"/>
      <c r="V691" s="45"/>
      <c r="W691" s="45"/>
    </row>
    <row r="692" spans="1:23" ht="11.25" customHeight="1">
      <c r="A692" s="48"/>
      <c r="B692" s="48"/>
      <c r="C692" s="45"/>
      <c r="D692" s="45"/>
      <c r="E692" s="45"/>
      <c r="F692" s="45"/>
      <c r="G692" s="45"/>
      <c r="H692" s="45"/>
      <c r="I692" s="45"/>
      <c r="J692" s="45"/>
      <c r="K692" s="45"/>
      <c r="L692" s="46"/>
      <c r="M692" s="46"/>
      <c r="N692" s="46"/>
      <c r="O692" s="46"/>
      <c r="P692" s="46"/>
      <c r="Q692" s="45"/>
      <c r="R692" s="45"/>
      <c r="S692" s="45"/>
      <c r="T692" s="45"/>
      <c r="U692" s="45"/>
      <c r="V692" s="45"/>
      <c r="W692" s="45"/>
    </row>
    <row r="693" spans="1:23" ht="11.25" customHeight="1">
      <c r="A693" s="48"/>
      <c r="B693" s="48"/>
      <c r="C693" s="45"/>
      <c r="D693" s="45"/>
      <c r="E693" s="45"/>
      <c r="F693" s="45"/>
      <c r="G693" s="45"/>
      <c r="H693" s="45"/>
      <c r="I693" s="45"/>
      <c r="J693" s="45"/>
      <c r="K693" s="45"/>
      <c r="L693" s="46"/>
      <c r="M693" s="46"/>
      <c r="N693" s="46"/>
      <c r="O693" s="46"/>
      <c r="P693" s="46"/>
      <c r="Q693" s="45"/>
      <c r="R693" s="45"/>
      <c r="S693" s="45"/>
      <c r="T693" s="45"/>
      <c r="U693" s="45"/>
      <c r="V693" s="45"/>
      <c r="W693" s="45"/>
    </row>
    <row r="694" spans="1:23" ht="11.25" customHeight="1">
      <c r="A694" s="48"/>
      <c r="B694" s="48"/>
      <c r="C694" s="45"/>
      <c r="D694" s="45"/>
      <c r="E694" s="45"/>
      <c r="F694" s="45"/>
      <c r="G694" s="45"/>
      <c r="H694" s="45"/>
      <c r="I694" s="45"/>
      <c r="J694" s="45"/>
      <c r="K694" s="45"/>
      <c r="L694" s="46"/>
      <c r="M694" s="46"/>
      <c r="N694" s="46"/>
      <c r="O694" s="46"/>
      <c r="P694" s="46"/>
      <c r="Q694" s="45"/>
      <c r="R694" s="45"/>
      <c r="S694" s="45"/>
      <c r="T694" s="45"/>
      <c r="U694" s="45"/>
      <c r="V694" s="45"/>
      <c r="W694" s="45"/>
    </row>
    <row r="695" spans="1:23" ht="11.25" customHeight="1">
      <c r="A695" s="48"/>
      <c r="B695" s="48"/>
      <c r="C695" s="45"/>
      <c r="D695" s="45"/>
      <c r="E695" s="45"/>
      <c r="F695" s="45"/>
      <c r="G695" s="45"/>
      <c r="H695" s="45"/>
      <c r="I695" s="45"/>
      <c r="J695" s="45"/>
      <c r="K695" s="45"/>
      <c r="L695" s="46"/>
      <c r="M695" s="46"/>
      <c r="N695" s="46"/>
      <c r="O695" s="46"/>
      <c r="P695" s="46"/>
      <c r="Q695" s="45"/>
      <c r="R695" s="45"/>
      <c r="S695" s="45"/>
      <c r="T695" s="45"/>
      <c r="U695" s="45"/>
      <c r="V695" s="45"/>
      <c r="W695" s="45"/>
    </row>
    <row r="696" spans="1:23" ht="11.25" customHeight="1">
      <c r="A696" s="48"/>
      <c r="B696" s="48"/>
      <c r="C696" s="45"/>
      <c r="D696" s="45"/>
      <c r="E696" s="45"/>
      <c r="F696" s="45"/>
      <c r="G696" s="45"/>
      <c r="H696" s="45"/>
      <c r="I696" s="45"/>
      <c r="J696" s="45"/>
      <c r="K696" s="45"/>
      <c r="L696" s="46"/>
      <c r="M696" s="46"/>
      <c r="N696" s="46"/>
      <c r="O696" s="46"/>
      <c r="P696" s="46"/>
      <c r="Q696" s="45"/>
      <c r="R696" s="45"/>
      <c r="S696" s="45"/>
      <c r="T696" s="45"/>
      <c r="U696" s="45"/>
      <c r="V696" s="45"/>
      <c r="W696" s="45"/>
    </row>
    <row r="697" spans="1:23" ht="11.25" customHeight="1">
      <c r="A697" s="48"/>
      <c r="B697" s="48"/>
      <c r="C697" s="45"/>
      <c r="D697" s="45"/>
      <c r="E697" s="45"/>
      <c r="F697" s="45"/>
      <c r="G697" s="45"/>
      <c r="H697" s="45"/>
      <c r="I697" s="45"/>
      <c r="J697" s="45"/>
      <c r="K697" s="45"/>
      <c r="L697" s="46"/>
      <c r="M697" s="46"/>
      <c r="N697" s="46"/>
      <c r="O697" s="46"/>
      <c r="P697" s="46"/>
      <c r="Q697" s="45"/>
      <c r="R697" s="45"/>
      <c r="S697" s="45"/>
      <c r="T697" s="45"/>
      <c r="U697" s="45"/>
      <c r="V697" s="45"/>
      <c r="W697" s="45"/>
    </row>
    <row r="698" spans="1:23" ht="11.25" customHeight="1">
      <c r="A698" s="48"/>
      <c r="B698" s="48"/>
      <c r="C698" s="45"/>
      <c r="D698" s="45"/>
      <c r="E698" s="45"/>
      <c r="F698" s="45"/>
      <c r="G698" s="45"/>
      <c r="H698" s="45"/>
      <c r="I698" s="45"/>
      <c r="J698" s="45"/>
      <c r="K698" s="45"/>
      <c r="L698" s="46"/>
      <c r="M698" s="46"/>
      <c r="N698" s="46"/>
      <c r="O698" s="46"/>
      <c r="P698" s="46"/>
      <c r="Q698" s="45"/>
      <c r="R698" s="45"/>
      <c r="S698" s="45"/>
      <c r="T698" s="45"/>
      <c r="U698" s="45"/>
      <c r="V698" s="45"/>
      <c r="W698" s="45"/>
    </row>
    <row r="699" spans="1:23" ht="11.25" customHeight="1">
      <c r="A699" s="48"/>
      <c r="B699" s="48"/>
      <c r="C699" s="45"/>
      <c r="D699" s="45"/>
      <c r="E699" s="45"/>
      <c r="F699" s="45"/>
      <c r="G699" s="45"/>
      <c r="H699" s="45"/>
      <c r="I699" s="45"/>
      <c r="J699" s="45"/>
      <c r="K699" s="45"/>
      <c r="L699" s="46"/>
      <c r="M699" s="46"/>
      <c r="N699" s="46"/>
      <c r="O699" s="46"/>
      <c r="P699" s="46"/>
      <c r="Q699" s="45"/>
      <c r="R699" s="45"/>
      <c r="S699" s="45"/>
      <c r="T699" s="45"/>
      <c r="U699" s="45"/>
      <c r="V699" s="45"/>
      <c r="W699" s="45"/>
    </row>
    <row r="700" spans="1:23" ht="11.25" customHeight="1">
      <c r="A700" s="48"/>
      <c r="B700" s="48"/>
      <c r="C700" s="45"/>
      <c r="D700" s="45"/>
      <c r="E700" s="45"/>
      <c r="F700" s="45"/>
      <c r="G700" s="45"/>
      <c r="H700" s="45"/>
      <c r="I700" s="45"/>
      <c r="J700" s="45"/>
      <c r="K700" s="45"/>
      <c r="L700" s="46"/>
      <c r="M700" s="46"/>
      <c r="N700" s="46"/>
      <c r="O700" s="46"/>
      <c r="P700" s="46"/>
      <c r="Q700" s="45"/>
      <c r="R700" s="45"/>
      <c r="S700" s="45"/>
      <c r="T700" s="45"/>
      <c r="U700" s="45"/>
      <c r="V700" s="45"/>
      <c r="W700" s="45"/>
    </row>
    <row r="701" spans="1:23" ht="11.25" customHeight="1">
      <c r="A701" s="48"/>
      <c r="B701" s="48"/>
      <c r="C701" s="45"/>
      <c r="D701" s="45"/>
      <c r="E701" s="45"/>
      <c r="F701" s="45"/>
      <c r="G701" s="45"/>
      <c r="H701" s="45"/>
      <c r="I701" s="45"/>
      <c r="J701" s="45"/>
      <c r="K701" s="45"/>
      <c r="L701" s="46"/>
      <c r="M701" s="46"/>
      <c r="N701" s="46"/>
      <c r="O701" s="46"/>
      <c r="P701" s="46"/>
      <c r="Q701" s="45"/>
      <c r="R701" s="45"/>
      <c r="S701" s="45"/>
      <c r="T701" s="45"/>
      <c r="U701" s="45"/>
      <c r="V701" s="45"/>
      <c r="W701" s="45"/>
    </row>
    <row r="702" spans="1:23" ht="11.25" customHeight="1">
      <c r="A702" s="48"/>
      <c r="B702" s="48"/>
      <c r="C702" s="45"/>
      <c r="D702" s="45"/>
      <c r="E702" s="45"/>
      <c r="F702" s="45"/>
      <c r="G702" s="45"/>
      <c r="H702" s="45"/>
      <c r="I702" s="45"/>
      <c r="J702" s="45"/>
      <c r="K702" s="45"/>
      <c r="L702" s="46"/>
      <c r="M702" s="46"/>
      <c r="N702" s="46"/>
      <c r="O702" s="46"/>
      <c r="P702" s="46"/>
      <c r="Q702" s="45"/>
      <c r="R702" s="45"/>
      <c r="S702" s="45"/>
      <c r="T702" s="45"/>
      <c r="U702" s="45"/>
      <c r="V702" s="45"/>
      <c r="W702" s="45"/>
    </row>
    <row r="703" spans="1:23" ht="11.25" customHeight="1">
      <c r="A703" s="48"/>
      <c r="B703" s="48"/>
      <c r="C703" s="45"/>
      <c r="D703" s="45"/>
      <c r="E703" s="45"/>
      <c r="F703" s="45"/>
      <c r="G703" s="45"/>
      <c r="H703" s="45"/>
      <c r="I703" s="45"/>
      <c r="J703" s="45"/>
      <c r="K703" s="45"/>
      <c r="L703" s="46"/>
      <c r="M703" s="46"/>
      <c r="N703" s="46"/>
      <c r="O703" s="46"/>
      <c r="P703" s="46"/>
      <c r="Q703" s="45"/>
      <c r="R703" s="45"/>
      <c r="S703" s="45"/>
      <c r="T703" s="45"/>
      <c r="U703" s="45"/>
      <c r="V703" s="45"/>
      <c r="W703" s="45"/>
    </row>
    <row r="704" spans="1:23" ht="11.25" customHeight="1">
      <c r="A704" s="48"/>
      <c r="B704" s="48"/>
      <c r="C704" s="45"/>
      <c r="D704" s="45"/>
      <c r="E704" s="45"/>
      <c r="F704" s="45"/>
      <c r="G704" s="45"/>
      <c r="H704" s="45"/>
      <c r="I704" s="45"/>
      <c r="J704" s="45"/>
      <c r="K704" s="45"/>
      <c r="L704" s="46"/>
      <c r="M704" s="46"/>
      <c r="N704" s="46"/>
      <c r="O704" s="46"/>
      <c r="P704" s="46"/>
      <c r="Q704" s="45"/>
      <c r="R704" s="45"/>
      <c r="S704" s="45"/>
      <c r="T704" s="45"/>
      <c r="U704" s="45"/>
      <c r="V704" s="45"/>
      <c r="W704" s="45"/>
    </row>
    <row r="705" spans="1:23" ht="11.25" customHeight="1">
      <c r="A705" s="48"/>
      <c r="B705" s="48"/>
      <c r="C705" s="45"/>
      <c r="D705" s="45"/>
      <c r="E705" s="45"/>
      <c r="F705" s="45"/>
      <c r="G705" s="45"/>
      <c r="H705" s="45"/>
      <c r="I705" s="45"/>
      <c r="J705" s="45"/>
      <c r="K705" s="45"/>
      <c r="L705" s="46"/>
      <c r="M705" s="46"/>
      <c r="N705" s="46"/>
      <c r="O705" s="46"/>
      <c r="P705" s="46"/>
      <c r="Q705" s="45"/>
      <c r="R705" s="45"/>
      <c r="S705" s="45"/>
      <c r="T705" s="45"/>
      <c r="U705" s="45"/>
      <c r="V705" s="45"/>
      <c r="W705" s="45"/>
    </row>
    <row r="706" spans="1:23" ht="11.25" customHeight="1">
      <c r="A706" s="48"/>
      <c r="B706" s="48"/>
      <c r="C706" s="45"/>
      <c r="D706" s="45"/>
      <c r="E706" s="45"/>
      <c r="F706" s="45"/>
      <c r="G706" s="45"/>
      <c r="H706" s="45"/>
      <c r="I706" s="45"/>
      <c r="J706" s="45"/>
      <c r="K706" s="45"/>
      <c r="L706" s="46"/>
      <c r="M706" s="46"/>
      <c r="N706" s="46"/>
      <c r="O706" s="46"/>
      <c r="P706" s="46"/>
      <c r="Q706" s="45"/>
      <c r="R706" s="45"/>
      <c r="S706" s="45"/>
      <c r="T706" s="45"/>
      <c r="U706" s="45"/>
      <c r="V706" s="45"/>
      <c r="W706" s="45"/>
    </row>
    <row r="707" spans="1:23" ht="11.25" customHeight="1">
      <c r="A707" s="48"/>
      <c r="B707" s="48"/>
      <c r="C707" s="45"/>
      <c r="D707" s="45"/>
      <c r="E707" s="45"/>
      <c r="F707" s="45"/>
      <c r="G707" s="45"/>
      <c r="H707" s="45"/>
      <c r="I707" s="45"/>
      <c r="J707" s="45"/>
      <c r="K707" s="45"/>
      <c r="L707" s="46"/>
      <c r="M707" s="46"/>
      <c r="N707" s="46"/>
      <c r="O707" s="46"/>
      <c r="P707" s="46"/>
      <c r="Q707" s="45"/>
      <c r="R707" s="45"/>
      <c r="S707" s="45"/>
      <c r="T707" s="45"/>
      <c r="U707" s="45"/>
      <c r="V707" s="45"/>
      <c r="W707" s="45"/>
    </row>
    <row r="708" spans="1:23" ht="11.25" customHeight="1">
      <c r="A708" s="48"/>
      <c r="B708" s="48"/>
      <c r="C708" s="45"/>
      <c r="D708" s="45"/>
      <c r="E708" s="45"/>
      <c r="F708" s="45"/>
      <c r="G708" s="45"/>
      <c r="H708" s="45"/>
      <c r="I708" s="45"/>
      <c r="J708" s="45"/>
      <c r="K708" s="45"/>
      <c r="L708" s="46"/>
      <c r="M708" s="46"/>
      <c r="N708" s="46"/>
      <c r="O708" s="46"/>
      <c r="P708" s="46"/>
      <c r="Q708" s="45"/>
      <c r="R708" s="45"/>
      <c r="S708" s="45"/>
      <c r="T708" s="45"/>
      <c r="U708" s="45"/>
      <c r="V708" s="45"/>
      <c r="W708" s="45"/>
    </row>
    <row r="709" spans="1:23" ht="11.25" customHeight="1">
      <c r="A709" s="48"/>
      <c r="B709" s="48"/>
      <c r="C709" s="45"/>
      <c r="D709" s="45"/>
      <c r="E709" s="45"/>
      <c r="F709" s="45"/>
      <c r="G709" s="45"/>
      <c r="H709" s="45"/>
      <c r="I709" s="45"/>
      <c r="J709" s="45"/>
      <c r="K709" s="45"/>
      <c r="L709" s="46"/>
      <c r="M709" s="46"/>
      <c r="N709" s="46"/>
      <c r="O709" s="46"/>
      <c r="P709" s="46"/>
      <c r="Q709" s="45"/>
      <c r="R709" s="45"/>
      <c r="S709" s="45"/>
      <c r="T709" s="45"/>
      <c r="U709" s="45"/>
      <c r="V709" s="45"/>
      <c r="W709" s="45"/>
    </row>
    <row r="710" spans="1:23" ht="11.25" customHeight="1">
      <c r="A710" s="48"/>
      <c r="B710" s="48"/>
      <c r="C710" s="45"/>
      <c r="D710" s="45"/>
      <c r="E710" s="45"/>
      <c r="F710" s="45"/>
      <c r="G710" s="45"/>
      <c r="H710" s="45"/>
      <c r="I710" s="45"/>
      <c r="J710" s="45"/>
      <c r="K710" s="45"/>
      <c r="L710" s="46"/>
      <c r="M710" s="46"/>
      <c r="N710" s="46"/>
      <c r="O710" s="46"/>
      <c r="P710" s="46"/>
      <c r="Q710" s="45"/>
      <c r="R710" s="45"/>
      <c r="S710" s="45"/>
      <c r="T710" s="45"/>
      <c r="U710" s="45"/>
      <c r="V710" s="45"/>
      <c r="W710" s="45"/>
    </row>
    <row r="711" spans="1:23" ht="11.25" customHeight="1">
      <c r="A711" s="48"/>
      <c r="B711" s="48"/>
      <c r="C711" s="45"/>
      <c r="D711" s="45"/>
      <c r="E711" s="45"/>
      <c r="F711" s="45"/>
      <c r="G711" s="45"/>
      <c r="H711" s="45"/>
      <c r="I711" s="45"/>
      <c r="J711" s="45"/>
      <c r="K711" s="45"/>
      <c r="L711" s="46"/>
      <c r="M711" s="46"/>
      <c r="N711" s="46"/>
      <c r="O711" s="46"/>
      <c r="P711" s="46"/>
      <c r="Q711" s="45"/>
      <c r="R711" s="45"/>
      <c r="S711" s="45"/>
      <c r="T711" s="45"/>
      <c r="U711" s="45"/>
      <c r="V711" s="45"/>
      <c r="W711" s="45"/>
    </row>
    <row r="712" spans="1:23" ht="11.25" customHeight="1">
      <c r="A712" s="48"/>
      <c r="B712" s="48"/>
      <c r="C712" s="45"/>
      <c r="D712" s="45"/>
      <c r="E712" s="45"/>
      <c r="F712" s="45"/>
      <c r="G712" s="45"/>
      <c r="H712" s="45"/>
      <c r="I712" s="45"/>
      <c r="J712" s="45"/>
      <c r="K712" s="45"/>
      <c r="L712" s="46"/>
      <c r="M712" s="46"/>
      <c r="N712" s="46"/>
      <c r="O712" s="46"/>
      <c r="P712" s="46"/>
      <c r="Q712" s="45"/>
      <c r="R712" s="45"/>
      <c r="S712" s="45"/>
      <c r="T712" s="45"/>
      <c r="U712" s="45"/>
      <c r="V712" s="45"/>
      <c r="W712" s="45"/>
    </row>
    <row r="713" spans="1:23" ht="11.25" customHeight="1">
      <c r="A713" s="48"/>
      <c r="B713" s="48"/>
      <c r="C713" s="45"/>
      <c r="D713" s="45"/>
      <c r="E713" s="45"/>
      <c r="F713" s="45"/>
      <c r="G713" s="45"/>
      <c r="H713" s="45"/>
      <c r="I713" s="45"/>
      <c r="J713" s="45"/>
      <c r="K713" s="45"/>
      <c r="L713" s="46"/>
      <c r="M713" s="46"/>
      <c r="N713" s="46"/>
      <c r="O713" s="46"/>
      <c r="P713" s="46"/>
      <c r="Q713" s="45"/>
      <c r="R713" s="45"/>
      <c r="S713" s="45"/>
      <c r="T713" s="45"/>
      <c r="U713" s="45"/>
      <c r="V713" s="45"/>
      <c r="W713" s="45"/>
    </row>
    <row r="714" spans="1:23" ht="11.25" customHeight="1">
      <c r="A714" s="48"/>
      <c r="B714" s="48"/>
      <c r="C714" s="45"/>
      <c r="D714" s="45"/>
      <c r="E714" s="45"/>
      <c r="F714" s="45"/>
      <c r="G714" s="45"/>
      <c r="H714" s="45"/>
      <c r="I714" s="45"/>
      <c r="J714" s="45"/>
      <c r="K714" s="45"/>
      <c r="L714" s="46"/>
      <c r="M714" s="46"/>
      <c r="N714" s="46"/>
      <c r="O714" s="46"/>
      <c r="P714" s="46"/>
      <c r="Q714" s="45"/>
      <c r="R714" s="45"/>
      <c r="S714" s="45"/>
      <c r="T714" s="45"/>
      <c r="U714" s="45"/>
      <c r="V714" s="45"/>
      <c r="W714" s="45"/>
    </row>
    <row r="715" spans="1:23" ht="11.25" customHeight="1">
      <c r="A715" s="48"/>
      <c r="B715" s="48"/>
      <c r="C715" s="45"/>
      <c r="D715" s="45"/>
      <c r="E715" s="45"/>
      <c r="F715" s="45"/>
      <c r="G715" s="45"/>
      <c r="H715" s="45"/>
      <c r="I715" s="45"/>
      <c r="J715" s="45"/>
      <c r="K715" s="45"/>
      <c r="L715" s="46"/>
      <c r="M715" s="46"/>
      <c r="N715" s="46"/>
      <c r="O715" s="46"/>
      <c r="P715" s="46"/>
      <c r="Q715" s="45"/>
      <c r="R715" s="45"/>
      <c r="S715" s="45"/>
      <c r="T715" s="45"/>
      <c r="U715" s="45"/>
      <c r="V715" s="45"/>
      <c r="W715" s="45"/>
    </row>
    <row r="716" spans="1:23" ht="11.25" customHeight="1">
      <c r="A716" s="48"/>
      <c r="B716" s="48"/>
      <c r="C716" s="45"/>
      <c r="D716" s="45"/>
      <c r="E716" s="45"/>
      <c r="F716" s="45"/>
      <c r="G716" s="45"/>
      <c r="H716" s="45"/>
      <c r="I716" s="45"/>
      <c r="J716" s="45"/>
      <c r="K716" s="45"/>
      <c r="L716" s="46"/>
      <c r="M716" s="46"/>
      <c r="N716" s="46"/>
      <c r="O716" s="46"/>
      <c r="P716" s="46"/>
      <c r="Q716" s="45"/>
      <c r="R716" s="45"/>
      <c r="S716" s="45"/>
      <c r="T716" s="45"/>
      <c r="U716" s="45"/>
      <c r="V716" s="45"/>
      <c r="W716" s="45"/>
    </row>
    <row r="717" spans="1:23" ht="11.25" customHeight="1">
      <c r="A717" s="48"/>
      <c r="B717" s="48"/>
      <c r="C717" s="45"/>
      <c r="D717" s="45"/>
      <c r="E717" s="45"/>
      <c r="F717" s="45"/>
      <c r="G717" s="45"/>
      <c r="H717" s="45"/>
      <c r="I717" s="45"/>
      <c r="J717" s="45"/>
      <c r="K717" s="45"/>
      <c r="L717" s="46"/>
      <c r="M717" s="46"/>
      <c r="N717" s="46"/>
      <c r="O717" s="46"/>
      <c r="P717" s="46"/>
      <c r="Q717" s="45"/>
      <c r="R717" s="45"/>
      <c r="S717" s="45"/>
      <c r="T717" s="45"/>
      <c r="U717" s="45"/>
      <c r="V717" s="45"/>
      <c r="W717" s="45"/>
    </row>
    <row r="718" spans="1:23" ht="11.25" customHeight="1">
      <c r="A718" s="48"/>
      <c r="B718" s="48"/>
      <c r="C718" s="45"/>
      <c r="D718" s="45"/>
      <c r="E718" s="45"/>
      <c r="F718" s="45"/>
      <c r="G718" s="45"/>
      <c r="H718" s="45"/>
      <c r="I718" s="45"/>
      <c r="J718" s="45"/>
      <c r="K718" s="45"/>
      <c r="L718" s="46"/>
      <c r="M718" s="46"/>
      <c r="N718" s="46"/>
      <c r="O718" s="46"/>
      <c r="P718" s="46"/>
      <c r="Q718" s="45"/>
      <c r="R718" s="45"/>
      <c r="S718" s="45"/>
      <c r="T718" s="45"/>
      <c r="U718" s="45"/>
      <c r="V718" s="45"/>
      <c r="W718" s="45"/>
    </row>
    <row r="719" spans="1:23" ht="11.25" customHeight="1">
      <c r="A719" s="48"/>
      <c r="B719" s="48"/>
      <c r="C719" s="45"/>
      <c r="D719" s="45"/>
      <c r="E719" s="45"/>
      <c r="F719" s="45"/>
      <c r="G719" s="45"/>
      <c r="H719" s="45"/>
      <c r="I719" s="45"/>
      <c r="J719" s="45"/>
      <c r="K719" s="45"/>
      <c r="L719" s="46"/>
      <c r="M719" s="46"/>
      <c r="N719" s="46"/>
      <c r="O719" s="46"/>
      <c r="P719" s="46"/>
      <c r="Q719" s="45"/>
      <c r="R719" s="45"/>
      <c r="S719" s="45"/>
      <c r="T719" s="45"/>
      <c r="U719" s="45"/>
      <c r="V719" s="45"/>
      <c r="W719" s="45"/>
    </row>
    <row r="720" spans="1:23" ht="11.25" customHeight="1">
      <c r="A720" s="48"/>
      <c r="B720" s="48"/>
      <c r="C720" s="45"/>
      <c r="D720" s="45"/>
      <c r="E720" s="45"/>
      <c r="F720" s="45"/>
      <c r="G720" s="45"/>
      <c r="H720" s="45"/>
      <c r="I720" s="45"/>
      <c r="J720" s="45"/>
      <c r="K720" s="45"/>
      <c r="L720" s="46"/>
      <c r="M720" s="46"/>
      <c r="N720" s="46"/>
      <c r="O720" s="46"/>
      <c r="P720" s="46"/>
      <c r="Q720" s="45"/>
      <c r="R720" s="45"/>
      <c r="S720" s="45"/>
      <c r="T720" s="45"/>
      <c r="U720" s="45"/>
      <c r="V720" s="45"/>
      <c r="W720" s="45"/>
    </row>
    <row r="721" spans="1:23" ht="11.25" customHeight="1">
      <c r="A721" s="48"/>
      <c r="B721" s="48"/>
      <c r="C721" s="45"/>
      <c r="D721" s="45"/>
      <c r="E721" s="45"/>
      <c r="F721" s="45"/>
      <c r="G721" s="45"/>
      <c r="H721" s="45"/>
      <c r="I721" s="45"/>
      <c r="J721" s="45"/>
      <c r="K721" s="45"/>
      <c r="L721" s="46"/>
      <c r="M721" s="46"/>
      <c r="N721" s="46"/>
      <c r="O721" s="46"/>
      <c r="P721" s="46"/>
      <c r="Q721" s="45"/>
      <c r="R721" s="45"/>
      <c r="S721" s="45"/>
      <c r="T721" s="45"/>
      <c r="U721" s="45"/>
      <c r="V721" s="45"/>
      <c r="W721" s="45"/>
    </row>
    <row r="722" spans="1:23" ht="11.25" customHeight="1">
      <c r="A722" s="48"/>
      <c r="B722" s="48"/>
      <c r="C722" s="45"/>
      <c r="D722" s="45"/>
      <c r="E722" s="45"/>
      <c r="F722" s="45"/>
      <c r="G722" s="45"/>
      <c r="H722" s="45"/>
      <c r="I722" s="45"/>
      <c r="J722" s="45"/>
      <c r="K722" s="45"/>
      <c r="L722" s="46"/>
      <c r="M722" s="46"/>
      <c r="N722" s="46"/>
      <c r="O722" s="46"/>
      <c r="P722" s="46"/>
      <c r="Q722" s="45"/>
      <c r="R722" s="45"/>
      <c r="S722" s="45"/>
      <c r="T722" s="45"/>
      <c r="U722" s="45"/>
      <c r="V722" s="45"/>
      <c r="W722" s="45"/>
    </row>
    <row r="723" spans="1:23" ht="11.25" customHeight="1">
      <c r="A723" s="48"/>
      <c r="B723" s="48"/>
      <c r="C723" s="45"/>
      <c r="D723" s="45"/>
      <c r="E723" s="45"/>
      <c r="F723" s="45"/>
      <c r="G723" s="45"/>
      <c r="H723" s="45"/>
      <c r="I723" s="45"/>
      <c r="J723" s="45"/>
      <c r="K723" s="45"/>
      <c r="L723" s="46"/>
      <c r="M723" s="46"/>
      <c r="N723" s="46"/>
      <c r="O723" s="46"/>
      <c r="P723" s="46"/>
      <c r="Q723" s="45"/>
      <c r="R723" s="45"/>
      <c r="S723" s="45"/>
      <c r="T723" s="45"/>
      <c r="U723" s="45"/>
      <c r="V723" s="45"/>
      <c r="W723" s="45"/>
    </row>
    <row r="724" spans="1:23" ht="11.25" customHeight="1">
      <c r="A724" s="48"/>
      <c r="B724" s="48"/>
      <c r="C724" s="45"/>
      <c r="D724" s="45"/>
      <c r="E724" s="45"/>
      <c r="F724" s="45"/>
      <c r="G724" s="45"/>
      <c r="H724" s="45"/>
      <c r="I724" s="45"/>
      <c r="J724" s="45"/>
      <c r="K724" s="45"/>
      <c r="L724" s="46"/>
      <c r="M724" s="46"/>
      <c r="N724" s="46"/>
      <c r="O724" s="46"/>
      <c r="P724" s="46"/>
      <c r="Q724" s="45"/>
      <c r="R724" s="45"/>
      <c r="S724" s="45"/>
      <c r="T724" s="45"/>
      <c r="U724" s="45"/>
      <c r="V724" s="45"/>
      <c r="W724" s="45"/>
    </row>
    <row r="725" spans="1:23" ht="11.25" customHeight="1">
      <c r="A725" s="48"/>
      <c r="B725" s="48"/>
      <c r="C725" s="45"/>
      <c r="D725" s="45"/>
      <c r="E725" s="45"/>
      <c r="F725" s="45"/>
      <c r="G725" s="45"/>
      <c r="H725" s="45"/>
      <c r="I725" s="45"/>
      <c r="J725" s="45"/>
      <c r="K725" s="45"/>
      <c r="L725" s="46"/>
      <c r="M725" s="46"/>
      <c r="N725" s="46"/>
      <c r="O725" s="46"/>
      <c r="P725" s="46"/>
      <c r="Q725" s="45"/>
      <c r="R725" s="45"/>
      <c r="S725" s="45"/>
      <c r="T725" s="45"/>
      <c r="U725" s="45"/>
      <c r="V725" s="45"/>
      <c r="W725" s="45"/>
    </row>
    <row r="726" spans="1:23" ht="11.25" customHeight="1">
      <c r="A726" s="48"/>
      <c r="B726" s="48"/>
      <c r="C726" s="45"/>
      <c r="D726" s="45"/>
      <c r="E726" s="45"/>
      <c r="F726" s="45"/>
      <c r="G726" s="45"/>
      <c r="H726" s="45"/>
      <c r="I726" s="45"/>
      <c r="J726" s="45"/>
      <c r="K726" s="45"/>
      <c r="L726" s="46"/>
      <c r="M726" s="46"/>
      <c r="N726" s="46"/>
      <c r="O726" s="46"/>
      <c r="P726" s="46"/>
      <c r="Q726" s="45"/>
      <c r="R726" s="45"/>
      <c r="S726" s="45"/>
      <c r="T726" s="45"/>
      <c r="U726" s="45"/>
      <c r="V726" s="45"/>
      <c r="W726" s="45"/>
    </row>
    <row r="727" spans="1:23" ht="11.25" customHeight="1">
      <c r="A727" s="48"/>
      <c r="B727" s="48"/>
      <c r="C727" s="45"/>
      <c r="D727" s="45"/>
      <c r="E727" s="45"/>
      <c r="F727" s="45"/>
      <c r="G727" s="45"/>
      <c r="H727" s="45"/>
      <c r="I727" s="45"/>
      <c r="J727" s="45"/>
      <c r="K727" s="45"/>
      <c r="L727" s="46"/>
      <c r="M727" s="46"/>
      <c r="N727" s="46"/>
      <c r="O727" s="46"/>
      <c r="P727" s="46"/>
      <c r="Q727" s="45"/>
      <c r="R727" s="45"/>
      <c r="S727" s="45"/>
      <c r="T727" s="45"/>
      <c r="U727" s="45"/>
      <c r="V727" s="45"/>
      <c r="W727" s="45"/>
    </row>
    <row r="728" spans="1:23" ht="11.25" customHeight="1">
      <c r="A728" s="48"/>
      <c r="B728" s="48"/>
      <c r="C728" s="45"/>
      <c r="D728" s="45"/>
      <c r="E728" s="45"/>
      <c r="F728" s="45"/>
      <c r="G728" s="45"/>
      <c r="H728" s="45"/>
      <c r="I728" s="45"/>
      <c r="J728" s="45"/>
      <c r="K728" s="45"/>
      <c r="L728" s="46"/>
      <c r="M728" s="46"/>
      <c r="N728" s="46"/>
      <c r="O728" s="46"/>
      <c r="P728" s="46"/>
      <c r="Q728" s="45"/>
      <c r="R728" s="45"/>
      <c r="S728" s="45"/>
      <c r="T728" s="45"/>
      <c r="U728" s="45"/>
      <c r="V728" s="45"/>
      <c r="W728" s="45"/>
    </row>
    <row r="729" spans="1:23" ht="11.25" customHeight="1">
      <c r="A729" s="48"/>
      <c r="B729" s="48"/>
      <c r="C729" s="45"/>
      <c r="D729" s="45"/>
      <c r="E729" s="45"/>
      <c r="F729" s="45"/>
      <c r="G729" s="45"/>
      <c r="H729" s="45"/>
      <c r="I729" s="45"/>
      <c r="J729" s="45"/>
      <c r="K729" s="45"/>
      <c r="L729" s="46"/>
      <c r="M729" s="46"/>
      <c r="N729" s="46"/>
      <c r="O729" s="46"/>
      <c r="P729" s="46"/>
      <c r="Q729" s="45"/>
      <c r="R729" s="45"/>
      <c r="S729" s="45"/>
      <c r="T729" s="45"/>
      <c r="U729" s="45"/>
      <c r="V729" s="45"/>
      <c r="W729" s="45"/>
    </row>
    <row r="730" spans="1:23" ht="11.25" customHeight="1">
      <c r="A730" s="48"/>
      <c r="B730" s="48"/>
      <c r="C730" s="45"/>
      <c r="D730" s="45"/>
      <c r="E730" s="45"/>
      <c r="F730" s="45"/>
      <c r="G730" s="45"/>
      <c r="H730" s="45"/>
      <c r="I730" s="45"/>
      <c r="J730" s="45"/>
      <c r="K730" s="45"/>
      <c r="L730" s="46"/>
      <c r="M730" s="46"/>
      <c r="N730" s="46"/>
      <c r="O730" s="46"/>
      <c r="P730" s="46"/>
      <c r="Q730" s="45"/>
      <c r="R730" s="45"/>
      <c r="S730" s="45"/>
      <c r="T730" s="45"/>
      <c r="U730" s="45"/>
      <c r="V730" s="45"/>
      <c r="W730" s="45"/>
    </row>
    <row r="731" spans="1:23" ht="11.25" customHeight="1">
      <c r="A731" s="48"/>
      <c r="B731" s="48"/>
      <c r="C731" s="45"/>
      <c r="D731" s="45"/>
      <c r="E731" s="45"/>
      <c r="F731" s="45"/>
      <c r="G731" s="45"/>
      <c r="H731" s="45"/>
      <c r="I731" s="45"/>
      <c r="J731" s="45"/>
      <c r="K731" s="45"/>
      <c r="L731" s="46"/>
      <c r="M731" s="46"/>
      <c r="N731" s="46"/>
      <c r="O731" s="46"/>
      <c r="P731" s="46"/>
      <c r="Q731" s="45"/>
      <c r="R731" s="45"/>
      <c r="S731" s="45"/>
      <c r="T731" s="45"/>
      <c r="U731" s="45"/>
      <c r="V731" s="45"/>
      <c r="W731" s="45"/>
    </row>
    <row r="732" spans="1:23" ht="11.25" customHeight="1">
      <c r="A732" s="48"/>
      <c r="B732" s="48"/>
      <c r="C732" s="45"/>
      <c r="D732" s="45"/>
      <c r="E732" s="45"/>
      <c r="F732" s="45"/>
      <c r="G732" s="45"/>
      <c r="H732" s="45"/>
      <c r="I732" s="45"/>
      <c r="J732" s="45"/>
      <c r="K732" s="45"/>
      <c r="L732" s="46"/>
      <c r="M732" s="46"/>
      <c r="N732" s="46"/>
      <c r="O732" s="46"/>
      <c r="P732" s="46"/>
      <c r="Q732" s="45"/>
      <c r="R732" s="45"/>
      <c r="S732" s="45"/>
      <c r="T732" s="45"/>
      <c r="U732" s="45"/>
      <c r="V732" s="45"/>
      <c r="W732" s="45"/>
    </row>
    <row r="733" spans="1:23" ht="11.25" customHeight="1">
      <c r="A733" s="48"/>
      <c r="B733" s="48"/>
      <c r="C733" s="45"/>
      <c r="D733" s="45"/>
      <c r="E733" s="45"/>
      <c r="F733" s="45"/>
      <c r="G733" s="45"/>
      <c r="H733" s="45"/>
      <c r="I733" s="45"/>
      <c r="J733" s="45"/>
      <c r="K733" s="45"/>
      <c r="L733" s="46"/>
      <c r="M733" s="46"/>
      <c r="N733" s="46"/>
      <c r="O733" s="46"/>
      <c r="P733" s="46"/>
      <c r="Q733" s="45"/>
      <c r="R733" s="45"/>
      <c r="S733" s="45"/>
      <c r="T733" s="45"/>
      <c r="U733" s="45"/>
      <c r="V733" s="45"/>
      <c r="W733" s="45"/>
    </row>
    <row r="734" spans="1:23" ht="11.25" customHeight="1">
      <c r="A734" s="48"/>
      <c r="B734" s="48"/>
      <c r="C734" s="45"/>
      <c r="D734" s="45"/>
      <c r="E734" s="45"/>
      <c r="F734" s="45"/>
      <c r="G734" s="45"/>
      <c r="H734" s="45"/>
      <c r="I734" s="45"/>
      <c r="J734" s="45"/>
      <c r="K734" s="45"/>
      <c r="L734" s="46"/>
      <c r="M734" s="46"/>
      <c r="N734" s="46"/>
      <c r="O734" s="46"/>
      <c r="P734" s="46"/>
      <c r="Q734" s="45"/>
      <c r="R734" s="45"/>
      <c r="S734" s="45"/>
      <c r="T734" s="45"/>
      <c r="U734" s="45"/>
      <c r="V734" s="45"/>
      <c r="W734" s="45"/>
    </row>
    <row r="735" spans="1:23" ht="11.25" customHeight="1">
      <c r="A735" s="48"/>
      <c r="B735" s="48"/>
      <c r="C735" s="45"/>
      <c r="D735" s="45"/>
      <c r="E735" s="45"/>
      <c r="F735" s="45"/>
      <c r="G735" s="45"/>
      <c r="H735" s="45"/>
      <c r="I735" s="45"/>
      <c r="J735" s="45"/>
      <c r="K735" s="45"/>
      <c r="L735" s="46"/>
      <c r="M735" s="46"/>
      <c r="N735" s="46"/>
      <c r="O735" s="46"/>
      <c r="P735" s="46"/>
      <c r="Q735" s="45"/>
      <c r="R735" s="45"/>
      <c r="S735" s="45"/>
      <c r="T735" s="45"/>
      <c r="U735" s="45"/>
      <c r="V735" s="45"/>
      <c r="W735" s="45"/>
    </row>
    <row r="736" spans="1:23" ht="11.25" customHeight="1">
      <c r="A736" s="48"/>
      <c r="B736" s="48"/>
      <c r="C736" s="45"/>
      <c r="D736" s="45"/>
      <c r="E736" s="45"/>
      <c r="F736" s="45"/>
      <c r="G736" s="45"/>
      <c r="H736" s="45"/>
      <c r="I736" s="45"/>
      <c r="J736" s="45"/>
      <c r="K736" s="45"/>
      <c r="L736" s="46"/>
      <c r="M736" s="46"/>
      <c r="N736" s="46"/>
      <c r="O736" s="46"/>
      <c r="P736" s="46"/>
      <c r="Q736" s="45"/>
      <c r="R736" s="45"/>
      <c r="S736" s="45"/>
      <c r="T736" s="45"/>
      <c r="U736" s="45"/>
      <c r="V736" s="45"/>
      <c r="W736" s="45"/>
    </row>
    <row r="737" spans="1:23" ht="11.25" customHeight="1">
      <c r="A737" s="48"/>
      <c r="B737" s="48"/>
      <c r="C737" s="45"/>
      <c r="D737" s="45"/>
      <c r="E737" s="45"/>
      <c r="F737" s="45"/>
      <c r="G737" s="45"/>
      <c r="H737" s="45"/>
      <c r="I737" s="45"/>
      <c r="J737" s="45"/>
      <c r="K737" s="45"/>
      <c r="L737" s="46"/>
      <c r="M737" s="46"/>
      <c r="N737" s="46"/>
      <c r="O737" s="46"/>
      <c r="P737" s="46"/>
      <c r="Q737" s="45"/>
      <c r="R737" s="45"/>
      <c r="S737" s="45"/>
      <c r="T737" s="45"/>
      <c r="U737" s="45"/>
      <c r="V737" s="45"/>
      <c r="W737" s="45"/>
    </row>
    <row r="738" spans="1:23" ht="11.25" customHeight="1">
      <c r="A738" s="48"/>
      <c r="B738" s="48"/>
      <c r="C738" s="45"/>
      <c r="D738" s="45"/>
      <c r="E738" s="45"/>
      <c r="F738" s="45"/>
      <c r="G738" s="45"/>
      <c r="H738" s="45"/>
      <c r="I738" s="45"/>
      <c r="J738" s="45"/>
      <c r="K738" s="45"/>
      <c r="L738" s="46"/>
      <c r="M738" s="46"/>
      <c r="N738" s="46"/>
      <c r="O738" s="46"/>
      <c r="P738" s="46"/>
      <c r="Q738" s="45"/>
      <c r="R738" s="45"/>
      <c r="S738" s="45"/>
      <c r="T738" s="45"/>
      <c r="U738" s="45"/>
      <c r="V738" s="45"/>
      <c r="W738" s="45"/>
    </row>
    <row r="739" spans="1:23" ht="11.25" customHeight="1">
      <c r="A739" s="48"/>
      <c r="B739" s="48"/>
      <c r="C739" s="45"/>
      <c r="D739" s="45"/>
      <c r="E739" s="45"/>
      <c r="F739" s="45"/>
      <c r="G739" s="45"/>
      <c r="H739" s="45"/>
      <c r="I739" s="45"/>
      <c r="J739" s="45"/>
      <c r="K739" s="45"/>
      <c r="L739" s="46"/>
      <c r="M739" s="46"/>
      <c r="N739" s="46"/>
      <c r="O739" s="46"/>
      <c r="P739" s="46"/>
      <c r="Q739" s="45"/>
      <c r="R739" s="45"/>
      <c r="S739" s="45"/>
      <c r="T739" s="45"/>
      <c r="U739" s="45"/>
      <c r="V739" s="45"/>
      <c r="W739" s="45"/>
    </row>
    <row r="740" spans="1:23" ht="11.25" customHeight="1">
      <c r="A740" s="48"/>
      <c r="B740" s="48"/>
      <c r="C740" s="45"/>
      <c r="D740" s="45"/>
      <c r="E740" s="45"/>
      <c r="F740" s="45"/>
      <c r="G740" s="45"/>
      <c r="H740" s="45"/>
      <c r="I740" s="45"/>
      <c r="J740" s="45"/>
      <c r="K740" s="45"/>
      <c r="L740" s="46"/>
      <c r="M740" s="46"/>
      <c r="N740" s="46"/>
      <c r="O740" s="46"/>
      <c r="P740" s="46"/>
      <c r="Q740" s="45"/>
      <c r="R740" s="45"/>
      <c r="S740" s="45"/>
      <c r="T740" s="45"/>
      <c r="U740" s="45"/>
      <c r="V740" s="45"/>
      <c r="W740" s="45"/>
    </row>
    <row r="741" spans="1:23" ht="11.25" customHeight="1">
      <c r="A741" s="48"/>
      <c r="B741" s="48"/>
      <c r="C741" s="45"/>
      <c r="D741" s="45"/>
      <c r="E741" s="45"/>
      <c r="F741" s="45"/>
      <c r="G741" s="45"/>
      <c r="H741" s="45"/>
      <c r="I741" s="45"/>
      <c r="J741" s="45"/>
      <c r="K741" s="45"/>
      <c r="L741" s="46"/>
      <c r="M741" s="46"/>
      <c r="N741" s="46"/>
      <c r="O741" s="46"/>
      <c r="P741" s="46"/>
      <c r="Q741" s="45"/>
      <c r="R741" s="45"/>
      <c r="S741" s="45"/>
      <c r="T741" s="45"/>
      <c r="U741" s="45"/>
      <c r="V741" s="45"/>
      <c r="W741" s="45"/>
    </row>
    <row r="742" spans="1:23" ht="11.25" customHeight="1">
      <c r="A742" s="48"/>
      <c r="B742" s="48"/>
      <c r="C742" s="45"/>
      <c r="D742" s="45"/>
      <c r="E742" s="45"/>
      <c r="F742" s="45"/>
      <c r="G742" s="45"/>
      <c r="H742" s="45"/>
      <c r="I742" s="45"/>
      <c r="J742" s="45"/>
      <c r="K742" s="45"/>
      <c r="L742" s="46"/>
      <c r="M742" s="46"/>
      <c r="N742" s="46"/>
      <c r="O742" s="46"/>
      <c r="P742" s="46"/>
      <c r="Q742" s="45"/>
      <c r="R742" s="45"/>
      <c r="S742" s="45"/>
      <c r="T742" s="45"/>
      <c r="U742" s="45"/>
      <c r="V742" s="45"/>
      <c r="W742" s="45"/>
    </row>
    <row r="743" spans="1:23" ht="11.25" customHeight="1">
      <c r="A743" s="48"/>
      <c r="B743" s="48"/>
      <c r="C743" s="45"/>
      <c r="D743" s="45"/>
      <c r="E743" s="45"/>
      <c r="F743" s="45"/>
      <c r="G743" s="45"/>
      <c r="H743" s="45"/>
      <c r="I743" s="45"/>
      <c r="J743" s="45"/>
      <c r="K743" s="45"/>
      <c r="L743" s="46"/>
      <c r="M743" s="46"/>
      <c r="N743" s="46"/>
      <c r="O743" s="46"/>
      <c r="P743" s="46"/>
      <c r="Q743" s="45"/>
      <c r="R743" s="45"/>
      <c r="S743" s="45"/>
      <c r="T743" s="45"/>
      <c r="U743" s="45"/>
      <c r="V743" s="45"/>
      <c r="W743" s="45"/>
    </row>
    <row r="744" spans="1:23" ht="11.25" customHeight="1">
      <c r="A744" s="48"/>
      <c r="B744" s="48"/>
      <c r="C744" s="45"/>
      <c r="D744" s="45"/>
      <c r="E744" s="45"/>
      <c r="F744" s="45"/>
      <c r="G744" s="45"/>
      <c r="H744" s="45"/>
      <c r="I744" s="45"/>
      <c r="J744" s="45"/>
      <c r="K744" s="45"/>
      <c r="L744" s="46"/>
      <c r="M744" s="46"/>
      <c r="N744" s="46"/>
      <c r="O744" s="46"/>
      <c r="P744" s="46"/>
      <c r="Q744" s="45"/>
      <c r="R744" s="45"/>
      <c r="S744" s="45"/>
      <c r="T744" s="45"/>
      <c r="U744" s="45"/>
      <c r="V744" s="45"/>
      <c r="W744" s="45"/>
    </row>
    <row r="745" spans="1:23" ht="11.25" customHeight="1">
      <c r="A745" s="48"/>
      <c r="B745" s="48"/>
      <c r="C745" s="45"/>
      <c r="D745" s="45"/>
      <c r="E745" s="45"/>
      <c r="F745" s="45"/>
      <c r="G745" s="45"/>
      <c r="H745" s="45"/>
      <c r="I745" s="45"/>
      <c r="J745" s="45"/>
      <c r="K745" s="45"/>
      <c r="L745" s="46"/>
      <c r="M745" s="46"/>
      <c r="N745" s="46"/>
      <c r="O745" s="46"/>
      <c r="P745" s="46"/>
      <c r="Q745" s="45"/>
      <c r="R745" s="45"/>
      <c r="S745" s="45"/>
      <c r="T745" s="45"/>
      <c r="U745" s="45"/>
      <c r="V745" s="45"/>
      <c r="W745" s="45"/>
    </row>
    <row r="746" spans="1:23" ht="11.25" customHeight="1">
      <c r="A746" s="48"/>
      <c r="B746" s="48"/>
      <c r="C746" s="45"/>
      <c r="D746" s="45"/>
      <c r="E746" s="45"/>
      <c r="F746" s="45"/>
      <c r="G746" s="45"/>
      <c r="H746" s="45"/>
      <c r="I746" s="45"/>
      <c r="J746" s="45"/>
      <c r="K746" s="45"/>
      <c r="L746" s="46"/>
      <c r="M746" s="46"/>
      <c r="N746" s="46"/>
      <c r="O746" s="46"/>
      <c r="P746" s="46"/>
      <c r="Q746" s="45"/>
      <c r="R746" s="45"/>
      <c r="S746" s="45"/>
      <c r="T746" s="45"/>
      <c r="U746" s="45"/>
      <c r="V746" s="45"/>
      <c r="W746" s="45"/>
    </row>
    <row r="747" spans="1:23" ht="11.25" customHeight="1">
      <c r="A747" s="48"/>
      <c r="B747" s="48"/>
      <c r="C747" s="45"/>
      <c r="D747" s="45"/>
      <c r="E747" s="45"/>
      <c r="F747" s="45"/>
      <c r="G747" s="45"/>
      <c r="H747" s="45"/>
      <c r="I747" s="45"/>
      <c r="J747" s="45"/>
      <c r="K747" s="45"/>
      <c r="L747" s="46"/>
      <c r="M747" s="46"/>
      <c r="N747" s="46"/>
      <c r="O747" s="46"/>
      <c r="P747" s="46"/>
      <c r="Q747" s="45"/>
      <c r="R747" s="45"/>
      <c r="S747" s="45"/>
      <c r="T747" s="45"/>
      <c r="U747" s="45"/>
      <c r="V747" s="45"/>
      <c r="W747" s="45"/>
    </row>
    <row r="748" spans="1:23" ht="11.25" customHeight="1">
      <c r="A748" s="48"/>
      <c r="B748" s="48"/>
      <c r="C748" s="45"/>
      <c r="D748" s="45"/>
      <c r="E748" s="45"/>
      <c r="F748" s="45"/>
      <c r="G748" s="45"/>
      <c r="H748" s="45"/>
      <c r="I748" s="45"/>
      <c r="J748" s="45"/>
      <c r="K748" s="45"/>
      <c r="L748" s="46"/>
      <c r="M748" s="46"/>
      <c r="N748" s="46"/>
      <c r="O748" s="46"/>
      <c r="P748" s="46"/>
      <c r="Q748" s="45"/>
      <c r="R748" s="45"/>
      <c r="S748" s="45"/>
      <c r="T748" s="45"/>
      <c r="U748" s="45"/>
      <c r="V748" s="45"/>
      <c r="W748" s="45"/>
    </row>
    <row r="749" spans="1:23" ht="11.25" customHeight="1">
      <c r="A749" s="48"/>
      <c r="B749" s="48"/>
      <c r="C749" s="45"/>
      <c r="D749" s="45"/>
      <c r="E749" s="45"/>
      <c r="F749" s="45"/>
      <c r="G749" s="45"/>
      <c r="H749" s="45"/>
      <c r="I749" s="45"/>
      <c r="J749" s="45"/>
      <c r="K749" s="45"/>
      <c r="L749" s="46"/>
      <c r="M749" s="46"/>
      <c r="N749" s="46"/>
      <c r="O749" s="46"/>
      <c r="P749" s="46"/>
      <c r="Q749" s="45"/>
      <c r="R749" s="45"/>
      <c r="S749" s="45"/>
      <c r="T749" s="45"/>
      <c r="U749" s="45"/>
      <c r="V749" s="45"/>
      <c r="W749" s="45"/>
    </row>
    <row r="750" spans="1:23" ht="11.25" customHeight="1">
      <c r="A750" s="48"/>
      <c r="B750" s="48"/>
      <c r="C750" s="45"/>
      <c r="D750" s="45"/>
      <c r="E750" s="45"/>
      <c r="F750" s="45"/>
      <c r="G750" s="45"/>
      <c r="H750" s="45"/>
      <c r="I750" s="45"/>
      <c r="J750" s="45"/>
      <c r="K750" s="45"/>
      <c r="L750" s="46"/>
      <c r="M750" s="46"/>
      <c r="N750" s="46"/>
      <c r="O750" s="46"/>
      <c r="P750" s="46"/>
      <c r="Q750" s="45"/>
      <c r="R750" s="45"/>
      <c r="S750" s="45"/>
      <c r="T750" s="45"/>
      <c r="U750" s="45"/>
      <c r="V750" s="45"/>
      <c r="W750" s="45"/>
    </row>
    <row r="751" spans="1:23" ht="11.25" customHeight="1">
      <c r="A751" s="48"/>
      <c r="B751" s="48"/>
      <c r="C751" s="45"/>
      <c r="D751" s="45"/>
      <c r="E751" s="45"/>
      <c r="F751" s="45"/>
      <c r="G751" s="45"/>
      <c r="H751" s="45"/>
      <c r="I751" s="45"/>
      <c r="J751" s="45"/>
      <c r="K751" s="45"/>
      <c r="L751" s="46"/>
      <c r="M751" s="46"/>
      <c r="N751" s="46"/>
      <c r="O751" s="46"/>
      <c r="P751" s="46"/>
      <c r="Q751" s="45"/>
      <c r="R751" s="45"/>
      <c r="S751" s="45"/>
      <c r="T751" s="45"/>
      <c r="U751" s="45"/>
      <c r="V751" s="45"/>
      <c r="W751" s="45"/>
    </row>
    <row r="752" spans="1:23" ht="11.25" customHeight="1">
      <c r="A752" s="48"/>
      <c r="B752" s="48"/>
      <c r="C752" s="45"/>
      <c r="D752" s="45"/>
      <c r="E752" s="45"/>
      <c r="F752" s="45"/>
      <c r="G752" s="45"/>
      <c r="H752" s="45"/>
      <c r="I752" s="45"/>
      <c r="J752" s="45"/>
      <c r="K752" s="45"/>
      <c r="L752" s="46"/>
      <c r="M752" s="46"/>
      <c r="N752" s="46"/>
      <c r="O752" s="46"/>
      <c r="P752" s="46"/>
      <c r="Q752" s="45"/>
      <c r="R752" s="45"/>
      <c r="S752" s="45"/>
      <c r="T752" s="45"/>
      <c r="U752" s="45"/>
      <c r="V752" s="45"/>
      <c r="W752" s="45"/>
    </row>
    <row r="753" spans="1:23" ht="11.25" customHeight="1">
      <c r="A753" s="48"/>
      <c r="B753" s="48"/>
      <c r="C753" s="45"/>
      <c r="D753" s="45"/>
      <c r="E753" s="45"/>
      <c r="F753" s="45"/>
      <c r="G753" s="45"/>
      <c r="H753" s="45"/>
      <c r="I753" s="45"/>
      <c r="J753" s="45"/>
      <c r="K753" s="45"/>
      <c r="L753" s="46"/>
      <c r="M753" s="46"/>
      <c r="N753" s="46"/>
      <c r="O753" s="46"/>
      <c r="P753" s="46"/>
      <c r="Q753" s="45"/>
      <c r="R753" s="45"/>
      <c r="S753" s="45"/>
      <c r="T753" s="45"/>
      <c r="U753" s="45"/>
      <c r="V753" s="45"/>
      <c r="W753" s="45"/>
    </row>
    <row r="754" spans="1:23" ht="11.25" customHeight="1">
      <c r="A754" s="48"/>
      <c r="B754" s="48"/>
      <c r="C754" s="45"/>
      <c r="D754" s="45"/>
      <c r="E754" s="45"/>
      <c r="F754" s="45"/>
      <c r="G754" s="45"/>
      <c r="H754" s="45"/>
      <c r="I754" s="45"/>
      <c r="J754" s="45"/>
      <c r="K754" s="45"/>
      <c r="L754" s="46"/>
      <c r="M754" s="46"/>
      <c r="N754" s="46"/>
      <c r="O754" s="46"/>
      <c r="P754" s="46"/>
      <c r="Q754" s="45"/>
      <c r="R754" s="45"/>
      <c r="S754" s="45"/>
      <c r="T754" s="45"/>
      <c r="U754" s="45"/>
      <c r="V754" s="45"/>
      <c r="W754" s="45"/>
    </row>
    <row r="755" spans="1:23" ht="11.25" customHeight="1">
      <c r="A755" s="48"/>
      <c r="B755" s="48"/>
      <c r="C755" s="45"/>
      <c r="D755" s="45"/>
      <c r="E755" s="45"/>
      <c r="F755" s="45"/>
      <c r="G755" s="45"/>
      <c r="H755" s="45"/>
      <c r="I755" s="45"/>
      <c r="J755" s="45"/>
      <c r="K755" s="45"/>
      <c r="L755" s="46"/>
      <c r="M755" s="46"/>
      <c r="N755" s="46"/>
      <c r="O755" s="46"/>
      <c r="P755" s="46"/>
      <c r="Q755" s="45"/>
      <c r="R755" s="45"/>
      <c r="S755" s="45"/>
      <c r="T755" s="45"/>
      <c r="U755" s="45"/>
      <c r="V755" s="45"/>
      <c r="W755" s="45"/>
    </row>
    <row r="756" spans="1:23" ht="11.25" customHeight="1">
      <c r="A756" s="48"/>
      <c r="B756" s="48"/>
      <c r="C756" s="45"/>
      <c r="D756" s="45"/>
      <c r="E756" s="45"/>
      <c r="F756" s="45"/>
      <c r="G756" s="45"/>
      <c r="H756" s="45"/>
      <c r="I756" s="45"/>
      <c r="J756" s="45"/>
      <c r="K756" s="45"/>
      <c r="L756" s="46"/>
      <c r="M756" s="46"/>
      <c r="N756" s="46"/>
      <c r="O756" s="46"/>
      <c r="P756" s="46"/>
      <c r="Q756" s="45"/>
      <c r="R756" s="45"/>
      <c r="S756" s="45"/>
      <c r="T756" s="45"/>
      <c r="U756" s="45"/>
      <c r="V756" s="45"/>
      <c r="W756" s="45"/>
    </row>
    <row r="757" spans="1:23" ht="11.25" customHeight="1">
      <c r="A757" s="48"/>
      <c r="B757" s="48"/>
      <c r="C757" s="45"/>
      <c r="D757" s="45"/>
      <c r="E757" s="45"/>
      <c r="F757" s="45"/>
      <c r="G757" s="45"/>
      <c r="H757" s="45"/>
      <c r="I757" s="45"/>
      <c r="J757" s="45"/>
      <c r="K757" s="45"/>
      <c r="L757" s="46"/>
      <c r="M757" s="46"/>
      <c r="N757" s="46"/>
      <c r="O757" s="46"/>
      <c r="P757" s="46"/>
      <c r="Q757" s="45"/>
      <c r="R757" s="45"/>
      <c r="S757" s="45"/>
      <c r="T757" s="45"/>
      <c r="U757" s="45"/>
      <c r="V757" s="45"/>
      <c r="W757" s="45"/>
    </row>
    <row r="758" spans="1:23" ht="11.25" customHeight="1">
      <c r="A758" s="48"/>
      <c r="B758" s="48"/>
      <c r="C758" s="45"/>
      <c r="D758" s="45"/>
      <c r="E758" s="45"/>
      <c r="F758" s="45"/>
      <c r="G758" s="45"/>
      <c r="H758" s="45"/>
      <c r="I758" s="45"/>
      <c r="J758" s="45"/>
      <c r="K758" s="45"/>
      <c r="L758" s="46"/>
      <c r="M758" s="46"/>
      <c r="N758" s="46"/>
      <c r="O758" s="46"/>
      <c r="P758" s="46"/>
      <c r="Q758" s="45"/>
      <c r="R758" s="45"/>
      <c r="S758" s="45"/>
      <c r="T758" s="45"/>
      <c r="U758" s="45"/>
      <c r="V758" s="45"/>
      <c r="W758" s="45"/>
    </row>
    <row r="759" spans="1:23" ht="11.25" customHeight="1">
      <c r="A759" s="48"/>
      <c r="B759" s="48"/>
      <c r="C759" s="45"/>
      <c r="D759" s="45"/>
      <c r="E759" s="45"/>
      <c r="F759" s="45"/>
      <c r="G759" s="45"/>
      <c r="H759" s="45"/>
      <c r="I759" s="45"/>
      <c r="J759" s="45"/>
      <c r="K759" s="45"/>
      <c r="L759" s="46"/>
      <c r="M759" s="46"/>
      <c r="N759" s="46"/>
      <c r="O759" s="46"/>
      <c r="P759" s="46"/>
      <c r="Q759" s="45"/>
      <c r="R759" s="45"/>
      <c r="S759" s="45"/>
      <c r="T759" s="45"/>
      <c r="U759" s="45"/>
      <c r="V759" s="45"/>
      <c r="W759" s="45"/>
    </row>
    <row r="760" spans="1:23" ht="11.25" customHeight="1">
      <c r="A760" s="48"/>
      <c r="B760" s="48"/>
      <c r="C760" s="45"/>
      <c r="D760" s="45"/>
      <c r="E760" s="45"/>
      <c r="F760" s="45"/>
      <c r="G760" s="45"/>
      <c r="H760" s="45"/>
      <c r="I760" s="45"/>
      <c r="J760" s="45"/>
      <c r="K760" s="45"/>
      <c r="L760" s="46"/>
      <c r="M760" s="46"/>
      <c r="N760" s="46"/>
      <c r="O760" s="46"/>
      <c r="P760" s="46"/>
      <c r="Q760" s="45"/>
      <c r="R760" s="45"/>
      <c r="S760" s="45"/>
      <c r="T760" s="45"/>
      <c r="U760" s="45"/>
      <c r="V760" s="45"/>
      <c r="W760" s="45"/>
    </row>
    <row r="761" spans="1:23" ht="11.25" customHeight="1">
      <c r="A761" s="48"/>
      <c r="B761" s="48"/>
      <c r="C761" s="45"/>
      <c r="D761" s="45"/>
      <c r="E761" s="45"/>
      <c r="F761" s="45"/>
      <c r="G761" s="45"/>
      <c r="H761" s="45"/>
      <c r="I761" s="45"/>
      <c r="J761" s="45"/>
      <c r="K761" s="45"/>
      <c r="L761" s="46"/>
      <c r="M761" s="46"/>
      <c r="N761" s="46"/>
      <c r="O761" s="46"/>
      <c r="P761" s="46"/>
      <c r="Q761" s="45"/>
      <c r="R761" s="45"/>
      <c r="S761" s="45"/>
      <c r="T761" s="45"/>
      <c r="U761" s="45"/>
      <c r="V761" s="45"/>
      <c r="W761" s="45"/>
    </row>
    <row r="762" spans="1:23" ht="11.25" customHeight="1">
      <c r="A762" s="48"/>
      <c r="B762" s="48"/>
      <c r="C762" s="45"/>
      <c r="D762" s="45"/>
      <c r="E762" s="45"/>
      <c r="F762" s="45"/>
      <c r="G762" s="45"/>
      <c r="H762" s="45"/>
      <c r="I762" s="45"/>
      <c r="J762" s="45"/>
      <c r="K762" s="45"/>
      <c r="L762" s="46"/>
      <c r="M762" s="46"/>
      <c r="N762" s="46"/>
      <c r="O762" s="46"/>
      <c r="P762" s="46"/>
      <c r="Q762" s="45"/>
      <c r="R762" s="45"/>
      <c r="S762" s="45"/>
      <c r="T762" s="45"/>
      <c r="U762" s="45"/>
      <c r="V762" s="45"/>
      <c r="W762" s="45"/>
    </row>
    <row r="763" spans="1:23" ht="11.25" customHeight="1">
      <c r="A763" s="48"/>
      <c r="B763" s="48"/>
      <c r="C763" s="45"/>
      <c r="D763" s="45"/>
      <c r="E763" s="45"/>
      <c r="F763" s="45"/>
      <c r="G763" s="45"/>
      <c r="H763" s="45"/>
      <c r="I763" s="45"/>
      <c r="J763" s="45"/>
      <c r="K763" s="45"/>
      <c r="L763" s="46"/>
      <c r="M763" s="46"/>
      <c r="N763" s="46"/>
      <c r="O763" s="46"/>
      <c r="P763" s="46"/>
      <c r="Q763" s="45"/>
      <c r="R763" s="45"/>
      <c r="S763" s="45"/>
      <c r="T763" s="45"/>
      <c r="U763" s="45"/>
      <c r="V763" s="45"/>
      <c r="W763" s="45"/>
    </row>
    <row r="764" spans="1:23" ht="11.25" customHeight="1">
      <c r="A764" s="48"/>
      <c r="B764" s="48"/>
      <c r="C764" s="45"/>
      <c r="D764" s="45"/>
      <c r="E764" s="45"/>
      <c r="F764" s="45"/>
      <c r="G764" s="45"/>
      <c r="H764" s="45"/>
      <c r="I764" s="45"/>
      <c r="J764" s="45"/>
      <c r="K764" s="45"/>
      <c r="L764" s="46"/>
      <c r="M764" s="46"/>
      <c r="N764" s="46"/>
      <c r="O764" s="46"/>
      <c r="P764" s="46"/>
      <c r="Q764" s="45"/>
      <c r="R764" s="45"/>
      <c r="S764" s="45"/>
      <c r="T764" s="45"/>
      <c r="U764" s="45"/>
      <c r="V764" s="45"/>
      <c r="W764" s="45"/>
    </row>
    <row r="765" spans="1:23" ht="11.25" customHeight="1">
      <c r="A765" s="48"/>
      <c r="B765" s="48"/>
      <c r="C765" s="45"/>
      <c r="D765" s="45"/>
      <c r="E765" s="45"/>
      <c r="F765" s="45"/>
      <c r="G765" s="45"/>
      <c r="H765" s="45"/>
      <c r="I765" s="45"/>
      <c r="J765" s="45"/>
      <c r="K765" s="45"/>
      <c r="L765" s="46"/>
      <c r="M765" s="46"/>
      <c r="N765" s="46"/>
      <c r="O765" s="46"/>
      <c r="P765" s="46"/>
      <c r="Q765" s="45"/>
      <c r="R765" s="45"/>
      <c r="S765" s="45"/>
      <c r="T765" s="45"/>
      <c r="U765" s="45"/>
      <c r="V765" s="45"/>
      <c r="W765" s="45"/>
    </row>
    <row r="766" spans="1:23" ht="11.25" customHeight="1">
      <c r="A766" s="48"/>
      <c r="B766" s="48"/>
      <c r="C766" s="45"/>
      <c r="D766" s="45"/>
      <c r="E766" s="45"/>
      <c r="F766" s="45"/>
      <c r="G766" s="45"/>
      <c r="H766" s="45"/>
      <c r="I766" s="45"/>
      <c r="J766" s="45"/>
      <c r="K766" s="45"/>
      <c r="L766" s="46"/>
      <c r="M766" s="46"/>
      <c r="N766" s="46"/>
      <c r="O766" s="46"/>
      <c r="P766" s="46"/>
      <c r="Q766" s="45"/>
      <c r="R766" s="45"/>
      <c r="S766" s="45"/>
      <c r="T766" s="45"/>
      <c r="U766" s="45"/>
      <c r="V766" s="45"/>
      <c r="W766" s="45"/>
    </row>
    <row r="767" spans="1:23" ht="11.25" customHeight="1">
      <c r="A767" s="48"/>
      <c r="B767" s="48"/>
      <c r="C767" s="45"/>
      <c r="D767" s="45"/>
      <c r="E767" s="45"/>
      <c r="F767" s="45"/>
      <c r="G767" s="45"/>
      <c r="H767" s="45"/>
      <c r="I767" s="45"/>
      <c r="J767" s="45"/>
      <c r="K767" s="45"/>
      <c r="L767" s="46"/>
      <c r="M767" s="46"/>
      <c r="N767" s="46"/>
      <c r="O767" s="46"/>
      <c r="P767" s="46"/>
      <c r="Q767" s="45"/>
      <c r="R767" s="45"/>
      <c r="S767" s="45"/>
      <c r="T767" s="45"/>
      <c r="U767" s="45"/>
      <c r="V767" s="45"/>
      <c r="W767" s="45"/>
    </row>
    <row r="768" spans="1:23" ht="11.25" customHeight="1">
      <c r="A768" s="48"/>
      <c r="B768" s="48"/>
      <c r="C768" s="45"/>
      <c r="D768" s="45"/>
      <c r="E768" s="45"/>
      <c r="F768" s="45"/>
      <c r="G768" s="45"/>
      <c r="H768" s="45"/>
      <c r="I768" s="45"/>
      <c r="J768" s="45"/>
      <c r="K768" s="45"/>
      <c r="L768" s="46"/>
      <c r="M768" s="46"/>
      <c r="N768" s="46"/>
      <c r="O768" s="46"/>
      <c r="P768" s="46"/>
      <c r="Q768" s="45"/>
      <c r="R768" s="45"/>
      <c r="S768" s="45"/>
      <c r="T768" s="45"/>
      <c r="U768" s="45"/>
      <c r="V768" s="45"/>
      <c r="W768" s="45"/>
    </row>
    <row r="769" spans="1:23" ht="11.25" customHeight="1">
      <c r="A769" s="48"/>
      <c r="B769" s="48"/>
      <c r="C769" s="45"/>
      <c r="D769" s="45"/>
      <c r="E769" s="45"/>
      <c r="F769" s="45"/>
      <c r="G769" s="45"/>
      <c r="H769" s="45"/>
      <c r="I769" s="45"/>
      <c r="J769" s="45"/>
      <c r="K769" s="45"/>
      <c r="L769" s="46"/>
      <c r="M769" s="46"/>
      <c r="N769" s="46"/>
      <c r="O769" s="46"/>
      <c r="P769" s="46"/>
      <c r="Q769" s="45"/>
      <c r="R769" s="45"/>
      <c r="S769" s="45"/>
      <c r="T769" s="45"/>
      <c r="U769" s="45"/>
      <c r="V769" s="45"/>
      <c r="W769" s="45"/>
    </row>
    <row r="770" spans="1:23" ht="11.25" customHeight="1">
      <c r="A770" s="48"/>
      <c r="B770" s="48"/>
      <c r="C770" s="45"/>
      <c r="D770" s="45"/>
      <c r="E770" s="45"/>
      <c r="F770" s="45"/>
      <c r="G770" s="45"/>
      <c r="H770" s="45"/>
      <c r="I770" s="45"/>
      <c r="J770" s="45"/>
      <c r="K770" s="45"/>
      <c r="L770" s="46"/>
      <c r="M770" s="46"/>
      <c r="N770" s="46"/>
      <c r="O770" s="46"/>
      <c r="P770" s="46"/>
      <c r="Q770" s="45"/>
      <c r="R770" s="45"/>
      <c r="S770" s="45"/>
      <c r="T770" s="45"/>
      <c r="U770" s="45"/>
      <c r="V770" s="45"/>
      <c r="W770" s="45"/>
    </row>
    <row r="771" spans="1:23" ht="11.25" customHeight="1">
      <c r="A771" s="48"/>
      <c r="B771" s="48"/>
      <c r="C771" s="45"/>
      <c r="D771" s="45"/>
      <c r="E771" s="45"/>
      <c r="F771" s="45"/>
      <c r="G771" s="45"/>
      <c r="H771" s="45"/>
      <c r="I771" s="45"/>
      <c r="J771" s="45"/>
      <c r="K771" s="45"/>
      <c r="L771" s="46"/>
      <c r="M771" s="46"/>
      <c r="N771" s="46"/>
      <c r="O771" s="46"/>
      <c r="P771" s="46"/>
      <c r="Q771" s="45"/>
      <c r="R771" s="45"/>
      <c r="S771" s="45"/>
      <c r="T771" s="45"/>
      <c r="U771" s="45"/>
      <c r="V771" s="45"/>
      <c r="W771" s="45"/>
    </row>
    <row r="772" spans="1:23" ht="11.25" customHeight="1">
      <c r="A772" s="48"/>
      <c r="B772" s="48"/>
      <c r="C772" s="45"/>
      <c r="D772" s="45"/>
      <c r="E772" s="45"/>
      <c r="F772" s="45"/>
      <c r="G772" s="45"/>
      <c r="H772" s="45"/>
      <c r="I772" s="45"/>
      <c r="J772" s="45"/>
      <c r="K772" s="45"/>
      <c r="L772" s="46"/>
      <c r="M772" s="46"/>
      <c r="N772" s="46"/>
      <c r="O772" s="46"/>
      <c r="P772" s="46"/>
      <c r="Q772" s="45"/>
      <c r="R772" s="45"/>
      <c r="S772" s="45"/>
      <c r="T772" s="45"/>
      <c r="U772" s="45"/>
      <c r="V772" s="45"/>
      <c r="W772" s="45"/>
    </row>
    <row r="773" spans="1:23" ht="11.25" customHeight="1">
      <c r="A773" s="48"/>
      <c r="B773" s="48"/>
      <c r="C773" s="45"/>
      <c r="D773" s="45"/>
      <c r="E773" s="45"/>
      <c r="F773" s="45"/>
      <c r="G773" s="45"/>
      <c r="H773" s="45"/>
      <c r="I773" s="45"/>
      <c r="J773" s="45"/>
      <c r="K773" s="45"/>
      <c r="L773" s="46"/>
      <c r="M773" s="46"/>
      <c r="N773" s="46"/>
      <c r="O773" s="46"/>
      <c r="P773" s="46"/>
      <c r="Q773" s="45"/>
      <c r="R773" s="45"/>
      <c r="S773" s="45"/>
      <c r="T773" s="45"/>
      <c r="U773" s="45"/>
      <c r="V773" s="45"/>
      <c r="W773" s="45"/>
    </row>
    <row r="774" spans="1:23" ht="11.25" customHeight="1">
      <c r="A774" s="48"/>
      <c r="B774" s="48"/>
      <c r="C774" s="45"/>
      <c r="D774" s="45"/>
      <c r="E774" s="45"/>
      <c r="F774" s="45"/>
      <c r="G774" s="45"/>
      <c r="H774" s="45"/>
      <c r="I774" s="45"/>
      <c r="J774" s="45"/>
      <c r="K774" s="45"/>
      <c r="L774" s="46"/>
      <c r="M774" s="46"/>
      <c r="N774" s="46"/>
      <c r="O774" s="46"/>
      <c r="P774" s="46"/>
      <c r="Q774" s="45"/>
      <c r="R774" s="45"/>
      <c r="S774" s="45"/>
      <c r="T774" s="45"/>
      <c r="U774" s="45"/>
      <c r="V774" s="45"/>
      <c r="W774" s="45"/>
    </row>
    <row r="775" spans="1:23" ht="11.25" customHeight="1">
      <c r="A775" s="48"/>
      <c r="B775" s="48"/>
      <c r="C775" s="45"/>
      <c r="D775" s="45"/>
      <c r="E775" s="45"/>
      <c r="F775" s="45"/>
      <c r="G775" s="45"/>
      <c r="H775" s="45"/>
      <c r="I775" s="45"/>
      <c r="J775" s="45"/>
      <c r="K775" s="45"/>
      <c r="L775" s="46"/>
      <c r="M775" s="46"/>
      <c r="N775" s="46"/>
      <c r="O775" s="46"/>
      <c r="P775" s="46"/>
      <c r="Q775" s="45"/>
      <c r="R775" s="45"/>
      <c r="S775" s="45"/>
      <c r="T775" s="45"/>
      <c r="U775" s="45"/>
      <c r="V775" s="45"/>
      <c r="W775" s="45"/>
    </row>
    <row r="776" spans="1:23" ht="11.25" customHeight="1">
      <c r="A776" s="48"/>
      <c r="B776" s="48"/>
      <c r="C776" s="45"/>
      <c r="D776" s="45"/>
      <c r="E776" s="45"/>
      <c r="F776" s="45"/>
      <c r="G776" s="45"/>
      <c r="H776" s="45"/>
      <c r="I776" s="45"/>
      <c r="J776" s="45"/>
      <c r="K776" s="45"/>
      <c r="L776" s="46"/>
      <c r="M776" s="46"/>
      <c r="N776" s="46"/>
      <c r="O776" s="46"/>
      <c r="P776" s="46"/>
      <c r="Q776" s="45"/>
      <c r="R776" s="45"/>
      <c r="S776" s="45"/>
      <c r="T776" s="45"/>
      <c r="U776" s="45"/>
      <c r="V776" s="45"/>
      <c r="W776" s="45"/>
    </row>
    <row r="777" spans="1:23" ht="11.25" customHeight="1">
      <c r="A777" s="48"/>
      <c r="B777" s="48"/>
      <c r="C777" s="45"/>
      <c r="D777" s="45"/>
      <c r="E777" s="45"/>
      <c r="F777" s="45"/>
      <c r="G777" s="45"/>
      <c r="H777" s="45"/>
      <c r="I777" s="45"/>
      <c r="J777" s="45"/>
      <c r="K777" s="45"/>
      <c r="L777" s="46"/>
      <c r="M777" s="46"/>
      <c r="N777" s="46"/>
      <c r="O777" s="46"/>
      <c r="P777" s="46"/>
      <c r="Q777" s="45"/>
      <c r="R777" s="45"/>
      <c r="S777" s="45"/>
      <c r="T777" s="45"/>
      <c r="U777" s="45"/>
      <c r="V777" s="45"/>
      <c r="W777" s="45"/>
    </row>
    <row r="778" spans="1:23" ht="11.25" customHeight="1">
      <c r="A778" s="48"/>
      <c r="B778" s="48"/>
      <c r="C778" s="45"/>
      <c r="D778" s="45"/>
      <c r="E778" s="45"/>
      <c r="F778" s="45"/>
      <c r="G778" s="45"/>
      <c r="H778" s="45"/>
      <c r="I778" s="45"/>
      <c r="J778" s="45"/>
      <c r="K778" s="45"/>
      <c r="L778" s="46"/>
      <c r="M778" s="46"/>
      <c r="N778" s="46"/>
      <c r="O778" s="46"/>
      <c r="P778" s="46"/>
      <c r="Q778" s="45"/>
      <c r="R778" s="45"/>
      <c r="S778" s="45"/>
      <c r="T778" s="45"/>
      <c r="U778" s="45"/>
      <c r="V778" s="45"/>
      <c r="W778" s="45"/>
    </row>
    <row r="779" spans="1:23" ht="11.25" customHeight="1">
      <c r="A779" s="48"/>
      <c r="B779" s="48"/>
      <c r="C779" s="45"/>
      <c r="D779" s="45"/>
      <c r="E779" s="45"/>
      <c r="F779" s="45"/>
      <c r="G779" s="45"/>
      <c r="H779" s="45"/>
      <c r="I779" s="45"/>
      <c r="J779" s="45"/>
      <c r="K779" s="45"/>
      <c r="L779" s="46"/>
      <c r="M779" s="46"/>
      <c r="N779" s="46"/>
      <c r="O779" s="46"/>
      <c r="P779" s="46"/>
      <c r="Q779" s="45"/>
      <c r="R779" s="45"/>
      <c r="S779" s="45"/>
      <c r="T779" s="45"/>
      <c r="U779" s="45"/>
      <c r="V779" s="45"/>
      <c r="W779" s="45"/>
    </row>
    <row r="780" spans="1:23" ht="11.25" customHeight="1">
      <c r="A780" s="48"/>
      <c r="B780" s="48"/>
      <c r="C780" s="45"/>
      <c r="D780" s="45"/>
      <c r="E780" s="45"/>
      <c r="F780" s="45"/>
      <c r="G780" s="45"/>
      <c r="H780" s="45"/>
      <c r="I780" s="45"/>
      <c r="J780" s="45"/>
      <c r="K780" s="45"/>
      <c r="L780" s="46"/>
      <c r="M780" s="46"/>
      <c r="N780" s="46"/>
      <c r="O780" s="46"/>
      <c r="P780" s="46"/>
      <c r="Q780" s="45"/>
      <c r="R780" s="45"/>
      <c r="S780" s="45"/>
      <c r="T780" s="45"/>
      <c r="U780" s="45"/>
      <c r="V780" s="45"/>
      <c r="W780" s="45"/>
    </row>
    <row r="781" spans="1:23" ht="11.25" customHeight="1">
      <c r="A781" s="48"/>
      <c r="B781" s="48"/>
      <c r="C781" s="45"/>
      <c r="D781" s="45"/>
      <c r="E781" s="45"/>
      <c r="F781" s="45"/>
      <c r="G781" s="45"/>
      <c r="H781" s="45"/>
      <c r="I781" s="45"/>
      <c r="J781" s="45"/>
      <c r="K781" s="45"/>
      <c r="L781" s="46"/>
      <c r="M781" s="46"/>
      <c r="N781" s="46"/>
      <c r="O781" s="46"/>
      <c r="P781" s="46"/>
      <c r="Q781" s="45"/>
      <c r="R781" s="45"/>
      <c r="S781" s="45"/>
      <c r="T781" s="45"/>
      <c r="U781" s="45"/>
      <c r="V781" s="45"/>
      <c r="W781" s="45"/>
    </row>
    <row r="782" spans="1:23" ht="11.25" customHeight="1">
      <c r="A782" s="48"/>
      <c r="B782" s="48"/>
      <c r="C782" s="45"/>
      <c r="D782" s="45"/>
      <c r="E782" s="45"/>
      <c r="F782" s="45"/>
      <c r="G782" s="45"/>
      <c r="H782" s="45"/>
      <c r="I782" s="45"/>
      <c r="J782" s="45"/>
      <c r="K782" s="45"/>
      <c r="L782" s="46"/>
      <c r="M782" s="46"/>
      <c r="N782" s="46"/>
      <c r="O782" s="46"/>
      <c r="P782" s="46"/>
      <c r="Q782" s="45"/>
      <c r="R782" s="45"/>
      <c r="S782" s="45"/>
      <c r="T782" s="45"/>
      <c r="U782" s="45"/>
      <c r="V782" s="45"/>
      <c r="W782" s="45"/>
    </row>
    <row r="783" spans="1:23" ht="11.25" customHeight="1">
      <c r="A783" s="48"/>
      <c r="B783" s="48"/>
      <c r="C783" s="45"/>
      <c r="D783" s="45"/>
      <c r="E783" s="45"/>
      <c r="F783" s="45"/>
      <c r="G783" s="45"/>
      <c r="H783" s="45"/>
      <c r="I783" s="45"/>
      <c r="J783" s="45"/>
      <c r="K783" s="45"/>
      <c r="L783" s="46"/>
      <c r="M783" s="46"/>
      <c r="N783" s="46"/>
      <c r="O783" s="46"/>
      <c r="P783" s="46"/>
      <c r="Q783" s="45"/>
      <c r="R783" s="45"/>
      <c r="S783" s="45"/>
      <c r="T783" s="45"/>
      <c r="U783" s="45"/>
      <c r="V783" s="45"/>
      <c r="W783" s="45"/>
    </row>
    <row r="784" spans="1:23" ht="11.25" customHeight="1">
      <c r="A784" s="48"/>
      <c r="B784" s="48"/>
      <c r="C784" s="45"/>
      <c r="D784" s="45"/>
      <c r="E784" s="45"/>
      <c r="F784" s="45"/>
      <c r="G784" s="45"/>
      <c r="H784" s="45"/>
      <c r="I784" s="45"/>
      <c r="J784" s="45"/>
      <c r="K784" s="45"/>
      <c r="L784" s="46"/>
      <c r="M784" s="46"/>
      <c r="N784" s="46"/>
      <c r="O784" s="46"/>
      <c r="P784" s="46"/>
      <c r="Q784" s="45"/>
      <c r="R784" s="45"/>
      <c r="S784" s="45"/>
      <c r="T784" s="45"/>
      <c r="U784" s="45"/>
      <c r="V784" s="45"/>
      <c r="W784" s="45"/>
    </row>
    <row r="785" spans="1:23" ht="11.25" customHeight="1">
      <c r="A785" s="48"/>
      <c r="B785" s="48"/>
      <c r="C785" s="45"/>
      <c r="D785" s="45"/>
      <c r="E785" s="45"/>
      <c r="F785" s="45"/>
      <c r="G785" s="45"/>
      <c r="H785" s="45"/>
      <c r="I785" s="45"/>
      <c r="J785" s="45"/>
      <c r="K785" s="45"/>
      <c r="L785" s="46"/>
      <c r="M785" s="46"/>
      <c r="N785" s="46"/>
      <c r="O785" s="46"/>
      <c r="P785" s="46"/>
      <c r="Q785" s="45"/>
      <c r="R785" s="45"/>
      <c r="S785" s="45"/>
      <c r="T785" s="45"/>
      <c r="U785" s="45"/>
      <c r="V785" s="45"/>
      <c r="W785" s="45"/>
    </row>
    <row r="786" spans="1:23" ht="11.25" customHeight="1">
      <c r="A786" s="48"/>
      <c r="B786" s="48"/>
      <c r="C786" s="45"/>
      <c r="D786" s="45"/>
      <c r="E786" s="45"/>
      <c r="F786" s="45"/>
      <c r="G786" s="45"/>
      <c r="H786" s="45"/>
      <c r="I786" s="45"/>
      <c r="J786" s="45"/>
      <c r="K786" s="45"/>
      <c r="L786" s="46"/>
      <c r="M786" s="46"/>
      <c r="N786" s="46"/>
      <c r="O786" s="46"/>
      <c r="P786" s="46"/>
      <c r="Q786" s="45"/>
      <c r="R786" s="45"/>
      <c r="S786" s="45"/>
      <c r="T786" s="45"/>
      <c r="U786" s="45"/>
      <c r="V786" s="45"/>
      <c r="W786" s="45"/>
    </row>
    <row r="787" spans="1:23" ht="11.25" customHeight="1">
      <c r="A787" s="48"/>
      <c r="B787" s="48"/>
      <c r="C787" s="45"/>
      <c r="D787" s="45"/>
      <c r="E787" s="45"/>
      <c r="F787" s="45"/>
      <c r="G787" s="45"/>
      <c r="H787" s="45"/>
      <c r="I787" s="45"/>
      <c r="J787" s="45"/>
      <c r="K787" s="45"/>
      <c r="L787" s="46"/>
      <c r="M787" s="46"/>
      <c r="N787" s="46"/>
      <c r="O787" s="46"/>
      <c r="P787" s="46"/>
      <c r="Q787" s="45"/>
      <c r="R787" s="45"/>
      <c r="S787" s="45"/>
      <c r="T787" s="45"/>
      <c r="U787" s="45"/>
      <c r="V787" s="45"/>
      <c r="W787" s="45"/>
    </row>
    <row r="788" spans="1:23" ht="11.25" customHeight="1">
      <c r="A788" s="48"/>
      <c r="B788" s="48"/>
      <c r="C788" s="45"/>
      <c r="D788" s="45"/>
      <c r="E788" s="45"/>
      <c r="F788" s="45"/>
      <c r="G788" s="45"/>
      <c r="H788" s="45"/>
      <c r="I788" s="45"/>
      <c r="J788" s="45"/>
      <c r="K788" s="45"/>
      <c r="L788" s="46"/>
      <c r="M788" s="46"/>
      <c r="N788" s="46"/>
      <c r="O788" s="46"/>
      <c r="P788" s="46"/>
      <c r="Q788" s="45"/>
      <c r="R788" s="45"/>
      <c r="S788" s="45"/>
      <c r="T788" s="45"/>
      <c r="U788" s="45"/>
      <c r="V788" s="45"/>
      <c r="W788" s="45"/>
    </row>
    <row r="789" spans="1:23" ht="11.25" customHeight="1">
      <c r="A789" s="48"/>
      <c r="B789" s="48"/>
      <c r="C789" s="45"/>
      <c r="D789" s="45"/>
      <c r="E789" s="45"/>
      <c r="F789" s="45"/>
      <c r="G789" s="45"/>
      <c r="H789" s="45"/>
      <c r="I789" s="45"/>
      <c r="J789" s="45"/>
      <c r="K789" s="45"/>
      <c r="L789" s="46"/>
      <c r="M789" s="46"/>
      <c r="N789" s="46"/>
      <c r="O789" s="46"/>
      <c r="P789" s="46"/>
      <c r="Q789" s="45"/>
      <c r="R789" s="45"/>
      <c r="S789" s="45"/>
      <c r="T789" s="45"/>
      <c r="U789" s="45"/>
      <c r="V789" s="45"/>
      <c r="W789" s="45"/>
    </row>
    <row r="790" spans="1:23" ht="11.25" customHeight="1">
      <c r="A790" s="48"/>
      <c r="B790" s="48"/>
      <c r="C790" s="45"/>
      <c r="D790" s="45"/>
      <c r="E790" s="45"/>
      <c r="F790" s="45"/>
      <c r="G790" s="45"/>
      <c r="H790" s="45"/>
      <c r="I790" s="45"/>
      <c r="J790" s="45"/>
      <c r="K790" s="45"/>
      <c r="L790" s="46"/>
      <c r="M790" s="46"/>
      <c r="N790" s="46"/>
      <c r="O790" s="46"/>
      <c r="P790" s="46"/>
      <c r="Q790" s="45"/>
      <c r="R790" s="45"/>
      <c r="S790" s="45"/>
      <c r="T790" s="45"/>
      <c r="U790" s="45"/>
      <c r="V790" s="45"/>
      <c r="W790" s="45"/>
    </row>
    <row r="791" spans="1:23" ht="11.25" customHeight="1">
      <c r="A791" s="48"/>
      <c r="B791" s="48"/>
      <c r="C791" s="45"/>
      <c r="D791" s="45"/>
      <c r="E791" s="45"/>
      <c r="F791" s="45"/>
      <c r="G791" s="45"/>
      <c r="H791" s="45"/>
      <c r="I791" s="45"/>
      <c r="J791" s="45"/>
      <c r="K791" s="45"/>
      <c r="L791" s="46"/>
      <c r="M791" s="46"/>
      <c r="N791" s="46"/>
      <c r="O791" s="46"/>
      <c r="P791" s="46"/>
      <c r="Q791" s="45"/>
      <c r="R791" s="45"/>
      <c r="S791" s="45"/>
      <c r="T791" s="45"/>
      <c r="U791" s="45"/>
      <c r="V791" s="45"/>
      <c r="W791" s="45"/>
    </row>
    <row r="792" spans="1:23" ht="11.25" customHeight="1">
      <c r="A792" s="48"/>
      <c r="B792" s="48"/>
      <c r="C792" s="45"/>
      <c r="D792" s="45"/>
      <c r="E792" s="45"/>
      <c r="F792" s="45"/>
      <c r="G792" s="45"/>
      <c r="H792" s="45"/>
      <c r="I792" s="45"/>
      <c r="J792" s="45"/>
      <c r="K792" s="45"/>
      <c r="L792" s="46"/>
      <c r="M792" s="46"/>
      <c r="N792" s="46"/>
      <c r="O792" s="46"/>
      <c r="P792" s="46"/>
      <c r="Q792" s="45"/>
      <c r="R792" s="45"/>
      <c r="S792" s="45"/>
      <c r="T792" s="45"/>
      <c r="U792" s="45"/>
      <c r="V792" s="45"/>
      <c r="W792" s="45"/>
    </row>
    <row r="793" spans="1:23" ht="11.25" customHeight="1">
      <c r="A793" s="48"/>
      <c r="B793" s="48"/>
      <c r="C793" s="45"/>
      <c r="D793" s="45"/>
      <c r="E793" s="45"/>
      <c r="F793" s="45"/>
      <c r="G793" s="45"/>
      <c r="H793" s="45"/>
      <c r="I793" s="45"/>
      <c r="J793" s="45"/>
      <c r="K793" s="45"/>
      <c r="L793" s="46"/>
      <c r="M793" s="46"/>
      <c r="N793" s="46"/>
      <c r="O793" s="46"/>
      <c r="P793" s="46"/>
      <c r="Q793" s="45"/>
      <c r="R793" s="45"/>
      <c r="S793" s="45"/>
      <c r="T793" s="45"/>
      <c r="U793" s="45"/>
      <c r="V793" s="45"/>
      <c r="W793" s="45"/>
    </row>
    <row r="794" spans="1:23" ht="11.25" customHeight="1">
      <c r="A794" s="48"/>
      <c r="B794" s="48"/>
      <c r="C794" s="45"/>
      <c r="D794" s="45"/>
      <c r="E794" s="45"/>
      <c r="F794" s="45"/>
      <c r="G794" s="45"/>
      <c r="H794" s="45"/>
      <c r="I794" s="45"/>
      <c r="J794" s="45"/>
      <c r="K794" s="45"/>
      <c r="L794" s="46"/>
      <c r="M794" s="46"/>
      <c r="N794" s="46"/>
      <c r="O794" s="46"/>
      <c r="P794" s="46"/>
      <c r="Q794" s="45"/>
      <c r="R794" s="45"/>
      <c r="S794" s="45"/>
      <c r="T794" s="45"/>
      <c r="U794" s="45"/>
      <c r="V794" s="45"/>
      <c r="W794" s="45"/>
    </row>
    <row r="795" spans="1:23" ht="11.25" customHeight="1">
      <c r="A795" s="48"/>
      <c r="B795" s="48"/>
      <c r="C795" s="45"/>
      <c r="D795" s="45"/>
      <c r="E795" s="45"/>
      <c r="F795" s="45"/>
      <c r="G795" s="45"/>
      <c r="H795" s="45"/>
      <c r="I795" s="45"/>
      <c r="J795" s="45"/>
      <c r="K795" s="45"/>
      <c r="L795" s="46"/>
      <c r="M795" s="46"/>
      <c r="N795" s="46"/>
      <c r="O795" s="46"/>
      <c r="P795" s="46"/>
      <c r="Q795" s="45"/>
      <c r="R795" s="45"/>
      <c r="S795" s="45"/>
      <c r="T795" s="45"/>
      <c r="U795" s="45"/>
      <c r="V795" s="45"/>
      <c r="W795" s="45"/>
    </row>
    <row r="796" spans="1:23" ht="11.25" customHeight="1">
      <c r="A796" s="48"/>
      <c r="B796" s="48"/>
      <c r="C796" s="45"/>
      <c r="D796" s="45"/>
      <c r="E796" s="45"/>
      <c r="F796" s="45"/>
      <c r="G796" s="45"/>
      <c r="H796" s="45"/>
      <c r="I796" s="45"/>
      <c r="J796" s="45"/>
      <c r="K796" s="45"/>
      <c r="L796" s="46"/>
      <c r="M796" s="46"/>
      <c r="N796" s="46"/>
      <c r="O796" s="46"/>
      <c r="P796" s="46"/>
      <c r="Q796" s="45"/>
      <c r="R796" s="45"/>
      <c r="S796" s="45"/>
      <c r="T796" s="45"/>
      <c r="U796" s="45"/>
      <c r="V796" s="45"/>
      <c r="W796" s="45"/>
    </row>
    <row r="797" spans="1:23" ht="11.25" customHeight="1">
      <c r="A797" s="48"/>
      <c r="B797" s="48"/>
      <c r="C797" s="45"/>
      <c r="D797" s="45"/>
      <c r="E797" s="45"/>
      <c r="F797" s="45"/>
      <c r="G797" s="45"/>
      <c r="H797" s="45"/>
      <c r="I797" s="45"/>
      <c r="J797" s="45"/>
      <c r="K797" s="45"/>
      <c r="L797" s="46"/>
      <c r="M797" s="46"/>
      <c r="N797" s="46"/>
      <c r="O797" s="46"/>
      <c r="P797" s="46"/>
      <c r="Q797" s="45"/>
      <c r="R797" s="45"/>
      <c r="S797" s="45"/>
      <c r="T797" s="45"/>
      <c r="U797" s="45"/>
      <c r="V797" s="45"/>
      <c r="W797" s="45"/>
    </row>
    <row r="798" spans="1:23" ht="11.25" customHeight="1">
      <c r="A798" s="48"/>
      <c r="B798" s="48"/>
      <c r="C798" s="45"/>
      <c r="D798" s="45"/>
      <c r="E798" s="45"/>
      <c r="F798" s="45"/>
      <c r="G798" s="45"/>
      <c r="H798" s="45"/>
      <c r="I798" s="45"/>
      <c r="J798" s="45"/>
      <c r="K798" s="45"/>
      <c r="L798" s="46"/>
      <c r="M798" s="46"/>
      <c r="N798" s="46"/>
      <c r="O798" s="46"/>
      <c r="P798" s="46"/>
      <c r="Q798" s="45"/>
      <c r="R798" s="45"/>
      <c r="S798" s="45"/>
      <c r="T798" s="45"/>
      <c r="U798" s="45"/>
      <c r="V798" s="45"/>
      <c r="W798" s="45"/>
    </row>
    <row r="799" spans="1:23" ht="11.25" customHeight="1">
      <c r="A799" s="48"/>
      <c r="B799" s="48"/>
      <c r="C799" s="45"/>
      <c r="D799" s="45"/>
      <c r="E799" s="45"/>
      <c r="F799" s="45"/>
      <c r="G799" s="45"/>
      <c r="H799" s="45"/>
      <c r="I799" s="45"/>
      <c r="J799" s="45"/>
      <c r="K799" s="45"/>
      <c r="L799" s="46"/>
      <c r="M799" s="46"/>
      <c r="N799" s="46"/>
      <c r="O799" s="46"/>
      <c r="P799" s="46"/>
      <c r="Q799" s="45"/>
      <c r="R799" s="45"/>
      <c r="S799" s="45"/>
      <c r="T799" s="45"/>
      <c r="U799" s="45"/>
      <c r="V799" s="45"/>
      <c r="W799" s="45"/>
    </row>
    <row r="800" spans="1:23" ht="11.25" customHeight="1">
      <c r="A800" s="48"/>
      <c r="B800" s="48"/>
      <c r="C800" s="45"/>
      <c r="D800" s="45"/>
      <c r="E800" s="45"/>
      <c r="F800" s="45"/>
      <c r="G800" s="45"/>
      <c r="H800" s="45"/>
      <c r="I800" s="45"/>
      <c r="J800" s="45"/>
      <c r="K800" s="45"/>
      <c r="L800" s="46"/>
      <c r="M800" s="46"/>
      <c r="N800" s="46"/>
      <c r="O800" s="46"/>
      <c r="P800" s="46"/>
      <c r="Q800" s="45"/>
      <c r="R800" s="45"/>
      <c r="S800" s="45"/>
      <c r="T800" s="45"/>
      <c r="U800" s="45"/>
      <c r="V800" s="45"/>
      <c r="W800" s="45"/>
    </row>
    <row r="801" spans="1:23" ht="11.25" customHeight="1">
      <c r="A801" s="48"/>
      <c r="B801" s="48"/>
      <c r="C801" s="45"/>
      <c r="D801" s="45"/>
      <c r="E801" s="45"/>
      <c r="F801" s="45"/>
      <c r="G801" s="45"/>
      <c r="H801" s="45"/>
      <c r="I801" s="45"/>
      <c r="J801" s="45"/>
      <c r="K801" s="45"/>
      <c r="L801" s="46"/>
      <c r="M801" s="46"/>
      <c r="N801" s="46"/>
      <c r="O801" s="46"/>
      <c r="P801" s="46"/>
      <c r="Q801" s="45"/>
      <c r="R801" s="45"/>
      <c r="S801" s="45"/>
      <c r="T801" s="45"/>
      <c r="U801" s="45"/>
      <c r="V801" s="45"/>
      <c r="W801" s="45"/>
    </row>
    <row r="802" spans="1:23" ht="11.25" customHeight="1">
      <c r="A802" s="48"/>
      <c r="B802" s="48"/>
      <c r="C802" s="45"/>
      <c r="D802" s="45"/>
      <c r="E802" s="45"/>
      <c r="F802" s="45"/>
      <c r="G802" s="45"/>
      <c r="H802" s="45"/>
      <c r="I802" s="45"/>
      <c r="J802" s="45"/>
      <c r="K802" s="45"/>
      <c r="L802" s="46"/>
      <c r="M802" s="46"/>
      <c r="N802" s="46"/>
      <c r="O802" s="46"/>
      <c r="P802" s="46"/>
      <c r="Q802" s="45"/>
      <c r="R802" s="45"/>
      <c r="S802" s="45"/>
      <c r="T802" s="45"/>
      <c r="U802" s="45"/>
      <c r="V802" s="45"/>
      <c r="W802" s="45"/>
    </row>
    <row r="803" spans="1:23" ht="11.25" customHeight="1">
      <c r="A803" s="48"/>
      <c r="B803" s="48"/>
      <c r="C803" s="45"/>
      <c r="D803" s="45"/>
      <c r="E803" s="45"/>
      <c r="F803" s="45"/>
      <c r="G803" s="45"/>
      <c r="H803" s="45"/>
      <c r="I803" s="45"/>
      <c r="J803" s="45"/>
      <c r="K803" s="45"/>
      <c r="L803" s="46"/>
      <c r="M803" s="46"/>
      <c r="N803" s="46"/>
      <c r="O803" s="46"/>
      <c r="P803" s="46"/>
      <c r="Q803" s="45"/>
      <c r="R803" s="45"/>
      <c r="S803" s="45"/>
      <c r="T803" s="45"/>
      <c r="U803" s="45"/>
      <c r="V803" s="45"/>
      <c r="W803" s="45"/>
    </row>
    <row r="804" spans="1:23" ht="11.25" customHeight="1">
      <c r="A804" s="48"/>
      <c r="B804" s="48"/>
      <c r="C804" s="45"/>
      <c r="D804" s="45"/>
      <c r="E804" s="45"/>
      <c r="F804" s="45"/>
      <c r="G804" s="45"/>
      <c r="H804" s="45"/>
      <c r="I804" s="45"/>
      <c r="J804" s="45"/>
      <c r="K804" s="45"/>
      <c r="L804" s="46"/>
      <c r="M804" s="46"/>
      <c r="N804" s="46"/>
      <c r="O804" s="46"/>
      <c r="P804" s="46"/>
      <c r="Q804" s="45"/>
      <c r="R804" s="45"/>
      <c r="S804" s="45"/>
      <c r="T804" s="45"/>
      <c r="U804" s="45"/>
      <c r="V804" s="45"/>
      <c r="W804" s="45"/>
    </row>
    <row r="805" spans="1:23" ht="11.25" customHeight="1">
      <c r="A805" s="48"/>
      <c r="B805" s="48"/>
      <c r="C805" s="45"/>
      <c r="D805" s="45"/>
      <c r="E805" s="45"/>
      <c r="F805" s="45"/>
      <c r="G805" s="45"/>
      <c r="H805" s="45"/>
      <c r="I805" s="45"/>
      <c r="J805" s="45"/>
      <c r="K805" s="45"/>
      <c r="L805" s="46"/>
      <c r="M805" s="46"/>
      <c r="N805" s="46"/>
      <c r="O805" s="46"/>
      <c r="P805" s="46"/>
      <c r="Q805" s="45"/>
      <c r="R805" s="45"/>
      <c r="S805" s="45"/>
      <c r="T805" s="45"/>
      <c r="U805" s="45"/>
      <c r="V805" s="45"/>
      <c r="W805" s="45"/>
    </row>
    <row r="806" spans="1:23" ht="11.25" customHeight="1">
      <c r="A806" s="48"/>
      <c r="B806" s="48"/>
      <c r="C806" s="45"/>
      <c r="D806" s="45"/>
      <c r="E806" s="45"/>
      <c r="F806" s="45"/>
      <c r="G806" s="45"/>
      <c r="H806" s="45"/>
      <c r="I806" s="45"/>
      <c r="J806" s="45"/>
      <c r="K806" s="45"/>
      <c r="L806" s="46"/>
      <c r="M806" s="46"/>
      <c r="N806" s="46"/>
      <c r="O806" s="46"/>
      <c r="P806" s="46"/>
      <c r="Q806" s="45"/>
      <c r="R806" s="45"/>
      <c r="S806" s="45"/>
      <c r="T806" s="45"/>
      <c r="U806" s="45"/>
      <c r="V806" s="45"/>
      <c r="W806" s="45"/>
    </row>
    <row r="807" spans="1:23" ht="11.25" customHeight="1">
      <c r="A807" s="48"/>
      <c r="B807" s="48"/>
      <c r="C807" s="45"/>
      <c r="D807" s="45"/>
      <c r="E807" s="45"/>
      <c r="F807" s="45"/>
      <c r="G807" s="45"/>
      <c r="H807" s="45"/>
      <c r="I807" s="45"/>
      <c r="J807" s="45"/>
      <c r="K807" s="45"/>
      <c r="L807" s="46"/>
      <c r="M807" s="46"/>
      <c r="N807" s="46"/>
      <c r="O807" s="46"/>
      <c r="P807" s="46"/>
      <c r="Q807" s="45"/>
      <c r="R807" s="45"/>
      <c r="S807" s="45"/>
      <c r="T807" s="45"/>
      <c r="U807" s="45"/>
      <c r="V807" s="45"/>
      <c r="W807" s="45"/>
    </row>
    <row r="808" spans="1:23" ht="11.25" customHeight="1">
      <c r="A808" s="48"/>
      <c r="B808" s="48"/>
      <c r="C808" s="45"/>
      <c r="D808" s="45"/>
      <c r="E808" s="45"/>
      <c r="F808" s="45"/>
      <c r="G808" s="45"/>
      <c r="H808" s="45"/>
      <c r="I808" s="45"/>
      <c r="J808" s="45"/>
      <c r="K808" s="45"/>
      <c r="L808" s="46"/>
      <c r="M808" s="46"/>
      <c r="N808" s="46"/>
      <c r="O808" s="46"/>
      <c r="P808" s="46"/>
      <c r="Q808" s="45"/>
      <c r="R808" s="45"/>
      <c r="S808" s="45"/>
      <c r="T808" s="45"/>
      <c r="U808" s="45"/>
      <c r="V808" s="45"/>
      <c r="W808" s="45"/>
    </row>
    <row r="809" spans="1:23" ht="11.25" customHeight="1">
      <c r="A809" s="48"/>
      <c r="B809" s="48"/>
      <c r="C809" s="45"/>
      <c r="D809" s="45"/>
      <c r="E809" s="45"/>
      <c r="F809" s="45"/>
      <c r="G809" s="45"/>
      <c r="H809" s="45"/>
      <c r="I809" s="45"/>
      <c r="J809" s="45"/>
      <c r="K809" s="45"/>
      <c r="L809" s="46"/>
      <c r="M809" s="46"/>
      <c r="N809" s="46"/>
      <c r="O809" s="46"/>
      <c r="P809" s="46"/>
      <c r="Q809" s="45"/>
      <c r="R809" s="45"/>
      <c r="S809" s="45"/>
      <c r="T809" s="45"/>
      <c r="U809" s="45"/>
      <c r="V809" s="45"/>
      <c r="W809" s="45"/>
    </row>
    <row r="810" spans="1:23" ht="11.25" customHeight="1">
      <c r="A810" s="48"/>
      <c r="B810" s="48"/>
      <c r="C810" s="45"/>
      <c r="D810" s="45"/>
      <c r="E810" s="45"/>
      <c r="F810" s="45"/>
      <c r="G810" s="45"/>
      <c r="H810" s="45"/>
      <c r="I810" s="45"/>
      <c r="J810" s="45"/>
      <c r="K810" s="45"/>
      <c r="L810" s="46"/>
      <c r="M810" s="46"/>
      <c r="N810" s="46"/>
      <c r="O810" s="46"/>
      <c r="P810" s="46"/>
      <c r="Q810" s="45"/>
      <c r="R810" s="45"/>
      <c r="S810" s="45"/>
      <c r="T810" s="45"/>
      <c r="U810" s="45"/>
      <c r="V810" s="45"/>
      <c r="W810" s="45"/>
    </row>
    <row r="811" spans="1:23" ht="11.25" customHeight="1">
      <c r="A811" s="48"/>
      <c r="B811" s="48"/>
      <c r="C811" s="45"/>
      <c r="D811" s="45"/>
      <c r="E811" s="45"/>
      <c r="F811" s="45"/>
      <c r="G811" s="45"/>
      <c r="H811" s="45"/>
      <c r="I811" s="45"/>
      <c r="J811" s="45"/>
      <c r="K811" s="45"/>
      <c r="L811" s="46"/>
      <c r="M811" s="46"/>
      <c r="N811" s="46"/>
      <c r="O811" s="46"/>
      <c r="P811" s="46"/>
      <c r="Q811" s="45"/>
      <c r="R811" s="45"/>
      <c r="S811" s="45"/>
      <c r="T811" s="45"/>
      <c r="U811" s="45"/>
      <c r="V811" s="45"/>
      <c r="W811" s="45"/>
    </row>
    <row r="812" spans="1:23" ht="11.25" customHeight="1">
      <c r="A812" s="48"/>
      <c r="B812" s="48"/>
      <c r="C812" s="45"/>
      <c r="D812" s="45"/>
      <c r="E812" s="45"/>
      <c r="F812" s="45"/>
      <c r="G812" s="45"/>
      <c r="H812" s="45"/>
      <c r="I812" s="45"/>
      <c r="J812" s="45"/>
      <c r="K812" s="45"/>
      <c r="L812" s="46"/>
      <c r="M812" s="46"/>
      <c r="N812" s="46"/>
      <c r="O812" s="46"/>
      <c r="P812" s="46"/>
      <c r="Q812" s="45"/>
      <c r="R812" s="45"/>
      <c r="S812" s="45"/>
      <c r="T812" s="45"/>
      <c r="U812" s="45"/>
      <c r="V812" s="45"/>
      <c r="W812" s="45"/>
    </row>
    <row r="813" spans="1:23" ht="11.25" customHeight="1">
      <c r="A813" s="48"/>
      <c r="B813" s="48"/>
      <c r="C813" s="45"/>
      <c r="D813" s="45"/>
      <c r="E813" s="45"/>
      <c r="F813" s="45"/>
      <c r="G813" s="45"/>
      <c r="H813" s="45"/>
      <c r="I813" s="45"/>
      <c r="J813" s="45"/>
      <c r="K813" s="45"/>
      <c r="L813" s="46"/>
      <c r="M813" s="46"/>
      <c r="N813" s="46"/>
      <c r="O813" s="46"/>
      <c r="P813" s="46"/>
      <c r="Q813" s="45"/>
      <c r="R813" s="45"/>
      <c r="S813" s="45"/>
      <c r="T813" s="45"/>
      <c r="U813" s="45"/>
      <c r="V813" s="45"/>
      <c r="W813" s="45"/>
    </row>
    <row r="814" spans="1:23" ht="11.25" customHeight="1">
      <c r="A814" s="48"/>
      <c r="B814" s="48"/>
      <c r="C814" s="45"/>
      <c r="D814" s="45"/>
      <c r="E814" s="45"/>
      <c r="F814" s="45"/>
      <c r="G814" s="45"/>
      <c r="H814" s="45"/>
      <c r="I814" s="45"/>
      <c r="J814" s="45"/>
      <c r="K814" s="45"/>
      <c r="L814" s="46"/>
      <c r="M814" s="46"/>
      <c r="N814" s="46"/>
      <c r="O814" s="46"/>
      <c r="P814" s="46"/>
      <c r="Q814" s="45"/>
      <c r="R814" s="45"/>
      <c r="S814" s="45"/>
      <c r="T814" s="45"/>
      <c r="U814" s="45"/>
      <c r="V814" s="45"/>
      <c r="W814" s="45"/>
    </row>
    <row r="815" spans="1:23" ht="11.25" customHeight="1">
      <c r="A815" s="48"/>
      <c r="B815" s="48"/>
      <c r="C815" s="45"/>
      <c r="D815" s="45"/>
      <c r="E815" s="45"/>
      <c r="F815" s="45"/>
      <c r="G815" s="45"/>
      <c r="H815" s="45"/>
      <c r="I815" s="45"/>
      <c r="J815" s="45"/>
      <c r="K815" s="45"/>
      <c r="L815" s="46"/>
      <c r="M815" s="46"/>
      <c r="N815" s="46"/>
      <c r="O815" s="46"/>
      <c r="P815" s="46"/>
      <c r="Q815" s="45"/>
      <c r="R815" s="45"/>
      <c r="S815" s="45"/>
      <c r="T815" s="45"/>
      <c r="U815" s="45"/>
      <c r="V815" s="45"/>
      <c r="W815" s="45"/>
    </row>
    <row r="816" spans="1:23" ht="11.25" customHeight="1">
      <c r="A816" s="48"/>
      <c r="B816" s="48"/>
      <c r="C816" s="45"/>
      <c r="D816" s="45"/>
      <c r="E816" s="45"/>
      <c r="F816" s="45"/>
      <c r="G816" s="45"/>
      <c r="H816" s="45"/>
      <c r="I816" s="45"/>
      <c r="J816" s="45"/>
      <c r="K816" s="45"/>
      <c r="L816" s="46"/>
      <c r="M816" s="46"/>
      <c r="N816" s="46"/>
      <c r="O816" s="46"/>
      <c r="P816" s="46"/>
      <c r="Q816" s="45"/>
      <c r="R816" s="45"/>
      <c r="S816" s="45"/>
      <c r="T816" s="45"/>
      <c r="U816" s="45"/>
      <c r="V816" s="45"/>
      <c r="W816" s="45"/>
    </row>
    <row r="817" spans="1:23" ht="11.25" customHeight="1">
      <c r="A817" s="48"/>
      <c r="B817" s="48"/>
      <c r="C817" s="45"/>
      <c r="D817" s="45"/>
      <c r="E817" s="45"/>
      <c r="F817" s="45"/>
      <c r="G817" s="45"/>
      <c r="H817" s="45"/>
      <c r="I817" s="45"/>
      <c r="J817" s="45"/>
      <c r="K817" s="45"/>
      <c r="L817" s="46"/>
      <c r="M817" s="46"/>
      <c r="N817" s="46"/>
      <c r="O817" s="46"/>
      <c r="P817" s="46"/>
      <c r="Q817" s="45"/>
      <c r="R817" s="45"/>
      <c r="S817" s="45"/>
      <c r="T817" s="45"/>
      <c r="U817" s="45"/>
      <c r="V817" s="45"/>
      <c r="W817" s="45"/>
    </row>
    <row r="818" spans="1:23" ht="11.25" customHeight="1">
      <c r="A818" s="48"/>
      <c r="B818" s="48"/>
      <c r="C818" s="45"/>
      <c r="D818" s="45"/>
      <c r="E818" s="45"/>
      <c r="F818" s="45"/>
      <c r="G818" s="45"/>
      <c r="H818" s="45"/>
      <c r="I818" s="45"/>
      <c r="J818" s="45"/>
      <c r="K818" s="45"/>
      <c r="L818" s="46"/>
      <c r="M818" s="46"/>
      <c r="N818" s="46"/>
      <c r="O818" s="46"/>
      <c r="P818" s="46"/>
      <c r="Q818" s="45"/>
      <c r="R818" s="45"/>
      <c r="S818" s="45"/>
      <c r="T818" s="45"/>
      <c r="U818" s="45"/>
      <c r="V818" s="45"/>
      <c r="W818" s="45"/>
    </row>
    <row r="819" spans="1:23" ht="11.25" customHeight="1">
      <c r="A819" s="48"/>
      <c r="B819" s="48"/>
      <c r="C819" s="45"/>
      <c r="D819" s="45"/>
      <c r="E819" s="45"/>
      <c r="F819" s="45"/>
      <c r="G819" s="45"/>
      <c r="H819" s="45"/>
      <c r="I819" s="45"/>
      <c r="J819" s="45"/>
      <c r="K819" s="45"/>
      <c r="L819" s="46"/>
      <c r="M819" s="46"/>
      <c r="N819" s="46"/>
      <c r="O819" s="46"/>
      <c r="P819" s="46"/>
      <c r="Q819" s="45"/>
      <c r="R819" s="45"/>
      <c r="S819" s="45"/>
      <c r="T819" s="45"/>
      <c r="U819" s="45"/>
      <c r="V819" s="45"/>
      <c r="W819" s="45"/>
    </row>
    <row r="820" spans="1:23" ht="11.25" customHeight="1">
      <c r="A820" s="48"/>
      <c r="B820" s="48"/>
      <c r="C820" s="45"/>
      <c r="D820" s="45"/>
      <c r="E820" s="45"/>
      <c r="F820" s="45"/>
      <c r="G820" s="45"/>
      <c r="H820" s="45"/>
      <c r="I820" s="45"/>
      <c r="J820" s="45"/>
      <c r="K820" s="45"/>
      <c r="L820" s="46"/>
      <c r="M820" s="46"/>
      <c r="N820" s="46"/>
      <c r="O820" s="46"/>
      <c r="P820" s="46"/>
      <c r="Q820" s="45"/>
      <c r="R820" s="45"/>
      <c r="S820" s="45"/>
      <c r="T820" s="45"/>
      <c r="U820" s="45"/>
      <c r="V820" s="45"/>
      <c r="W820" s="45"/>
    </row>
    <row r="821" spans="1:23" ht="11.25" customHeight="1">
      <c r="A821" s="48"/>
      <c r="B821" s="48"/>
      <c r="C821" s="45"/>
      <c r="D821" s="45"/>
      <c r="E821" s="45"/>
      <c r="F821" s="45"/>
      <c r="G821" s="45"/>
      <c r="H821" s="45"/>
      <c r="I821" s="45"/>
      <c r="J821" s="45"/>
      <c r="K821" s="45"/>
      <c r="L821" s="46"/>
      <c r="M821" s="46"/>
      <c r="N821" s="46"/>
      <c r="O821" s="46"/>
      <c r="P821" s="46"/>
      <c r="Q821" s="45"/>
      <c r="R821" s="45"/>
      <c r="S821" s="45"/>
      <c r="T821" s="45"/>
      <c r="U821" s="45"/>
      <c r="V821" s="45"/>
      <c r="W821" s="45"/>
    </row>
    <row r="822" spans="1:23" ht="11.25" customHeight="1">
      <c r="A822" s="48"/>
      <c r="B822" s="48"/>
      <c r="C822" s="45"/>
      <c r="D822" s="45"/>
      <c r="E822" s="45"/>
      <c r="F822" s="45"/>
      <c r="G822" s="45"/>
      <c r="H822" s="45"/>
      <c r="I822" s="45"/>
      <c r="J822" s="45"/>
      <c r="K822" s="45"/>
      <c r="L822" s="46"/>
      <c r="M822" s="46"/>
      <c r="N822" s="46"/>
      <c r="O822" s="46"/>
      <c r="P822" s="46"/>
      <c r="Q822" s="45"/>
      <c r="R822" s="45"/>
      <c r="S822" s="45"/>
      <c r="T822" s="45"/>
      <c r="U822" s="45"/>
      <c r="V822" s="45"/>
      <c r="W822" s="45"/>
    </row>
    <row r="823" spans="1:23" ht="11.25" customHeight="1">
      <c r="A823" s="48"/>
      <c r="B823" s="48"/>
      <c r="C823" s="45"/>
      <c r="D823" s="45"/>
      <c r="E823" s="45"/>
      <c r="F823" s="45"/>
      <c r="G823" s="45"/>
      <c r="H823" s="45"/>
      <c r="I823" s="45"/>
      <c r="J823" s="45"/>
      <c r="K823" s="45"/>
      <c r="L823" s="46"/>
      <c r="M823" s="46"/>
      <c r="N823" s="46"/>
      <c r="O823" s="46"/>
      <c r="P823" s="46"/>
      <c r="Q823" s="45"/>
      <c r="R823" s="45"/>
      <c r="S823" s="45"/>
      <c r="T823" s="45"/>
      <c r="U823" s="45"/>
      <c r="V823" s="45"/>
      <c r="W823" s="45"/>
    </row>
    <row r="824" spans="1:23" ht="11.25" customHeight="1">
      <c r="A824" s="48"/>
      <c r="B824" s="48"/>
      <c r="C824" s="45"/>
      <c r="D824" s="45"/>
      <c r="E824" s="45"/>
      <c r="F824" s="45"/>
      <c r="G824" s="45"/>
      <c r="H824" s="45"/>
      <c r="I824" s="45"/>
      <c r="J824" s="45"/>
      <c r="K824" s="45"/>
      <c r="L824" s="46"/>
      <c r="M824" s="46"/>
      <c r="N824" s="46"/>
      <c r="O824" s="46"/>
      <c r="P824" s="46"/>
      <c r="Q824" s="45"/>
      <c r="R824" s="45"/>
      <c r="S824" s="45"/>
      <c r="T824" s="45"/>
      <c r="U824" s="45"/>
      <c r="V824" s="45"/>
      <c r="W824" s="45"/>
    </row>
    <row r="825" spans="1:23" ht="11.25" customHeight="1">
      <c r="A825" s="48"/>
      <c r="B825" s="48"/>
      <c r="C825" s="45"/>
      <c r="D825" s="45"/>
      <c r="E825" s="45"/>
      <c r="F825" s="45"/>
      <c r="G825" s="45"/>
      <c r="H825" s="45"/>
      <c r="I825" s="45"/>
      <c r="J825" s="45"/>
      <c r="K825" s="45"/>
      <c r="L825" s="46"/>
      <c r="M825" s="46"/>
      <c r="N825" s="46"/>
      <c r="O825" s="46"/>
      <c r="P825" s="46"/>
      <c r="Q825" s="45"/>
      <c r="R825" s="45"/>
      <c r="S825" s="45"/>
      <c r="T825" s="45"/>
      <c r="U825" s="45"/>
      <c r="V825" s="45"/>
      <c r="W825" s="45"/>
    </row>
    <row r="826" spans="1:23" ht="11.25" customHeight="1">
      <c r="A826" s="48"/>
      <c r="B826" s="48"/>
      <c r="C826" s="45"/>
      <c r="D826" s="45"/>
      <c r="E826" s="45"/>
      <c r="F826" s="45"/>
      <c r="G826" s="45"/>
      <c r="H826" s="45"/>
      <c r="I826" s="45"/>
      <c r="J826" s="45"/>
      <c r="K826" s="45"/>
      <c r="L826" s="46"/>
      <c r="M826" s="46"/>
      <c r="N826" s="46"/>
      <c r="O826" s="46"/>
      <c r="P826" s="46"/>
      <c r="Q826" s="45"/>
      <c r="R826" s="45"/>
      <c r="S826" s="45"/>
      <c r="T826" s="45"/>
      <c r="U826" s="45"/>
      <c r="V826" s="45"/>
      <c r="W826" s="45"/>
    </row>
    <row r="827" spans="1:23" ht="11.25" customHeight="1">
      <c r="A827" s="48"/>
      <c r="B827" s="48"/>
      <c r="C827" s="45"/>
      <c r="D827" s="45"/>
      <c r="E827" s="45"/>
      <c r="F827" s="45"/>
      <c r="G827" s="45"/>
      <c r="H827" s="45"/>
      <c r="I827" s="45"/>
      <c r="J827" s="45"/>
      <c r="K827" s="45"/>
      <c r="L827" s="46"/>
      <c r="M827" s="46"/>
      <c r="N827" s="46"/>
      <c r="O827" s="46"/>
      <c r="P827" s="46"/>
      <c r="Q827" s="45"/>
      <c r="R827" s="45"/>
      <c r="S827" s="45"/>
      <c r="T827" s="45"/>
      <c r="U827" s="45"/>
      <c r="V827" s="45"/>
      <c r="W827" s="45"/>
    </row>
    <row r="828" spans="1:23" ht="11.25" customHeight="1">
      <c r="A828" s="48"/>
      <c r="B828" s="48"/>
      <c r="C828" s="45"/>
      <c r="D828" s="45"/>
      <c r="E828" s="45"/>
      <c r="F828" s="45"/>
      <c r="G828" s="45"/>
      <c r="H828" s="45"/>
      <c r="I828" s="45"/>
      <c r="J828" s="45"/>
      <c r="K828" s="45"/>
      <c r="L828" s="46"/>
      <c r="M828" s="46"/>
      <c r="N828" s="46"/>
      <c r="O828" s="46"/>
      <c r="P828" s="46"/>
      <c r="Q828" s="45"/>
      <c r="R828" s="45"/>
      <c r="S828" s="45"/>
      <c r="T828" s="45"/>
      <c r="U828" s="45"/>
      <c r="V828" s="45"/>
      <c r="W828" s="45"/>
    </row>
    <row r="829" spans="1:23" ht="11.25" customHeight="1">
      <c r="A829" s="48"/>
      <c r="B829" s="48"/>
      <c r="C829" s="45"/>
      <c r="D829" s="45"/>
      <c r="E829" s="45"/>
      <c r="F829" s="45"/>
      <c r="G829" s="45"/>
      <c r="H829" s="45"/>
      <c r="I829" s="45"/>
      <c r="J829" s="45"/>
      <c r="K829" s="45"/>
      <c r="L829" s="46"/>
      <c r="M829" s="46"/>
      <c r="N829" s="46"/>
      <c r="O829" s="46"/>
      <c r="P829" s="46"/>
      <c r="Q829" s="45"/>
      <c r="R829" s="45"/>
      <c r="S829" s="45"/>
      <c r="T829" s="45"/>
      <c r="U829" s="45"/>
      <c r="V829" s="45"/>
      <c r="W829" s="45"/>
    </row>
    <row r="830" spans="1:23" ht="11.25" customHeight="1">
      <c r="A830" s="48"/>
      <c r="B830" s="48"/>
      <c r="C830" s="45"/>
      <c r="D830" s="45"/>
      <c r="E830" s="45"/>
      <c r="F830" s="45"/>
      <c r="G830" s="45"/>
      <c r="H830" s="45"/>
      <c r="I830" s="45"/>
      <c r="J830" s="45"/>
      <c r="K830" s="45"/>
      <c r="L830" s="46"/>
      <c r="M830" s="46"/>
      <c r="N830" s="46"/>
      <c r="O830" s="46"/>
      <c r="P830" s="46"/>
      <c r="Q830" s="45"/>
      <c r="R830" s="45"/>
      <c r="S830" s="45"/>
      <c r="T830" s="45"/>
      <c r="U830" s="45"/>
      <c r="V830" s="45"/>
      <c r="W830" s="45"/>
    </row>
    <row r="831" spans="1:23" ht="11.25" customHeight="1">
      <c r="A831" s="48"/>
      <c r="B831" s="48"/>
      <c r="C831" s="45"/>
      <c r="D831" s="45"/>
      <c r="E831" s="45"/>
      <c r="F831" s="45"/>
      <c r="G831" s="45"/>
      <c r="H831" s="45"/>
      <c r="I831" s="45"/>
      <c r="J831" s="45"/>
      <c r="K831" s="45"/>
      <c r="L831" s="46"/>
      <c r="M831" s="46"/>
      <c r="N831" s="46"/>
      <c r="O831" s="46"/>
      <c r="P831" s="46"/>
      <c r="Q831" s="45"/>
      <c r="R831" s="45"/>
      <c r="S831" s="45"/>
      <c r="T831" s="45"/>
      <c r="U831" s="45"/>
      <c r="V831" s="45"/>
      <c r="W831" s="45"/>
    </row>
    <row r="832" spans="1:23" ht="11.25" customHeight="1">
      <c r="A832" s="48"/>
      <c r="B832" s="48"/>
      <c r="C832" s="45"/>
      <c r="D832" s="45"/>
      <c r="E832" s="45"/>
      <c r="F832" s="45"/>
      <c r="G832" s="45"/>
      <c r="H832" s="45"/>
      <c r="I832" s="45"/>
      <c r="J832" s="45"/>
      <c r="K832" s="45"/>
      <c r="L832" s="46"/>
      <c r="M832" s="46"/>
      <c r="N832" s="46"/>
      <c r="O832" s="46"/>
      <c r="P832" s="46"/>
      <c r="Q832" s="45"/>
      <c r="R832" s="45"/>
      <c r="S832" s="45"/>
      <c r="T832" s="45"/>
      <c r="U832" s="45"/>
      <c r="V832" s="45"/>
      <c r="W832" s="45"/>
    </row>
    <row r="833" spans="1:23" ht="11.25" customHeight="1">
      <c r="A833" s="48"/>
      <c r="B833" s="48"/>
      <c r="C833" s="45"/>
      <c r="D833" s="45"/>
      <c r="E833" s="45"/>
      <c r="F833" s="45"/>
      <c r="G833" s="45"/>
      <c r="H833" s="45"/>
      <c r="I833" s="45"/>
      <c r="J833" s="45"/>
      <c r="K833" s="45"/>
      <c r="L833" s="46"/>
      <c r="M833" s="46"/>
      <c r="N833" s="46"/>
      <c r="O833" s="46"/>
      <c r="P833" s="46"/>
      <c r="Q833" s="45"/>
      <c r="R833" s="45"/>
      <c r="S833" s="45"/>
      <c r="T833" s="45"/>
      <c r="U833" s="45"/>
      <c r="V833" s="45"/>
      <c r="W833" s="45"/>
    </row>
    <row r="834" spans="1:23" ht="11.25" customHeight="1">
      <c r="A834" s="48"/>
      <c r="B834" s="48"/>
      <c r="C834" s="45"/>
      <c r="D834" s="45"/>
      <c r="E834" s="45"/>
      <c r="F834" s="45"/>
      <c r="G834" s="45"/>
      <c r="H834" s="45"/>
      <c r="I834" s="45"/>
      <c r="J834" s="45"/>
      <c r="K834" s="45"/>
      <c r="L834" s="46"/>
      <c r="M834" s="46"/>
      <c r="N834" s="46"/>
      <c r="O834" s="46"/>
      <c r="P834" s="46"/>
      <c r="Q834" s="45"/>
      <c r="R834" s="45"/>
      <c r="S834" s="45"/>
      <c r="T834" s="45"/>
      <c r="U834" s="45"/>
      <c r="V834" s="45"/>
      <c r="W834" s="45"/>
    </row>
    <row r="835" spans="1:23" ht="11.25" customHeight="1">
      <c r="A835" s="48"/>
      <c r="B835" s="48"/>
      <c r="C835" s="45"/>
      <c r="D835" s="45"/>
      <c r="E835" s="45"/>
      <c r="F835" s="45"/>
      <c r="G835" s="45"/>
      <c r="H835" s="45"/>
      <c r="I835" s="45"/>
      <c r="J835" s="45"/>
      <c r="K835" s="45"/>
      <c r="L835" s="46"/>
      <c r="M835" s="46"/>
      <c r="N835" s="46"/>
      <c r="O835" s="46"/>
      <c r="P835" s="46"/>
      <c r="Q835" s="45"/>
      <c r="R835" s="45"/>
      <c r="S835" s="45"/>
      <c r="T835" s="45"/>
      <c r="U835" s="45"/>
      <c r="V835" s="45"/>
      <c r="W835" s="45"/>
    </row>
    <row r="836" spans="1:23" ht="11.25" customHeight="1">
      <c r="A836" s="48"/>
      <c r="B836" s="48"/>
      <c r="C836" s="45"/>
      <c r="D836" s="45"/>
      <c r="E836" s="45"/>
      <c r="F836" s="45"/>
      <c r="G836" s="45"/>
      <c r="H836" s="45"/>
      <c r="I836" s="45"/>
      <c r="J836" s="45"/>
      <c r="K836" s="45"/>
      <c r="L836" s="46"/>
      <c r="M836" s="46"/>
      <c r="N836" s="46"/>
      <c r="O836" s="46"/>
      <c r="P836" s="46"/>
      <c r="Q836" s="45"/>
      <c r="R836" s="45"/>
      <c r="S836" s="45"/>
      <c r="T836" s="45"/>
      <c r="U836" s="45"/>
      <c r="V836" s="45"/>
      <c r="W836" s="45"/>
    </row>
    <row r="837" spans="1:23" ht="11.25" customHeight="1">
      <c r="A837" s="48"/>
      <c r="B837" s="48"/>
      <c r="C837" s="45"/>
      <c r="D837" s="45"/>
      <c r="E837" s="45"/>
      <c r="F837" s="45"/>
      <c r="G837" s="45"/>
      <c r="H837" s="45"/>
      <c r="I837" s="45"/>
      <c r="J837" s="45"/>
      <c r="K837" s="45"/>
      <c r="L837" s="46"/>
      <c r="M837" s="46"/>
      <c r="N837" s="46"/>
      <c r="O837" s="46"/>
      <c r="P837" s="46"/>
      <c r="Q837" s="45"/>
      <c r="R837" s="45"/>
      <c r="S837" s="45"/>
      <c r="T837" s="45"/>
      <c r="U837" s="45"/>
      <c r="V837" s="45"/>
      <c r="W837" s="45"/>
    </row>
    <row r="838" spans="1:23" ht="11.25" customHeight="1">
      <c r="A838" s="48"/>
      <c r="B838" s="48"/>
      <c r="C838" s="45"/>
      <c r="D838" s="45"/>
      <c r="E838" s="45"/>
      <c r="F838" s="45"/>
      <c r="G838" s="45"/>
      <c r="H838" s="45"/>
      <c r="I838" s="45"/>
      <c r="J838" s="45"/>
      <c r="K838" s="45"/>
      <c r="L838" s="46"/>
      <c r="M838" s="46"/>
      <c r="N838" s="46"/>
      <c r="O838" s="46"/>
      <c r="P838" s="46"/>
      <c r="Q838" s="45"/>
      <c r="R838" s="45"/>
      <c r="S838" s="45"/>
      <c r="T838" s="45"/>
      <c r="U838" s="45"/>
      <c r="V838" s="45"/>
      <c r="W838" s="45"/>
    </row>
    <row r="839" spans="1:23" ht="11.25" customHeight="1">
      <c r="A839" s="48"/>
      <c r="B839" s="48"/>
      <c r="C839" s="45"/>
      <c r="D839" s="45"/>
      <c r="E839" s="45"/>
      <c r="F839" s="45"/>
      <c r="G839" s="45"/>
      <c r="H839" s="45"/>
      <c r="I839" s="45"/>
      <c r="J839" s="45"/>
      <c r="K839" s="45"/>
      <c r="L839" s="46"/>
      <c r="M839" s="46"/>
      <c r="N839" s="46"/>
      <c r="O839" s="46"/>
      <c r="P839" s="46"/>
      <c r="Q839" s="45"/>
      <c r="R839" s="45"/>
      <c r="S839" s="45"/>
      <c r="T839" s="45"/>
      <c r="U839" s="45"/>
      <c r="V839" s="45"/>
      <c r="W839" s="45"/>
    </row>
    <row r="840" spans="1:23" ht="11.25" customHeight="1">
      <c r="A840" s="48"/>
      <c r="B840" s="48"/>
      <c r="C840" s="45"/>
      <c r="D840" s="45"/>
      <c r="E840" s="45"/>
      <c r="F840" s="45"/>
      <c r="G840" s="45"/>
      <c r="H840" s="45"/>
      <c r="I840" s="45"/>
      <c r="J840" s="45"/>
      <c r="K840" s="45"/>
      <c r="L840" s="46"/>
      <c r="M840" s="46"/>
      <c r="N840" s="46"/>
      <c r="O840" s="46"/>
      <c r="P840" s="46"/>
      <c r="Q840" s="45"/>
      <c r="R840" s="45"/>
      <c r="S840" s="45"/>
      <c r="T840" s="45"/>
      <c r="U840" s="45"/>
      <c r="V840" s="45"/>
      <c r="W840" s="45"/>
    </row>
    <row r="841" spans="1:23" ht="11.25" customHeight="1">
      <c r="A841" s="48"/>
      <c r="B841" s="48"/>
      <c r="C841" s="45"/>
      <c r="D841" s="45"/>
      <c r="E841" s="45"/>
      <c r="F841" s="45"/>
      <c r="G841" s="45"/>
      <c r="H841" s="45"/>
      <c r="I841" s="45"/>
      <c r="J841" s="45"/>
      <c r="K841" s="45"/>
      <c r="L841" s="46"/>
      <c r="M841" s="46"/>
      <c r="N841" s="46"/>
      <c r="O841" s="46"/>
      <c r="P841" s="46"/>
      <c r="Q841" s="45"/>
      <c r="R841" s="45"/>
      <c r="S841" s="45"/>
      <c r="T841" s="45"/>
      <c r="U841" s="45"/>
      <c r="V841" s="45"/>
      <c r="W841" s="45"/>
    </row>
    <row r="842" spans="1:23" ht="11.25" customHeight="1">
      <c r="A842" s="48"/>
      <c r="B842" s="48"/>
      <c r="C842" s="45"/>
      <c r="D842" s="45"/>
      <c r="E842" s="45"/>
      <c r="F842" s="45"/>
      <c r="G842" s="45"/>
      <c r="H842" s="45"/>
      <c r="I842" s="45"/>
      <c r="J842" s="45"/>
      <c r="K842" s="45"/>
      <c r="L842" s="46"/>
      <c r="M842" s="46"/>
      <c r="N842" s="46"/>
      <c r="O842" s="46"/>
      <c r="P842" s="46"/>
      <c r="Q842" s="45"/>
      <c r="R842" s="45"/>
      <c r="S842" s="45"/>
      <c r="T842" s="45"/>
      <c r="U842" s="45"/>
      <c r="V842" s="45"/>
      <c r="W842" s="45"/>
    </row>
    <row r="843" spans="1:23" ht="11.25" customHeight="1">
      <c r="A843" s="48"/>
      <c r="B843" s="48"/>
      <c r="C843" s="45"/>
      <c r="D843" s="45"/>
      <c r="E843" s="45"/>
      <c r="F843" s="45"/>
      <c r="G843" s="45"/>
      <c r="H843" s="45"/>
      <c r="I843" s="45"/>
      <c r="J843" s="45"/>
      <c r="K843" s="45"/>
      <c r="L843" s="46"/>
      <c r="M843" s="46"/>
      <c r="N843" s="46"/>
      <c r="O843" s="46"/>
      <c r="P843" s="46"/>
      <c r="Q843" s="45"/>
      <c r="R843" s="45"/>
      <c r="S843" s="45"/>
      <c r="T843" s="45"/>
      <c r="U843" s="45"/>
      <c r="V843" s="45"/>
      <c r="W843" s="45"/>
    </row>
    <row r="844" spans="1:23" ht="11.25" customHeight="1">
      <c r="A844" s="48"/>
      <c r="B844" s="48"/>
      <c r="C844" s="45"/>
      <c r="D844" s="45"/>
      <c r="E844" s="45"/>
      <c r="F844" s="45"/>
      <c r="G844" s="45"/>
      <c r="H844" s="45"/>
      <c r="I844" s="45"/>
      <c r="J844" s="45"/>
      <c r="K844" s="45"/>
      <c r="L844" s="46"/>
      <c r="M844" s="46"/>
      <c r="N844" s="46"/>
      <c r="O844" s="46"/>
      <c r="P844" s="46"/>
      <c r="Q844" s="45"/>
      <c r="R844" s="45"/>
      <c r="S844" s="45"/>
      <c r="T844" s="45"/>
      <c r="U844" s="45"/>
      <c r="V844" s="45"/>
      <c r="W844" s="45"/>
    </row>
    <row r="845" spans="1:23" ht="11.25" customHeight="1">
      <c r="A845" s="48"/>
      <c r="B845" s="48"/>
      <c r="C845" s="45"/>
      <c r="D845" s="45"/>
      <c r="E845" s="45"/>
      <c r="F845" s="45"/>
      <c r="G845" s="45"/>
      <c r="H845" s="45"/>
      <c r="I845" s="45"/>
      <c r="J845" s="45"/>
      <c r="K845" s="45"/>
      <c r="L845" s="46"/>
      <c r="M845" s="46"/>
      <c r="N845" s="46"/>
      <c r="O845" s="46"/>
      <c r="P845" s="46"/>
      <c r="Q845" s="45"/>
      <c r="R845" s="45"/>
      <c r="S845" s="45"/>
      <c r="T845" s="45"/>
      <c r="U845" s="45"/>
      <c r="V845" s="45"/>
      <c r="W845" s="45"/>
    </row>
    <row r="846" spans="1:23" ht="11.25" customHeight="1">
      <c r="A846" s="48"/>
      <c r="B846" s="48"/>
      <c r="C846" s="45"/>
      <c r="D846" s="45"/>
      <c r="E846" s="45"/>
      <c r="F846" s="45"/>
      <c r="G846" s="45"/>
      <c r="H846" s="45"/>
      <c r="I846" s="45"/>
      <c r="J846" s="45"/>
      <c r="K846" s="45"/>
      <c r="L846" s="46"/>
      <c r="M846" s="46"/>
      <c r="N846" s="46"/>
      <c r="O846" s="46"/>
      <c r="P846" s="46"/>
      <c r="Q846" s="45"/>
      <c r="R846" s="45"/>
      <c r="S846" s="45"/>
      <c r="T846" s="45"/>
      <c r="U846" s="45"/>
      <c r="V846" s="45"/>
      <c r="W846" s="45"/>
    </row>
    <row r="847" spans="1:23" ht="11.25" customHeight="1">
      <c r="A847" s="48"/>
      <c r="B847" s="48"/>
      <c r="C847" s="45"/>
      <c r="D847" s="45"/>
      <c r="E847" s="45"/>
      <c r="F847" s="45"/>
      <c r="G847" s="45"/>
      <c r="H847" s="45"/>
      <c r="I847" s="45"/>
      <c r="J847" s="45"/>
      <c r="K847" s="45"/>
      <c r="L847" s="46"/>
      <c r="M847" s="46"/>
      <c r="N847" s="46"/>
      <c r="O847" s="46"/>
      <c r="P847" s="46"/>
      <c r="Q847" s="45"/>
      <c r="R847" s="45"/>
      <c r="S847" s="45"/>
      <c r="T847" s="45"/>
      <c r="U847" s="45"/>
      <c r="V847" s="45"/>
      <c r="W847" s="45"/>
    </row>
    <row r="848" spans="1:23" ht="11.25" customHeight="1">
      <c r="A848" s="48"/>
      <c r="B848" s="48"/>
      <c r="C848" s="45"/>
      <c r="D848" s="45"/>
      <c r="E848" s="45"/>
      <c r="F848" s="45"/>
      <c r="G848" s="45"/>
      <c r="H848" s="45"/>
      <c r="I848" s="45"/>
      <c r="J848" s="45"/>
      <c r="K848" s="45"/>
      <c r="L848" s="46"/>
      <c r="M848" s="46"/>
      <c r="N848" s="46"/>
      <c r="O848" s="46"/>
      <c r="P848" s="46"/>
      <c r="Q848" s="45"/>
      <c r="R848" s="45"/>
      <c r="S848" s="45"/>
      <c r="T848" s="45"/>
      <c r="U848" s="45"/>
      <c r="V848" s="45"/>
      <c r="W848" s="45"/>
    </row>
    <row r="849" spans="1:23" ht="11.25" customHeight="1">
      <c r="A849" s="48"/>
      <c r="B849" s="48"/>
      <c r="C849" s="45"/>
      <c r="D849" s="45"/>
      <c r="E849" s="45"/>
      <c r="F849" s="45"/>
      <c r="G849" s="45"/>
      <c r="H849" s="45"/>
      <c r="I849" s="45"/>
      <c r="J849" s="45"/>
      <c r="K849" s="45"/>
      <c r="L849" s="46"/>
      <c r="M849" s="46"/>
      <c r="N849" s="46"/>
      <c r="O849" s="46"/>
      <c r="P849" s="46"/>
      <c r="Q849" s="45"/>
      <c r="R849" s="45"/>
      <c r="S849" s="45"/>
      <c r="T849" s="45"/>
      <c r="U849" s="45"/>
      <c r="V849" s="45"/>
      <c r="W849" s="45"/>
    </row>
    <row r="850" spans="1:23" ht="11.25" customHeight="1">
      <c r="A850" s="48"/>
      <c r="B850" s="48"/>
      <c r="C850" s="45"/>
      <c r="D850" s="45"/>
      <c r="E850" s="45"/>
      <c r="F850" s="45"/>
      <c r="G850" s="45"/>
      <c r="H850" s="45"/>
      <c r="I850" s="45"/>
      <c r="J850" s="45"/>
      <c r="K850" s="45"/>
      <c r="L850" s="46"/>
      <c r="M850" s="46"/>
      <c r="N850" s="46"/>
      <c r="O850" s="46"/>
      <c r="P850" s="46"/>
      <c r="Q850" s="45"/>
      <c r="R850" s="45"/>
      <c r="S850" s="45"/>
      <c r="T850" s="45"/>
      <c r="U850" s="45"/>
      <c r="V850" s="45"/>
      <c r="W850" s="45"/>
    </row>
    <row r="851" spans="1:23" ht="11.25" customHeight="1">
      <c r="A851" s="48"/>
      <c r="B851" s="48"/>
      <c r="C851" s="45"/>
      <c r="D851" s="45"/>
      <c r="E851" s="45"/>
      <c r="F851" s="45"/>
      <c r="G851" s="45"/>
      <c r="H851" s="45"/>
      <c r="I851" s="45"/>
      <c r="J851" s="45"/>
      <c r="K851" s="45"/>
      <c r="L851" s="46"/>
      <c r="M851" s="46"/>
      <c r="N851" s="46"/>
      <c r="O851" s="46"/>
      <c r="P851" s="46"/>
      <c r="Q851" s="45"/>
      <c r="R851" s="45"/>
      <c r="S851" s="45"/>
      <c r="T851" s="45"/>
      <c r="U851" s="45"/>
      <c r="V851" s="45"/>
      <c r="W851" s="45"/>
    </row>
    <row r="852" spans="1:23" ht="11.25" customHeight="1">
      <c r="A852" s="48"/>
      <c r="B852" s="48"/>
      <c r="C852" s="45"/>
      <c r="D852" s="45"/>
      <c r="E852" s="45"/>
      <c r="F852" s="45"/>
      <c r="G852" s="45"/>
      <c r="H852" s="45"/>
      <c r="I852" s="45"/>
      <c r="J852" s="45"/>
      <c r="K852" s="45"/>
      <c r="L852" s="46"/>
      <c r="M852" s="46"/>
      <c r="N852" s="46"/>
      <c r="O852" s="46"/>
      <c r="P852" s="46"/>
      <c r="Q852" s="45"/>
      <c r="R852" s="45"/>
      <c r="S852" s="45"/>
      <c r="T852" s="45"/>
      <c r="U852" s="45"/>
      <c r="V852" s="45"/>
      <c r="W852" s="45"/>
    </row>
    <row r="853" spans="1:23" ht="11.25" customHeight="1">
      <c r="A853" s="48"/>
      <c r="B853" s="48"/>
      <c r="C853" s="45"/>
      <c r="D853" s="45"/>
      <c r="E853" s="45"/>
      <c r="F853" s="45"/>
      <c r="G853" s="45"/>
      <c r="H853" s="45"/>
      <c r="I853" s="45"/>
      <c r="J853" s="45"/>
      <c r="K853" s="45"/>
      <c r="L853" s="46"/>
      <c r="M853" s="46"/>
      <c r="N853" s="46"/>
      <c r="O853" s="46"/>
      <c r="P853" s="46"/>
      <c r="Q853" s="45"/>
      <c r="R853" s="45"/>
      <c r="S853" s="45"/>
      <c r="T853" s="45"/>
      <c r="U853" s="45"/>
      <c r="V853" s="45"/>
      <c r="W853" s="45"/>
    </row>
    <row r="854" spans="1:23" ht="11.25" customHeight="1">
      <c r="A854" s="48"/>
      <c r="B854" s="48"/>
      <c r="C854" s="45"/>
      <c r="D854" s="45"/>
      <c r="E854" s="45"/>
      <c r="F854" s="45"/>
      <c r="G854" s="45"/>
      <c r="H854" s="45"/>
      <c r="I854" s="45"/>
      <c r="J854" s="45"/>
      <c r="K854" s="45"/>
      <c r="L854" s="46"/>
      <c r="M854" s="46"/>
      <c r="N854" s="46"/>
      <c r="O854" s="46"/>
      <c r="P854" s="46"/>
      <c r="Q854" s="45"/>
      <c r="R854" s="45"/>
      <c r="S854" s="45"/>
      <c r="T854" s="45"/>
      <c r="U854" s="45"/>
      <c r="V854" s="45"/>
      <c r="W854" s="45"/>
    </row>
    <row r="855" spans="1:23" ht="11.25" customHeight="1">
      <c r="A855" s="48"/>
      <c r="B855" s="48"/>
      <c r="C855" s="45"/>
      <c r="D855" s="45"/>
      <c r="E855" s="45"/>
      <c r="F855" s="45"/>
      <c r="G855" s="45"/>
      <c r="H855" s="45"/>
      <c r="I855" s="45"/>
      <c r="J855" s="45"/>
      <c r="K855" s="45"/>
      <c r="L855" s="46"/>
      <c r="M855" s="46"/>
      <c r="N855" s="46"/>
      <c r="O855" s="46"/>
      <c r="P855" s="46"/>
      <c r="Q855" s="45"/>
      <c r="R855" s="45"/>
      <c r="S855" s="45"/>
      <c r="T855" s="45"/>
      <c r="U855" s="45"/>
      <c r="V855" s="45"/>
      <c r="W855" s="45"/>
    </row>
    <row r="856" spans="1:23" ht="11.25" customHeight="1">
      <c r="A856" s="48"/>
      <c r="B856" s="48"/>
      <c r="C856" s="45"/>
      <c r="D856" s="45"/>
      <c r="E856" s="45"/>
      <c r="F856" s="45"/>
      <c r="G856" s="45"/>
      <c r="H856" s="45"/>
      <c r="I856" s="45"/>
      <c r="J856" s="45"/>
      <c r="K856" s="45"/>
      <c r="L856" s="46"/>
      <c r="M856" s="46"/>
      <c r="N856" s="46"/>
      <c r="O856" s="46"/>
      <c r="P856" s="46"/>
      <c r="Q856" s="45"/>
      <c r="R856" s="45"/>
      <c r="S856" s="45"/>
      <c r="T856" s="45"/>
      <c r="U856" s="45"/>
      <c r="V856" s="45"/>
      <c r="W856" s="45"/>
    </row>
    <row r="857" spans="1:23" ht="11.25" customHeight="1">
      <c r="A857" s="48"/>
      <c r="B857" s="48"/>
      <c r="C857" s="45"/>
      <c r="D857" s="45"/>
      <c r="E857" s="45"/>
      <c r="F857" s="45"/>
      <c r="G857" s="45"/>
      <c r="H857" s="45"/>
      <c r="I857" s="45"/>
      <c r="J857" s="45"/>
      <c r="K857" s="45"/>
      <c r="L857" s="46"/>
      <c r="M857" s="46"/>
      <c r="N857" s="46"/>
      <c r="O857" s="46"/>
      <c r="P857" s="46"/>
      <c r="Q857" s="45"/>
      <c r="R857" s="45"/>
      <c r="S857" s="45"/>
      <c r="T857" s="45"/>
      <c r="U857" s="45"/>
      <c r="V857" s="45"/>
      <c r="W857" s="45"/>
    </row>
    <row r="858" spans="1:23" ht="11.25" customHeight="1">
      <c r="A858" s="48"/>
      <c r="B858" s="48"/>
      <c r="C858" s="45"/>
      <c r="D858" s="45"/>
      <c r="E858" s="45"/>
      <c r="F858" s="45"/>
      <c r="G858" s="45"/>
      <c r="H858" s="45"/>
      <c r="I858" s="45"/>
      <c r="J858" s="45"/>
      <c r="K858" s="45"/>
      <c r="L858" s="46"/>
      <c r="M858" s="46"/>
      <c r="N858" s="46"/>
      <c r="O858" s="46"/>
      <c r="P858" s="46"/>
      <c r="Q858" s="45"/>
      <c r="R858" s="45"/>
      <c r="S858" s="45"/>
      <c r="T858" s="45"/>
      <c r="U858" s="45"/>
      <c r="V858" s="45"/>
      <c r="W858" s="45"/>
    </row>
    <row r="859" spans="1:23" ht="11.25" customHeight="1">
      <c r="A859" s="48"/>
      <c r="B859" s="48"/>
      <c r="C859" s="45"/>
      <c r="D859" s="45"/>
      <c r="E859" s="45"/>
      <c r="F859" s="45"/>
      <c r="G859" s="45"/>
      <c r="H859" s="45"/>
      <c r="I859" s="45"/>
      <c r="J859" s="45"/>
      <c r="K859" s="45"/>
      <c r="L859" s="46"/>
      <c r="M859" s="46"/>
      <c r="N859" s="46"/>
      <c r="O859" s="46"/>
      <c r="P859" s="46"/>
      <c r="Q859" s="45"/>
      <c r="R859" s="45"/>
      <c r="S859" s="45"/>
      <c r="T859" s="45"/>
      <c r="U859" s="45"/>
      <c r="V859" s="45"/>
      <c r="W859" s="45"/>
    </row>
    <row r="860" spans="1:23" ht="11.25" customHeight="1">
      <c r="A860" s="48"/>
      <c r="B860" s="48"/>
      <c r="C860" s="45"/>
      <c r="D860" s="45"/>
      <c r="E860" s="45"/>
      <c r="F860" s="45"/>
      <c r="G860" s="45"/>
      <c r="H860" s="45"/>
      <c r="I860" s="45"/>
      <c r="J860" s="45"/>
      <c r="K860" s="45"/>
      <c r="L860" s="46"/>
      <c r="M860" s="46"/>
      <c r="N860" s="46"/>
      <c r="O860" s="46"/>
      <c r="P860" s="46"/>
      <c r="Q860" s="45"/>
      <c r="R860" s="45"/>
      <c r="S860" s="45"/>
      <c r="T860" s="45"/>
      <c r="U860" s="45"/>
      <c r="V860" s="45"/>
      <c r="W860" s="45"/>
    </row>
    <row r="861" spans="1:23" ht="11.25" customHeight="1">
      <c r="A861" s="48"/>
      <c r="B861" s="48"/>
      <c r="C861" s="45"/>
      <c r="D861" s="45"/>
      <c r="E861" s="45"/>
      <c r="F861" s="45"/>
      <c r="G861" s="45"/>
      <c r="H861" s="45"/>
      <c r="I861" s="45"/>
      <c r="J861" s="45"/>
      <c r="K861" s="45"/>
      <c r="L861" s="46"/>
      <c r="M861" s="46"/>
      <c r="N861" s="46"/>
      <c r="O861" s="46"/>
      <c r="P861" s="46"/>
      <c r="Q861" s="45"/>
      <c r="R861" s="45"/>
      <c r="S861" s="45"/>
      <c r="T861" s="45"/>
      <c r="U861" s="45"/>
      <c r="V861" s="45"/>
      <c r="W861" s="45"/>
    </row>
    <row r="862" spans="1:23" ht="11.25" customHeight="1">
      <c r="A862" s="48"/>
      <c r="B862" s="48"/>
      <c r="C862" s="45"/>
      <c r="D862" s="45"/>
      <c r="E862" s="45"/>
      <c r="F862" s="45"/>
      <c r="G862" s="45"/>
      <c r="H862" s="45"/>
      <c r="I862" s="45"/>
      <c r="J862" s="45"/>
      <c r="K862" s="45"/>
      <c r="L862" s="46"/>
      <c r="M862" s="46"/>
      <c r="N862" s="46"/>
      <c r="O862" s="46"/>
      <c r="P862" s="46"/>
      <c r="Q862" s="45"/>
      <c r="R862" s="45"/>
      <c r="S862" s="45"/>
      <c r="T862" s="45"/>
      <c r="U862" s="45"/>
      <c r="V862" s="45"/>
      <c r="W862" s="45"/>
    </row>
    <row r="863" spans="1:23" ht="11.25" customHeight="1">
      <c r="A863" s="48"/>
      <c r="B863" s="48"/>
      <c r="C863" s="45"/>
      <c r="D863" s="45"/>
      <c r="E863" s="45"/>
      <c r="F863" s="45"/>
      <c r="G863" s="45"/>
      <c r="H863" s="45"/>
      <c r="I863" s="45"/>
      <c r="J863" s="45"/>
      <c r="K863" s="45"/>
      <c r="L863" s="46"/>
      <c r="M863" s="46"/>
      <c r="N863" s="46"/>
      <c r="O863" s="46"/>
      <c r="P863" s="46"/>
      <c r="Q863" s="45"/>
      <c r="R863" s="45"/>
      <c r="S863" s="45"/>
      <c r="T863" s="45"/>
      <c r="U863" s="45"/>
      <c r="V863" s="45"/>
      <c r="W863" s="45"/>
    </row>
    <row r="864" spans="1:23" ht="11.25" customHeight="1">
      <c r="A864" s="48"/>
      <c r="B864" s="48"/>
      <c r="C864" s="45"/>
      <c r="D864" s="45"/>
      <c r="E864" s="45"/>
      <c r="F864" s="45"/>
      <c r="G864" s="45"/>
      <c r="H864" s="45"/>
      <c r="I864" s="45"/>
      <c r="J864" s="45"/>
      <c r="K864" s="45"/>
      <c r="L864" s="46"/>
      <c r="M864" s="46"/>
      <c r="N864" s="46"/>
      <c r="O864" s="46"/>
      <c r="P864" s="46"/>
      <c r="Q864" s="45"/>
      <c r="R864" s="45"/>
      <c r="S864" s="45"/>
      <c r="T864" s="45"/>
      <c r="U864" s="45"/>
      <c r="V864" s="45"/>
      <c r="W864" s="45"/>
    </row>
    <row r="865" spans="1:23" ht="11.25" customHeight="1">
      <c r="A865" s="48"/>
      <c r="B865" s="48"/>
      <c r="C865" s="45"/>
      <c r="D865" s="45"/>
      <c r="E865" s="45"/>
      <c r="F865" s="45"/>
      <c r="G865" s="45"/>
      <c r="H865" s="45"/>
      <c r="I865" s="45"/>
      <c r="J865" s="45"/>
      <c r="K865" s="45"/>
      <c r="L865" s="46"/>
      <c r="M865" s="46"/>
      <c r="N865" s="46"/>
      <c r="O865" s="46"/>
      <c r="P865" s="46"/>
      <c r="Q865" s="45"/>
      <c r="R865" s="45"/>
      <c r="S865" s="45"/>
      <c r="T865" s="45"/>
      <c r="U865" s="45"/>
      <c r="V865" s="45"/>
      <c r="W865" s="45"/>
    </row>
    <row r="866" spans="1:23" ht="11.25" customHeight="1">
      <c r="A866" s="48"/>
      <c r="B866" s="48"/>
      <c r="C866" s="45"/>
      <c r="D866" s="45"/>
      <c r="E866" s="45"/>
      <c r="F866" s="45"/>
      <c r="G866" s="45"/>
      <c r="H866" s="45"/>
      <c r="I866" s="45"/>
      <c r="J866" s="45"/>
      <c r="K866" s="45"/>
      <c r="L866" s="46"/>
      <c r="M866" s="46"/>
      <c r="N866" s="46"/>
      <c r="O866" s="46"/>
      <c r="P866" s="46"/>
      <c r="Q866" s="45"/>
      <c r="R866" s="45"/>
      <c r="S866" s="45"/>
      <c r="T866" s="45"/>
      <c r="U866" s="45"/>
      <c r="V866" s="45"/>
      <c r="W866" s="45"/>
    </row>
    <row r="867" spans="1:23" ht="11.25" customHeight="1">
      <c r="A867" s="48"/>
      <c r="B867" s="48"/>
      <c r="C867" s="45"/>
      <c r="D867" s="45"/>
      <c r="E867" s="45"/>
      <c r="F867" s="45"/>
      <c r="G867" s="45"/>
      <c r="H867" s="45"/>
      <c r="I867" s="45"/>
      <c r="J867" s="45"/>
      <c r="K867" s="45"/>
      <c r="L867" s="46"/>
      <c r="M867" s="46"/>
      <c r="N867" s="46"/>
      <c r="O867" s="46"/>
      <c r="P867" s="46"/>
      <c r="Q867" s="45"/>
      <c r="R867" s="45"/>
      <c r="S867" s="45"/>
      <c r="T867" s="45"/>
      <c r="U867" s="45"/>
      <c r="V867" s="45"/>
      <c r="W867" s="45"/>
    </row>
    <row r="868" spans="1:23" ht="11.25" customHeight="1">
      <c r="A868" s="48"/>
      <c r="B868" s="48"/>
      <c r="C868" s="45"/>
      <c r="D868" s="45"/>
      <c r="E868" s="45"/>
      <c r="F868" s="45"/>
      <c r="G868" s="45"/>
      <c r="H868" s="45"/>
      <c r="I868" s="45"/>
      <c r="J868" s="45"/>
      <c r="K868" s="45"/>
      <c r="L868" s="46"/>
      <c r="M868" s="46"/>
      <c r="N868" s="46"/>
      <c r="O868" s="46"/>
      <c r="P868" s="46"/>
      <c r="Q868" s="45"/>
      <c r="R868" s="45"/>
      <c r="S868" s="45"/>
      <c r="T868" s="45"/>
      <c r="U868" s="45"/>
      <c r="V868" s="45"/>
      <c r="W868" s="45"/>
    </row>
    <row r="869" spans="1:23" ht="11.25" customHeight="1">
      <c r="A869" s="48"/>
      <c r="B869" s="48"/>
      <c r="C869" s="45"/>
      <c r="D869" s="45"/>
      <c r="E869" s="45"/>
      <c r="F869" s="45"/>
      <c r="G869" s="45"/>
      <c r="H869" s="45"/>
      <c r="I869" s="45"/>
      <c r="J869" s="45"/>
      <c r="K869" s="45"/>
      <c r="L869" s="46"/>
      <c r="M869" s="46"/>
      <c r="N869" s="46"/>
      <c r="O869" s="46"/>
      <c r="P869" s="46"/>
      <c r="Q869" s="45"/>
      <c r="R869" s="45"/>
      <c r="S869" s="45"/>
      <c r="T869" s="45"/>
      <c r="U869" s="45"/>
      <c r="V869" s="45"/>
      <c r="W869" s="45"/>
    </row>
    <row r="870" spans="1:23" ht="11.25" customHeight="1">
      <c r="A870" s="48"/>
      <c r="B870" s="48"/>
      <c r="C870" s="45"/>
      <c r="D870" s="45"/>
      <c r="E870" s="45"/>
      <c r="F870" s="45"/>
      <c r="G870" s="45"/>
      <c r="H870" s="45"/>
      <c r="I870" s="45"/>
      <c r="J870" s="45"/>
      <c r="K870" s="45"/>
      <c r="L870" s="46"/>
      <c r="M870" s="46"/>
      <c r="N870" s="46"/>
      <c r="O870" s="46"/>
      <c r="P870" s="46"/>
      <c r="Q870" s="45"/>
      <c r="R870" s="45"/>
      <c r="S870" s="45"/>
      <c r="T870" s="45"/>
      <c r="U870" s="45"/>
      <c r="V870" s="45"/>
      <c r="W870" s="45"/>
    </row>
    <row r="871" spans="1:23" ht="11.25" customHeight="1">
      <c r="A871" s="48"/>
      <c r="B871" s="48"/>
      <c r="C871" s="45"/>
      <c r="D871" s="45"/>
      <c r="E871" s="45"/>
      <c r="F871" s="45"/>
      <c r="G871" s="45"/>
      <c r="H871" s="45"/>
      <c r="I871" s="45"/>
      <c r="J871" s="45"/>
      <c r="K871" s="45"/>
      <c r="L871" s="46"/>
      <c r="M871" s="46"/>
      <c r="N871" s="46"/>
      <c r="O871" s="46"/>
      <c r="P871" s="46"/>
      <c r="Q871" s="45"/>
      <c r="R871" s="45"/>
      <c r="S871" s="45"/>
      <c r="T871" s="45"/>
      <c r="U871" s="45"/>
      <c r="V871" s="45"/>
      <c r="W871" s="45"/>
    </row>
    <row r="872" spans="1:23" ht="11.25" customHeight="1">
      <c r="A872" s="48"/>
      <c r="B872" s="48"/>
      <c r="C872" s="45"/>
      <c r="D872" s="45"/>
      <c r="E872" s="45"/>
      <c r="F872" s="45"/>
      <c r="G872" s="45"/>
      <c r="H872" s="45"/>
      <c r="I872" s="45"/>
      <c r="J872" s="45"/>
      <c r="K872" s="45"/>
      <c r="L872" s="46"/>
      <c r="M872" s="46"/>
      <c r="N872" s="46"/>
      <c r="O872" s="46"/>
      <c r="P872" s="46"/>
      <c r="Q872" s="45"/>
      <c r="R872" s="45"/>
      <c r="S872" s="45"/>
      <c r="T872" s="45"/>
      <c r="U872" s="45"/>
      <c r="V872" s="45"/>
      <c r="W872" s="45"/>
    </row>
    <row r="873" spans="1:23" ht="11.25" customHeight="1">
      <c r="A873" s="48"/>
      <c r="B873" s="48"/>
      <c r="C873" s="45"/>
      <c r="D873" s="45"/>
      <c r="E873" s="45"/>
      <c r="F873" s="45"/>
      <c r="G873" s="45"/>
      <c r="H873" s="45"/>
      <c r="I873" s="45"/>
      <c r="J873" s="45"/>
      <c r="K873" s="45"/>
      <c r="L873" s="46"/>
      <c r="M873" s="46"/>
      <c r="N873" s="46"/>
      <c r="O873" s="46"/>
      <c r="P873" s="46"/>
      <c r="Q873" s="45"/>
      <c r="R873" s="45"/>
      <c r="S873" s="45"/>
      <c r="T873" s="45"/>
      <c r="U873" s="45"/>
      <c r="V873" s="45"/>
      <c r="W873" s="45"/>
    </row>
    <row r="874" spans="1:23" ht="11.25" customHeight="1">
      <c r="A874" s="48"/>
      <c r="B874" s="48"/>
      <c r="C874" s="45"/>
      <c r="D874" s="45"/>
      <c r="E874" s="45"/>
      <c r="F874" s="45"/>
      <c r="G874" s="45"/>
      <c r="H874" s="45"/>
      <c r="I874" s="45"/>
      <c r="J874" s="45"/>
      <c r="K874" s="45"/>
      <c r="L874" s="46"/>
      <c r="M874" s="46"/>
      <c r="N874" s="46"/>
      <c r="O874" s="46"/>
      <c r="P874" s="46"/>
      <c r="Q874" s="45"/>
      <c r="R874" s="45"/>
      <c r="S874" s="45"/>
      <c r="T874" s="45"/>
      <c r="U874" s="45"/>
      <c r="V874" s="45"/>
      <c r="W874" s="45"/>
    </row>
    <row r="875" spans="1:23" ht="11.25" customHeight="1">
      <c r="A875" s="48"/>
      <c r="B875" s="48"/>
      <c r="C875" s="45"/>
      <c r="D875" s="45"/>
      <c r="E875" s="45"/>
      <c r="F875" s="45"/>
      <c r="G875" s="45"/>
      <c r="H875" s="45"/>
      <c r="I875" s="45"/>
      <c r="J875" s="45"/>
      <c r="K875" s="45"/>
      <c r="L875" s="46"/>
      <c r="M875" s="46"/>
      <c r="N875" s="46"/>
      <c r="O875" s="46"/>
      <c r="P875" s="46"/>
      <c r="Q875" s="45"/>
      <c r="R875" s="45"/>
      <c r="S875" s="45"/>
      <c r="T875" s="45"/>
      <c r="U875" s="45"/>
      <c r="V875" s="45"/>
      <c r="W875" s="45"/>
    </row>
    <row r="876" spans="1:23" ht="11.25" customHeight="1">
      <c r="A876" s="48"/>
      <c r="B876" s="48"/>
      <c r="C876" s="45"/>
      <c r="D876" s="45"/>
      <c r="E876" s="45"/>
      <c r="F876" s="45"/>
      <c r="G876" s="45"/>
      <c r="H876" s="45"/>
      <c r="I876" s="45"/>
      <c r="J876" s="45"/>
      <c r="K876" s="45"/>
      <c r="L876" s="46"/>
      <c r="M876" s="46"/>
      <c r="N876" s="46"/>
      <c r="O876" s="46"/>
      <c r="P876" s="46"/>
      <c r="Q876" s="45"/>
      <c r="R876" s="45"/>
      <c r="S876" s="45"/>
      <c r="T876" s="45"/>
      <c r="U876" s="45"/>
      <c r="V876" s="45"/>
      <c r="W876" s="45"/>
    </row>
    <row r="877" spans="1:23" ht="11.25" customHeight="1">
      <c r="A877" s="48"/>
      <c r="B877" s="48"/>
      <c r="C877" s="45"/>
      <c r="D877" s="45"/>
      <c r="E877" s="45"/>
      <c r="F877" s="45"/>
      <c r="G877" s="45"/>
      <c r="H877" s="45"/>
      <c r="I877" s="45"/>
      <c r="J877" s="45"/>
      <c r="K877" s="45"/>
      <c r="L877" s="46"/>
      <c r="M877" s="46"/>
      <c r="N877" s="46"/>
      <c r="O877" s="46"/>
      <c r="P877" s="46"/>
      <c r="Q877" s="45"/>
      <c r="R877" s="45"/>
      <c r="S877" s="45"/>
      <c r="T877" s="45"/>
      <c r="U877" s="45"/>
      <c r="V877" s="45"/>
      <c r="W877" s="45"/>
    </row>
    <row r="878" spans="1:23" ht="11.25" customHeight="1">
      <c r="A878" s="48"/>
      <c r="B878" s="48"/>
      <c r="C878" s="45"/>
      <c r="D878" s="45"/>
      <c r="E878" s="45"/>
      <c r="F878" s="45"/>
      <c r="G878" s="45"/>
      <c r="H878" s="45"/>
      <c r="I878" s="45"/>
      <c r="J878" s="45"/>
      <c r="K878" s="45"/>
      <c r="L878" s="46"/>
      <c r="M878" s="46"/>
      <c r="N878" s="46"/>
      <c r="O878" s="46"/>
      <c r="P878" s="46"/>
      <c r="Q878" s="45"/>
      <c r="R878" s="45"/>
      <c r="S878" s="45"/>
      <c r="T878" s="45"/>
      <c r="U878" s="45"/>
      <c r="V878" s="45"/>
      <c r="W878" s="45"/>
    </row>
    <row r="879" spans="1:23" ht="11.25" customHeight="1">
      <c r="A879" s="48"/>
      <c r="B879" s="48"/>
      <c r="C879" s="45"/>
      <c r="D879" s="45"/>
      <c r="E879" s="45"/>
      <c r="F879" s="45"/>
      <c r="G879" s="45"/>
      <c r="H879" s="45"/>
      <c r="I879" s="45"/>
      <c r="J879" s="45"/>
      <c r="K879" s="45"/>
      <c r="L879" s="46"/>
      <c r="M879" s="46"/>
      <c r="N879" s="46"/>
      <c r="O879" s="46"/>
      <c r="P879" s="46"/>
      <c r="Q879" s="45"/>
      <c r="R879" s="45"/>
      <c r="S879" s="45"/>
      <c r="T879" s="45"/>
      <c r="U879" s="45"/>
      <c r="V879" s="45"/>
      <c r="W879" s="45"/>
    </row>
    <row r="880" spans="1:23" ht="11.25" customHeight="1">
      <c r="A880" s="48"/>
      <c r="B880" s="48"/>
      <c r="C880" s="45"/>
      <c r="D880" s="45"/>
      <c r="E880" s="45"/>
      <c r="F880" s="45"/>
      <c r="G880" s="45"/>
      <c r="H880" s="45"/>
      <c r="I880" s="45"/>
      <c r="J880" s="45"/>
      <c r="K880" s="45"/>
      <c r="L880" s="46"/>
      <c r="M880" s="46"/>
      <c r="N880" s="46"/>
      <c r="O880" s="46"/>
      <c r="P880" s="46"/>
      <c r="Q880" s="45"/>
      <c r="R880" s="45"/>
      <c r="S880" s="45"/>
      <c r="T880" s="45"/>
      <c r="U880" s="45"/>
      <c r="V880" s="45"/>
      <c r="W880" s="45"/>
    </row>
    <row r="881" spans="1:23" ht="11.25" customHeight="1">
      <c r="A881" s="48"/>
      <c r="B881" s="48"/>
      <c r="C881" s="45"/>
      <c r="D881" s="45"/>
      <c r="E881" s="45"/>
      <c r="F881" s="45"/>
      <c r="G881" s="45"/>
      <c r="H881" s="45"/>
      <c r="I881" s="45"/>
      <c r="J881" s="45"/>
      <c r="K881" s="45"/>
      <c r="L881" s="46"/>
      <c r="M881" s="46"/>
      <c r="N881" s="46"/>
      <c r="O881" s="46"/>
      <c r="P881" s="46"/>
      <c r="Q881" s="45"/>
      <c r="R881" s="45"/>
      <c r="S881" s="45"/>
      <c r="T881" s="45"/>
      <c r="U881" s="45"/>
      <c r="V881" s="45"/>
      <c r="W881" s="45"/>
    </row>
    <row r="882" spans="1:23" ht="11.25" customHeight="1">
      <c r="A882" s="48"/>
      <c r="B882" s="48"/>
      <c r="C882" s="45"/>
      <c r="D882" s="45"/>
      <c r="E882" s="45"/>
      <c r="F882" s="45"/>
      <c r="G882" s="45"/>
      <c r="H882" s="45"/>
      <c r="I882" s="45"/>
      <c r="J882" s="45"/>
      <c r="K882" s="45"/>
      <c r="L882" s="46"/>
      <c r="M882" s="46"/>
      <c r="N882" s="46"/>
      <c r="O882" s="46"/>
      <c r="P882" s="46"/>
      <c r="Q882" s="45"/>
      <c r="R882" s="45"/>
      <c r="S882" s="45"/>
      <c r="T882" s="45"/>
      <c r="U882" s="45"/>
      <c r="V882" s="45"/>
      <c r="W882" s="45"/>
    </row>
    <row r="883" spans="1:23" ht="11.25" customHeight="1">
      <c r="A883" s="48"/>
      <c r="B883" s="48"/>
      <c r="C883" s="45"/>
      <c r="D883" s="45"/>
      <c r="E883" s="45"/>
      <c r="F883" s="45"/>
      <c r="G883" s="45"/>
      <c r="H883" s="45"/>
      <c r="I883" s="45"/>
      <c r="J883" s="45"/>
      <c r="K883" s="45"/>
      <c r="L883" s="46"/>
      <c r="M883" s="46"/>
      <c r="N883" s="46"/>
      <c r="O883" s="46"/>
      <c r="P883" s="46"/>
      <c r="Q883" s="45"/>
      <c r="R883" s="45"/>
      <c r="S883" s="45"/>
      <c r="T883" s="45"/>
      <c r="U883" s="45"/>
      <c r="V883" s="45"/>
      <c r="W883" s="45"/>
    </row>
    <row r="884" spans="1:23" ht="11.25" customHeight="1">
      <c r="A884" s="48"/>
      <c r="B884" s="48"/>
      <c r="C884" s="45"/>
      <c r="D884" s="45"/>
      <c r="E884" s="45"/>
      <c r="F884" s="45"/>
      <c r="G884" s="45"/>
      <c r="H884" s="45"/>
      <c r="I884" s="45"/>
      <c r="J884" s="45"/>
      <c r="K884" s="45"/>
      <c r="L884" s="46"/>
      <c r="M884" s="46"/>
      <c r="N884" s="46"/>
      <c r="O884" s="46"/>
      <c r="P884" s="46"/>
      <c r="Q884" s="45"/>
      <c r="R884" s="45"/>
      <c r="S884" s="45"/>
      <c r="T884" s="45"/>
      <c r="U884" s="45"/>
      <c r="V884" s="45"/>
      <c r="W884" s="45"/>
    </row>
    <row r="885" spans="1:23" ht="11.25" customHeight="1">
      <c r="A885" s="48"/>
      <c r="B885" s="48"/>
      <c r="C885" s="45"/>
      <c r="D885" s="45"/>
      <c r="E885" s="45"/>
      <c r="F885" s="45"/>
      <c r="G885" s="45"/>
      <c r="H885" s="45"/>
      <c r="I885" s="45"/>
      <c r="J885" s="45"/>
      <c r="K885" s="45"/>
      <c r="L885" s="46"/>
      <c r="M885" s="46"/>
      <c r="N885" s="46"/>
      <c r="O885" s="46"/>
      <c r="P885" s="46"/>
      <c r="Q885" s="45"/>
      <c r="R885" s="45"/>
      <c r="S885" s="45"/>
      <c r="T885" s="45"/>
      <c r="U885" s="45"/>
      <c r="V885" s="45"/>
      <c r="W885" s="45"/>
    </row>
    <row r="886" spans="1:23" ht="11.25" customHeight="1">
      <c r="A886" s="48"/>
      <c r="B886" s="48"/>
      <c r="C886" s="45"/>
      <c r="D886" s="45"/>
      <c r="E886" s="45"/>
      <c r="F886" s="45"/>
      <c r="G886" s="45"/>
      <c r="H886" s="45"/>
      <c r="I886" s="45"/>
      <c r="J886" s="45"/>
      <c r="K886" s="45"/>
      <c r="L886" s="46"/>
      <c r="M886" s="46"/>
      <c r="N886" s="46"/>
      <c r="O886" s="46"/>
      <c r="P886" s="46"/>
      <c r="Q886" s="45"/>
      <c r="R886" s="45"/>
      <c r="S886" s="45"/>
      <c r="T886" s="45"/>
      <c r="U886" s="45"/>
      <c r="V886" s="45"/>
      <c r="W886" s="45"/>
    </row>
    <row r="887" spans="1:23" ht="11.25" customHeight="1">
      <c r="A887" s="48"/>
      <c r="B887" s="48"/>
      <c r="C887" s="45"/>
      <c r="D887" s="45"/>
      <c r="E887" s="45"/>
      <c r="F887" s="45"/>
      <c r="G887" s="45"/>
      <c r="H887" s="45"/>
      <c r="I887" s="45"/>
      <c r="J887" s="45"/>
      <c r="K887" s="45"/>
      <c r="L887" s="46"/>
      <c r="M887" s="46"/>
      <c r="N887" s="46"/>
      <c r="O887" s="46"/>
      <c r="P887" s="46"/>
      <c r="Q887" s="45"/>
      <c r="R887" s="45"/>
      <c r="S887" s="45"/>
      <c r="T887" s="45"/>
      <c r="U887" s="45"/>
      <c r="V887" s="45"/>
      <c r="W887" s="45"/>
    </row>
    <row r="888" spans="1:23" ht="11.25" customHeight="1">
      <c r="A888" s="48"/>
      <c r="B888" s="48"/>
      <c r="C888" s="45"/>
      <c r="D888" s="45"/>
      <c r="E888" s="45"/>
      <c r="F888" s="45"/>
      <c r="G888" s="45"/>
      <c r="H888" s="45"/>
      <c r="I888" s="45"/>
      <c r="J888" s="45"/>
      <c r="K888" s="45"/>
      <c r="L888" s="46"/>
      <c r="M888" s="46"/>
      <c r="N888" s="46"/>
      <c r="O888" s="46"/>
      <c r="P888" s="46"/>
      <c r="Q888" s="45"/>
      <c r="R888" s="45"/>
      <c r="S888" s="45"/>
      <c r="T888" s="45"/>
      <c r="U888" s="45"/>
      <c r="V888" s="45"/>
      <c r="W888" s="45"/>
    </row>
    <row r="889" spans="1:23" ht="11.25" customHeight="1">
      <c r="A889" s="48"/>
      <c r="B889" s="48"/>
      <c r="C889" s="45"/>
      <c r="D889" s="45"/>
      <c r="E889" s="45"/>
      <c r="F889" s="45"/>
      <c r="G889" s="45"/>
      <c r="H889" s="45"/>
      <c r="I889" s="45"/>
      <c r="J889" s="45"/>
      <c r="K889" s="45"/>
      <c r="L889" s="46"/>
      <c r="M889" s="46"/>
      <c r="N889" s="46"/>
      <c r="O889" s="46"/>
      <c r="P889" s="46"/>
      <c r="Q889" s="45"/>
      <c r="R889" s="45"/>
      <c r="S889" s="45"/>
      <c r="T889" s="45"/>
      <c r="U889" s="45"/>
      <c r="V889" s="45"/>
      <c r="W889" s="45"/>
    </row>
    <row r="890" spans="1:23" ht="11.25" customHeight="1">
      <c r="A890" s="48"/>
      <c r="B890" s="48"/>
      <c r="C890" s="45"/>
      <c r="D890" s="45"/>
      <c r="E890" s="45"/>
      <c r="F890" s="45"/>
      <c r="G890" s="45"/>
      <c r="H890" s="45"/>
      <c r="I890" s="45"/>
      <c r="J890" s="45"/>
      <c r="K890" s="45"/>
      <c r="L890" s="46"/>
      <c r="M890" s="46"/>
      <c r="N890" s="46"/>
      <c r="O890" s="46"/>
      <c r="P890" s="46"/>
      <c r="Q890" s="45"/>
      <c r="R890" s="45"/>
      <c r="S890" s="45"/>
      <c r="T890" s="45"/>
      <c r="U890" s="45"/>
      <c r="V890" s="45"/>
      <c r="W890" s="45"/>
    </row>
    <row r="891" spans="1:23" ht="11.25" customHeight="1">
      <c r="A891" s="48"/>
      <c r="B891" s="48"/>
      <c r="C891" s="45"/>
      <c r="D891" s="45"/>
      <c r="E891" s="45"/>
      <c r="F891" s="45"/>
      <c r="G891" s="45"/>
      <c r="H891" s="45"/>
      <c r="I891" s="45"/>
      <c r="J891" s="45"/>
      <c r="K891" s="45"/>
      <c r="L891" s="46"/>
      <c r="M891" s="46"/>
      <c r="N891" s="46"/>
      <c r="O891" s="46"/>
      <c r="P891" s="46"/>
      <c r="Q891" s="45"/>
      <c r="R891" s="45"/>
      <c r="S891" s="45"/>
      <c r="T891" s="45"/>
      <c r="U891" s="45"/>
      <c r="V891" s="45"/>
      <c r="W891" s="45"/>
    </row>
    <row r="892" spans="1:23" ht="11.25" customHeight="1">
      <c r="A892" s="48"/>
      <c r="B892" s="48"/>
      <c r="C892" s="45"/>
      <c r="D892" s="45"/>
      <c r="E892" s="45"/>
      <c r="F892" s="45"/>
      <c r="G892" s="45"/>
      <c r="H892" s="45"/>
      <c r="I892" s="45"/>
      <c r="J892" s="45"/>
      <c r="K892" s="45"/>
      <c r="L892" s="46"/>
      <c r="M892" s="46"/>
      <c r="N892" s="46"/>
      <c r="O892" s="46"/>
      <c r="P892" s="46"/>
      <c r="Q892" s="45"/>
      <c r="R892" s="45"/>
      <c r="S892" s="45"/>
      <c r="T892" s="45"/>
      <c r="U892" s="45"/>
      <c r="V892" s="45"/>
      <c r="W892" s="45"/>
    </row>
    <row r="893" spans="1:23" ht="11.25" customHeight="1">
      <c r="A893" s="48"/>
      <c r="B893" s="48"/>
      <c r="C893" s="45"/>
      <c r="D893" s="45"/>
      <c r="E893" s="45"/>
      <c r="F893" s="45"/>
      <c r="G893" s="45"/>
      <c r="H893" s="45"/>
      <c r="I893" s="45"/>
      <c r="J893" s="45"/>
      <c r="K893" s="45"/>
      <c r="L893" s="46"/>
      <c r="M893" s="46"/>
      <c r="N893" s="46"/>
      <c r="O893" s="46"/>
      <c r="P893" s="46"/>
      <c r="Q893" s="45"/>
      <c r="R893" s="45"/>
      <c r="S893" s="45"/>
      <c r="T893" s="45"/>
      <c r="U893" s="45"/>
      <c r="V893" s="45"/>
      <c r="W893" s="45"/>
    </row>
    <row r="894" spans="1:23" ht="11.25" customHeight="1">
      <c r="A894" s="48"/>
      <c r="B894" s="48"/>
      <c r="C894" s="45"/>
      <c r="D894" s="45"/>
      <c r="E894" s="45"/>
      <c r="F894" s="45"/>
      <c r="G894" s="45"/>
      <c r="H894" s="45"/>
      <c r="I894" s="45"/>
      <c r="J894" s="45"/>
      <c r="K894" s="45"/>
      <c r="L894" s="46"/>
      <c r="M894" s="46"/>
      <c r="N894" s="46"/>
      <c r="O894" s="46"/>
      <c r="P894" s="46"/>
      <c r="Q894" s="45"/>
      <c r="R894" s="45"/>
      <c r="S894" s="45"/>
      <c r="T894" s="45"/>
      <c r="U894" s="45"/>
      <c r="V894" s="45"/>
      <c r="W894" s="45"/>
    </row>
    <row r="895" spans="1:23" ht="11.25" customHeight="1">
      <c r="A895" s="48"/>
      <c r="B895" s="48"/>
      <c r="C895" s="45"/>
      <c r="D895" s="45"/>
      <c r="E895" s="45"/>
      <c r="F895" s="45"/>
      <c r="G895" s="45"/>
      <c r="H895" s="45"/>
      <c r="I895" s="45"/>
      <c r="J895" s="45"/>
      <c r="K895" s="45"/>
      <c r="L895" s="46"/>
      <c r="M895" s="46"/>
      <c r="N895" s="46"/>
      <c r="O895" s="46"/>
      <c r="P895" s="46"/>
      <c r="Q895" s="45"/>
      <c r="R895" s="45"/>
      <c r="S895" s="45"/>
      <c r="T895" s="45"/>
      <c r="U895" s="45"/>
      <c r="V895" s="45"/>
      <c r="W895" s="45"/>
    </row>
    <row r="896" spans="1:23" ht="11.25" customHeight="1">
      <c r="A896" s="48"/>
      <c r="B896" s="48"/>
      <c r="C896" s="45"/>
      <c r="D896" s="45"/>
      <c r="E896" s="45"/>
      <c r="F896" s="45"/>
      <c r="G896" s="45"/>
      <c r="H896" s="45"/>
      <c r="I896" s="45"/>
      <c r="J896" s="45"/>
      <c r="K896" s="45"/>
      <c r="L896" s="46"/>
      <c r="M896" s="46"/>
      <c r="N896" s="46"/>
      <c r="O896" s="46"/>
      <c r="P896" s="46"/>
      <c r="Q896" s="45"/>
      <c r="R896" s="45"/>
      <c r="S896" s="45"/>
      <c r="T896" s="45"/>
      <c r="U896" s="45"/>
      <c r="V896" s="45"/>
      <c r="W896" s="45"/>
    </row>
    <row r="897" spans="1:23" ht="11.25" customHeight="1">
      <c r="A897" s="48"/>
      <c r="B897" s="48"/>
      <c r="C897" s="45"/>
      <c r="D897" s="45"/>
      <c r="E897" s="45"/>
      <c r="F897" s="45"/>
      <c r="G897" s="45"/>
      <c r="H897" s="45"/>
      <c r="I897" s="45"/>
      <c r="J897" s="45"/>
      <c r="K897" s="45"/>
      <c r="L897" s="46"/>
      <c r="M897" s="46"/>
      <c r="N897" s="46"/>
      <c r="O897" s="46"/>
      <c r="P897" s="46"/>
      <c r="Q897" s="45"/>
      <c r="R897" s="45"/>
      <c r="S897" s="45"/>
      <c r="T897" s="45"/>
      <c r="U897" s="45"/>
      <c r="V897" s="45"/>
      <c r="W897" s="45"/>
    </row>
    <row r="898" spans="1:23" ht="11.25" customHeight="1">
      <c r="A898" s="48"/>
      <c r="B898" s="48"/>
      <c r="C898" s="45"/>
      <c r="D898" s="45"/>
      <c r="E898" s="45"/>
      <c r="F898" s="45"/>
      <c r="G898" s="45"/>
      <c r="H898" s="45"/>
      <c r="I898" s="45"/>
      <c r="J898" s="45"/>
      <c r="K898" s="45"/>
      <c r="L898" s="46"/>
      <c r="M898" s="46"/>
      <c r="N898" s="46"/>
      <c r="O898" s="46"/>
      <c r="P898" s="46"/>
      <c r="Q898" s="45"/>
      <c r="R898" s="45"/>
      <c r="S898" s="45"/>
      <c r="T898" s="45"/>
      <c r="U898" s="45"/>
      <c r="V898" s="45"/>
      <c r="W898" s="45"/>
    </row>
    <row r="899" spans="1:23" ht="11.25" customHeight="1">
      <c r="A899" s="48"/>
      <c r="B899" s="48"/>
      <c r="C899" s="45"/>
      <c r="D899" s="45"/>
      <c r="E899" s="45"/>
      <c r="F899" s="45"/>
      <c r="G899" s="45"/>
      <c r="H899" s="45"/>
      <c r="I899" s="45"/>
      <c r="J899" s="45"/>
      <c r="K899" s="45"/>
      <c r="L899" s="46"/>
      <c r="M899" s="46"/>
      <c r="N899" s="46"/>
      <c r="O899" s="46"/>
      <c r="P899" s="46"/>
      <c r="Q899" s="45"/>
      <c r="R899" s="45"/>
      <c r="S899" s="45"/>
      <c r="T899" s="45"/>
      <c r="U899" s="45"/>
      <c r="V899" s="45"/>
      <c r="W899" s="45"/>
    </row>
    <row r="900" spans="1:23" ht="11.25" customHeight="1">
      <c r="A900" s="48"/>
      <c r="B900" s="48"/>
      <c r="C900" s="45"/>
      <c r="D900" s="45"/>
      <c r="E900" s="45"/>
      <c r="F900" s="45"/>
      <c r="G900" s="45"/>
      <c r="H900" s="45"/>
      <c r="I900" s="45"/>
      <c r="J900" s="45"/>
      <c r="K900" s="45"/>
      <c r="L900" s="46"/>
      <c r="M900" s="46"/>
      <c r="N900" s="46"/>
      <c r="O900" s="46"/>
      <c r="P900" s="46"/>
      <c r="Q900" s="45"/>
      <c r="R900" s="45"/>
      <c r="S900" s="45"/>
      <c r="T900" s="45"/>
      <c r="U900" s="45"/>
      <c r="V900" s="45"/>
      <c r="W900" s="45"/>
    </row>
    <row r="901" spans="1:23" ht="11.25" customHeight="1">
      <c r="A901" s="48"/>
      <c r="B901" s="48"/>
      <c r="C901" s="45"/>
      <c r="D901" s="45"/>
      <c r="E901" s="45"/>
      <c r="F901" s="45"/>
      <c r="G901" s="45"/>
      <c r="H901" s="45"/>
      <c r="I901" s="45"/>
      <c r="J901" s="45"/>
      <c r="K901" s="45"/>
      <c r="L901" s="46"/>
      <c r="M901" s="46"/>
      <c r="N901" s="46"/>
      <c r="O901" s="46"/>
      <c r="P901" s="46"/>
      <c r="Q901" s="45"/>
      <c r="R901" s="45"/>
      <c r="S901" s="45"/>
      <c r="T901" s="45"/>
      <c r="U901" s="45"/>
      <c r="V901" s="45"/>
      <c r="W901" s="45"/>
    </row>
    <row r="902" spans="1:23" ht="11.25" customHeight="1">
      <c r="A902" s="48"/>
      <c r="B902" s="48"/>
      <c r="C902" s="45"/>
      <c r="D902" s="45"/>
      <c r="E902" s="45"/>
      <c r="F902" s="45"/>
      <c r="G902" s="45"/>
      <c r="H902" s="45"/>
      <c r="I902" s="45"/>
      <c r="J902" s="45"/>
      <c r="K902" s="45"/>
      <c r="L902" s="46"/>
      <c r="M902" s="46"/>
      <c r="N902" s="46"/>
      <c r="O902" s="46"/>
      <c r="P902" s="46"/>
      <c r="Q902" s="45"/>
      <c r="R902" s="45"/>
      <c r="S902" s="45"/>
      <c r="T902" s="45"/>
      <c r="U902" s="45"/>
      <c r="V902" s="45"/>
      <c r="W902" s="45"/>
    </row>
    <row r="903" spans="1:23" ht="11.25" customHeight="1">
      <c r="A903" s="48"/>
      <c r="B903" s="48"/>
      <c r="C903" s="45"/>
      <c r="D903" s="45"/>
      <c r="E903" s="45"/>
      <c r="F903" s="45"/>
      <c r="G903" s="45"/>
      <c r="H903" s="45"/>
      <c r="I903" s="45"/>
      <c r="J903" s="45"/>
      <c r="K903" s="45"/>
      <c r="L903" s="46"/>
      <c r="M903" s="46"/>
      <c r="N903" s="46"/>
      <c r="O903" s="46"/>
      <c r="P903" s="46"/>
      <c r="Q903" s="45"/>
      <c r="R903" s="45"/>
      <c r="S903" s="45"/>
      <c r="T903" s="45"/>
      <c r="U903" s="45"/>
      <c r="V903" s="45"/>
      <c r="W903" s="45"/>
    </row>
    <row r="904" spans="1:23" ht="11.25" customHeight="1">
      <c r="A904" s="48"/>
      <c r="B904" s="48"/>
      <c r="C904" s="45"/>
      <c r="D904" s="45"/>
      <c r="E904" s="45"/>
      <c r="F904" s="45"/>
      <c r="G904" s="45"/>
      <c r="H904" s="45"/>
      <c r="I904" s="45"/>
      <c r="J904" s="45"/>
      <c r="K904" s="45"/>
      <c r="L904" s="46"/>
      <c r="M904" s="46"/>
      <c r="N904" s="46"/>
      <c r="O904" s="46"/>
      <c r="P904" s="46"/>
      <c r="Q904" s="45"/>
      <c r="R904" s="45"/>
      <c r="S904" s="45"/>
      <c r="T904" s="45"/>
      <c r="U904" s="45"/>
      <c r="V904" s="45"/>
      <c r="W904" s="45"/>
    </row>
    <row r="905" spans="1:23" ht="11.25" customHeight="1">
      <c r="A905" s="48"/>
      <c r="B905" s="48"/>
      <c r="C905" s="45"/>
      <c r="D905" s="45"/>
      <c r="E905" s="45"/>
      <c r="F905" s="45"/>
      <c r="G905" s="45"/>
      <c r="H905" s="45"/>
      <c r="I905" s="45"/>
      <c r="J905" s="45"/>
      <c r="K905" s="45"/>
      <c r="L905" s="46"/>
      <c r="M905" s="46"/>
      <c r="N905" s="46"/>
      <c r="O905" s="46"/>
      <c r="P905" s="46"/>
      <c r="Q905" s="45"/>
      <c r="R905" s="45"/>
      <c r="S905" s="45"/>
      <c r="T905" s="45"/>
      <c r="U905" s="45"/>
      <c r="V905" s="45"/>
      <c r="W905" s="45"/>
    </row>
    <row r="906" spans="1:23" ht="11.25" customHeight="1">
      <c r="A906" s="48"/>
      <c r="B906" s="48"/>
      <c r="C906" s="45"/>
      <c r="D906" s="45"/>
      <c r="E906" s="45"/>
      <c r="F906" s="45"/>
      <c r="G906" s="45"/>
      <c r="H906" s="45"/>
      <c r="I906" s="45"/>
      <c r="J906" s="45"/>
      <c r="K906" s="45"/>
      <c r="L906" s="46"/>
      <c r="M906" s="46"/>
      <c r="N906" s="46"/>
      <c r="O906" s="46"/>
      <c r="P906" s="46"/>
      <c r="Q906" s="45"/>
      <c r="R906" s="45"/>
      <c r="S906" s="45"/>
      <c r="T906" s="45"/>
      <c r="U906" s="45"/>
      <c r="V906" s="45"/>
      <c r="W906" s="45"/>
    </row>
    <row r="907" spans="1:23" ht="11.25" customHeight="1">
      <c r="A907" s="48"/>
      <c r="B907" s="48"/>
      <c r="C907" s="45"/>
      <c r="D907" s="45"/>
      <c r="E907" s="45"/>
      <c r="F907" s="45"/>
      <c r="G907" s="45"/>
      <c r="H907" s="45"/>
      <c r="I907" s="45"/>
      <c r="J907" s="45"/>
      <c r="K907" s="45"/>
      <c r="L907" s="46"/>
      <c r="M907" s="46"/>
      <c r="N907" s="46"/>
      <c r="O907" s="46"/>
      <c r="P907" s="46"/>
      <c r="Q907" s="45"/>
      <c r="R907" s="45"/>
      <c r="S907" s="45"/>
      <c r="T907" s="45"/>
      <c r="U907" s="45"/>
      <c r="V907" s="45"/>
      <c r="W907" s="45"/>
    </row>
    <row r="908" spans="1:23" ht="11.25" customHeight="1">
      <c r="A908" s="48"/>
      <c r="B908" s="48"/>
      <c r="C908" s="45"/>
      <c r="D908" s="45"/>
      <c r="E908" s="45"/>
      <c r="F908" s="45"/>
      <c r="G908" s="45"/>
      <c r="H908" s="45"/>
      <c r="I908" s="45"/>
      <c r="J908" s="45"/>
      <c r="K908" s="45"/>
      <c r="L908" s="46"/>
      <c r="M908" s="46"/>
      <c r="N908" s="46"/>
      <c r="O908" s="46"/>
      <c r="P908" s="46"/>
      <c r="Q908" s="45"/>
      <c r="R908" s="45"/>
      <c r="S908" s="45"/>
      <c r="T908" s="45"/>
      <c r="U908" s="45"/>
      <c r="V908" s="45"/>
      <c r="W908" s="45"/>
    </row>
    <row r="909" spans="1:23" ht="11.25" customHeight="1">
      <c r="A909" s="48"/>
      <c r="B909" s="48"/>
      <c r="C909" s="45"/>
      <c r="D909" s="45"/>
      <c r="E909" s="45"/>
      <c r="F909" s="45"/>
      <c r="G909" s="45"/>
      <c r="H909" s="45"/>
      <c r="I909" s="45"/>
      <c r="J909" s="45"/>
      <c r="K909" s="45"/>
      <c r="L909" s="46"/>
      <c r="M909" s="46"/>
      <c r="N909" s="46"/>
      <c r="O909" s="46"/>
      <c r="P909" s="46"/>
      <c r="Q909" s="45"/>
      <c r="R909" s="45"/>
      <c r="S909" s="45"/>
      <c r="T909" s="45"/>
      <c r="U909" s="45"/>
      <c r="V909" s="45"/>
      <c r="W909" s="45"/>
    </row>
    <row r="910" spans="1:23" ht="11.25" customHeight="1">
      <c r="A910" s="48"/>
      <c r="B910" s="48"/>
      <c r="C910" s="45"/>
      <c r="D910" s="45"/>
      <c r="E910" s="45"/>
      <c r="F910" s="45"/>
      <c r="G910" s="45"/>
      <c r="H910" s="45"/>
      <c r="I910" s="45"/>
      <c r="J910" s="45"/>
      <c r="K910" s="45"/>
      <c r="L910" s="46"/>
      <c r="M910" s="46"/>
      <c r="N910" s="46"/>
      <c r="O910" s="46"/>
      <c r="P910" s="46"/>
      <c r="Q910" s="45"/>
      <c r="R910" s="45"/>
      <c r="S910" s="45"/>
      <c r="T910" s="45"/>
      <c r="U910" s="45"/>
      <c r="V910" s="45"/>
      <c r="W910" s="45"/>
    </row>
    <row r="911" spans="1:23" ht="11.25" customHeight="1">
      <c r="A911" s="48"/>
      <c r="B911" s="48"/>
      <c r="C911" s="45"/>
      <c r="D911" s="45"/>
      <c r="E911" s="45"/>
      <c r="F911" s="45"/>
      <c r="G911" s="45"/>
      <c r="H911" s="45"/>
      <c r="I911" s="45"/>
      <c r="J911" s="45"/>
      <c r="K911" s="45"/>
      <c r="L911" s="46"/>
      <c r="M911" s="46"/>
      <c r="N911" s="46"/>
      <c r="O911" s="46"/>
      <c r="P911" s="46"/>
      <c r="Q911" s="45"/>
      <c r="R911" s="45"/>
      <c r="S911" s="45"/>
      <c r="T911" s="45"/>
      <c r="U911" s="45"/>
      <c r="V911" s="45"/>
      <c r="W911" s="45"/>
    </row>
    <row r="912" spans="1:23" ht="11.25" customHeight="1">
      <c r="A912" s="48"/>
      <c r="B912" s="48"/>
      <c r="C912" s="45"/>
      <c r="D912" s="45"/>
      <c r="E912" s="45"/>
      <c r="F912" s="45"/>
      <c r="G912" s="45"/>
      <c r="H912" s="45"/>
      <c r="I912" s="45"/>
      <c r="J912" s="45"/>
      <c r="K912" s="45"/>
      <c r="L912" s="46"/>
      <c r="M912" s="46"/>
      <c r="N912" s="46"/>
      <c r="O912" s="46"/>
      <c r="P912" s="46"/>
      <c r="Q912" s="45"/>
      <c r="R912" s="45"/>
      <c r="S912" s="45"/>
      <c r="T912" s="45"/>
      <c r="U912" s="45"/>
      <c r="V912" s="45"/>
      <c r="W912" s="45"/>
    </row>
    <row r="913" spans="1:23" ht="11.25" customHeight="1">
      <c r="A913" s="48"/>
      <c r="B913" s="48"/>
      <c r="C913" s="45"/>
      <c r="D913" s="45"/>
      <c r="E913" s="45"/>
      <c r="F913" s="45"/>
      <c r="G913" s="45"/>
      <c r="H913" s="45"/>
      <c r="I913" s="45"/>
      <c r="J913" s="45"/>
      <c r="K913" s="45"/>
      <c r="L913" s="46"/>
      <c r="M913" s="46"/>
      <c r="N913" s="46"/>
      <c r="O913" s="46"/>
      <c r="P913" s="46"/>
      <c r="Q913" s="45"/>
      <c r="R913" s="45"/>
      <c r="S913" s="45"/>
      <c r="T913" s="45"/>
      <c r="U913" s="45"/>
      <c r="V913" s="45"/>
      <c r="W913" s="45"/>
    </row>
    <row r="914" spans="1:23" ht="11.25" customHeight="1">
      <c r="A914" s="48"/>
      <c r="B914" s="48"/>
      <c r="C914" s="45"/>
      <c r="D914" s="45"/>
      <c r="E914" s="45"/>
      <c r="F914" s="45"/>
      <c r="G914" s="45"/>
      <c r="H914" s="45"/>
      <c r="I914" s="45"/>
      <c r="J914" s="45"/>
      <c r="K914" s="45"/>
      <c r="L914" s="46"/>
      <c r="M914" s="46"/>
      <c r="N914" s="46"/>
      <c r="O914" s="46"/>
      <c r="P914" s="46"/>
      <c r="Q914" s="45"/>
      <c r="R914" s="45"/>
      <c r="S914" s="45"/>
      <c r="T914" s="45"/>
      <c r="U914" s="45"/>
      <c r="V914" s="45"/>
      <c r="W914" s="45"/>
    </row>
    <row r="915" spans="1:23" ht="11.25" customHeight="1">
      <c r="A915" s="48"/>
      <c r="B915" s="48"/>
      <c r="C915" s="45"/>
      <c r="D915" s="45"/>
      <c r="E915" s="45"/>
      <c r="F915" s="45"/>
      <c r="G915" s="45"/>
      <c r="H915" s="45"/>
      <c r="I915" s="45"/>
      <c r="J915" s="45"/>
      <c r="K915" s="45"/>
      <c r="L915" s="46"/>
      <c r="M915" s="46"/>
      <c r="N915" s="46"/>
      <c r="O915" s="46"/>
      <c r="P915" s="46"/>
      <c r="Q915" s="45"/>
      <c r="R915" s="45"/>
      <c r="S915" s="45"/>
      <c r="T915" s="45"/>
      <c r="U915" s="45"/>
      <c r="V915" s="45"/>
      <c r="W915" s="45"/>
    </row>
    <row r="916" spans="1:23" ht="11.25" customHeight="1">
      <c r="A916" s="48"/>
      <c r="B916" s="48"/>
      <c r="C916" s="45"/>
      <c r="D916" s="45"/>
      <c r="E916" s="45"/>
      <c r="F916" s="45"/>
      <c r="G916" s="45"/>
      <c r="H916" s="45"/>
      <c r="I916" s="45"/>
      <c r="J916" s="45"/>
      <c r="K916" s="45"/>
      <c r="L916" s="46"/>
      <c r="M916" s="46"/>
      <c r="N916" s="46"/>
      <c r="O916" s="46"/>
      <c r="P916" s="46"/>
      <c r="Q916" s="45"/>
      <c r="R916" s="45"/>
      <c r="S916" s="45"/>
      <c r="T916" s="45"/>
      <c r="U916" s="45"/>
      <c r="V916" s="45"/>
      <c r="W916" s="45"/>
    </row>
    <row r="917" spans="1:23" ht="11.25" customHeight="1">
      <c r="A917" s="48"/>
      <c r="B917" s="48"/>
      <c r="C917" s="45"/>
      <c r="D917" s="45"/>
      <c r="E917" s="45"/>
      <c r="F917" s="45"/>
      <c r="G917" s="45"/>
      <c r="H917" s="45"/>
      <c r="I917" s="45"/>
      <c r="J917" s="45"/>
      <c r="K917" s="45"/>
      <c r="L917" s="46"/>
      <c r="M917" s="46"/>
      <c r="N917" s="46"/>
      <c r="O917" s="46"/>
      <c r="P917" s="46"/>
      <c r="Q917" s="45"/>
      <c r="R917" s="45"/>
      <c r="S917" s="45"/>
      <c r="T917" s="45"/>
      <c r="U917" s="45"/>
      <c r="V917" s="45"/>
      <c r="W917" s="45"/>
    </row>
    <row r="918" spans="1:23" ht="11.25" customHeight="1">
      <c r="A918" s="48"/>
      <c r="B918" s="48"/>
      <c r="C918" s="45"/>
      <c r="D918" s="45"/>
      <c r="E918" s="45"/>
      <c r="F918" s="45"/>
      <c r="G918" s="45"/>
      <c r="H918" s="45"/>
      <c r="I918" s="45"/>
      <c r="J918" s="45"/>
      <c r="K918" s="45"/>
      <c r="L918" s="46"/>
      <c r="M918" s="46"/>
      <c r="N918" s="46"/>
      <c r="O918" s="46"/>
      <c r="P918" s="46"/>
      <c r="Q918" s="45"/>
      <c r="R918" s="45"/>
      <c r="S918" s="45"/>
      <c r="T918" s="45"/>
      <c r="U918" s="45"/>
      <c r="V918" s="45"/>
      <c r="W918" s="45"/>
    </row>
    <row r="919" spans="1:23" ht="11.25" customHeight="1">
      <c r="A919" s="48"/>
      <c r="B919" s="48"/>
      <c r="C919" s="45"/>
      <c r="D919" s="45"/>
      <c r="E919" s="45"/>
      <c r="F919" s="45"/>
      <c r="G919" s="45"/>
      <c r="H919" s="45"/>
      <c r="I919" s="45"/>
      <c r="J919" s="45"/>
      <c r="K919" s="45"/>
      <c r="L919" s="46"/>
      <c r="M919" s="46"/>
      <c r="N919" s="46"/>
      <c r="O919" s="46"/>
      <c r="P919" s="46"/>
      <c r="Q919" s="45"/>
      <c r="R919" s="45"/>
      <c r="S919" s="45"/>
      <c r="T919" s="45"/>
      <c r="U919" s="45"/>
      <c r="V919" s="45"/>
      <c r="W919" s="45"/>
    </row>
    <row r="920" spans="1:23" ht="11.25" customHeight="1">
      <c r="A920" s="48"/>
      <c r="B920" s="48"/>
      <c r="C920" s="45"/>
      <c r="D920" s="45"/>
      <c r="E920" s="45"/>
      <c r="F920" s="45"/>
      <c r="G920" s="45"/>
      <c r="H920" s="45"/>
      <c r="I920" s="45"/>
      <c r="J920" s="45"/>
      <c r="K920" s="45"/>
      <c r="L920" s="46"/>
      <c r="M920" s="46"/>
      <c r="N920" s="46"/>
      <c r="O920" s="46"/>
      <c r="P920" s="46"/>
      <c r="Q920" s="45"/>
      <c r="R920" s="45"/>
      <c r="S920" s="45"/>
      <c r="T920" s="45"/>
      <c r="U920" s="45"/>
      <c r="V920" s="45"/>
      <c r="W920" s="45"/>
    </row>
    <row r="921" spans="1:23" ht="11.25" customHeight="1">
      <c r="A921" s="48"/>
      <c r="B921" s="48"/>
      <c r="C921" s="45"/>
      <c r="D921" s="45"/>
      <c r="E921" s="45"/>
      <c r="F921" s="45"/>
      <c r="G921" s="45"/>
      <c r="H921" s="45"/>
      <c r="I921" s="45"/>
      <c r="J921" s="45"/>
      <c r="K921" s="45"/>
      <c r="L921" s="46"/>
      <c r="M921" s="46"/>
      <c r="N921" s="46"/>
      <c r="O921" s="46"/>
      <c r="P921" s="46"/>
      <c r="Q921" s="45"/>
      <c r="R921" s="45"/>
      <c r="S921" s="45"/>
      <c r="T921" s="45"/>
      <c r="U921" s="45"/>
      <c r="V921" s="45"/>
      <c r="W921" s="45"/>
    </row>
    <row r="922" spans="1:23" ht="11.25" customHeight="1">
      <c r="A922" s="48"/>
      <c r="B922" s="48"/>
      <c r="C922" s="45"/>
      <c r="D922" s="45"/>
      <c r="E922" s="45"/>
      <c r="F922" s="45"/>
      <c r="G922" s="45"/>
      <c r="H922" s="45"/>
      <c r="I922" s="45"/>
      <c r="J922" s="45"/>
      <c r="K922" s="45"/>
      <c r="L922" s="46"/>
      <c r="M922" s="46"/>
      <c r="N922" s="46"/>
      <c r="O922" s="46"/>
      <c r="P922" s="46"/>
      <c r="Q922" s="45"/>
      <c r="R922" s="45"/>
      <c r="S922" s="45"/>
      <c r="T922" s="45"/>
      <c r="U922" s="45"/>
      <c r="V922" s="45"/>
      <c r="W922" s="45"/>
    </row>
    <row r="923" spans="1:23" ht="11.25" customHeight="1">
      <c r="A923" s="48"/>
      <c r="B923" s="48"/>
      <c r="C923" s="45"/>
      <c r="D923" s="45"/>
      <c r="E923" s="45"/>
      <c r="F923" s="45"/>
      <c r="G923" s="45"/>
      <c r="H923" s="45"/>
      <c r="I923" s="45"/>
      <c r="J923" s="45"/>
      <c r="K923" s="45"/>
      <c r="L923" s="46"/>
      <c r="M923" s="46"/>
      <c r="N923" s="46"/>
      <c r="O923" s="46"/>
      <c r="P923" s="46"/>
      <c r="Q923" s="45"/>
      <c r="R923" s="45"/>
      <c r="S923" s="45"/>
      <c r="T923" s="45"/>
      <c r="U923" s="45"/>
      <c r="V923" s="45"/>
      <c r="W923" s="45"/>
    </row>
    <row r="924" spans="1:23" ht="11.25" customHeight="1">
      <c r="A924" s="48"/>
      <c r="B924" s="48"/>
      <c r="C924" s="45"/>
      <c r="D924" s="45"/>
      <c r="E924" s="45"/>
      <c r="F924" s="45"/>
      <c r="G924" s="45"/>
      <c r="H924" s="45"/>
      <c r="I924" s="45"/>
      <c r="J924" s="45"/>
      <c r="K924" s="45"/>
      <c r="L924" s="46"/>
      <c r="M924" s="46"/>
      <c r="N924" s="46"/>
      <c r="O924" s="46"/>
      <c r="P924" s="46"/>
      <c r="Q924" s="45"/>
      <c r="R924" s="45"/>
      <c r="S924" s="45"/>
      <c r="T924" s="45"/>
      <c r="U924" s="45"/>
      <c r="V924" s="45"/>
      <c r="W924" s="45"/>
    </row>
    <row r="925" spans="1:23" ht="11.25" customHeight="1">
      <c r="A925" s="48"/>
      <c r="B925" s="48"/>
      <c r="C925" s="45"/>
      <c r="D925" s="45"/>
      <c r="E925" s="45"/>
      <c r="F925" s="45"/>
      <c r="G925" s="45"/>
      <c r="H925" s="45"/>
      <c r="I925" s="45"/>
      <c r="J925" s="45"/>
      <c r="K925" s="45"/>
      <c r="L925" s="46"/>
      <c r="M925" s="46"/>
      <c r="N925" s="46"/>
      <c r="O925" s="46"/>
      <c r="P925" s="46"/>
      <c r="Q925" s="45"/>
      <c r="R925" s="45"/>
      <c r="S925" s="45"/>
      <c r="T925" s="45"/>
      <c r="U925" s="45"/>
      <c r="V925" s="45"/>
      <c r="W925" s="45"/>
    </row>
    <row r="926" spans="1:23" ht="11.25" customHeight="1">
      <c r="A926" s="48"/>
      <c r="B926" s="48"/>
      <c r="C926" s="45"/>
      <c r="D926" s="45"/>
      <c r="E926" s="45"/>
      <c r="F926" s="45"/>
      <c r="G926" s="45"/>
      <c r="H926" s="45"/>
      <c r="I926" s="45"/>
      <c r="J926" s="45"/>
      <c r="K926" s="45"/>
      <c r="L926" s="46"/>
      <c r="M926" s="46"/>
      <c r="N926" s="46"/>
      <c r="O926" s="46"/>
      <c r="P926" s="46"/>
      <c r="Q926" s="45"/>
      <c r="R926" s="45"/>
      <c r="S926" s="45"/>
      <c r="T926" s="45"/>
      <c r="U926" s="45"/>
      <c r="V926" s="45"/>
      <c r="W926" s="45"/>
    </row>
    <row r="927" spans="1:23" ht="11.25" customHeight="1">
      <c r="A927" s="48"/>
      <c r="B927" s="48"/>
      <c r="C927" s="45"/>
      <c r="D927" s="45"/>
      <c r="E927" s="45"/>
      <c r="F927" s="45"/>
      <c r="G927" s="45"/>
      <c r="H927" s="45"/>
      <c r="I927" s="45"/>
      <c r="J927" s="45"/>
      <c r="K927" s="45"/>
      <c r="L927" s="46"/>
      <c r="M927" s="46"/>
      <c r="N927" s="46"/>
      <c r="O927" s="46"/>
      <c r="P927" s="46"/>
      <c r="Q927" s="45"/>
      <c r="R927" s="45"/>
      <c r="S927" s="45"/>
      <c r="T927" s="45"/>
      <c r="U927" s="45"/>
      <c r="V927" s="45"/>
      <c r="W927" s="45"/>
    </row>
    <row r="928" spans="1:23" ht="11.25" customHeight="1">
      <c r="A928" s="48"/>
      <c r="B928" s="48"/>
      <c r="C928" s="45"/>
      <c r="D928" s="45"/>
      <c r="E928" s="45"/>
      <c r="F928" s="45"/>
      <c r="G928" s="45"/>
      <c r="H928" s="45"/>
      <c r="I928" s="45"/>
      <c r="J928" s="45"/>
      <c r="K928" s="45"/>
      <c r="L928" s="46"/>
      <c r="M928" s="46"/>
      <c r="N928" s="46"/>
      <c r="O928" s="46"/>
      <c r="P928" s="46"/>
      <c r="Q928" s="45"/>
      <c r="R928" s="45"/>
      <c r="S928" s="45"/>
      <c r="T928" s="45"/>
      <c r="U928" s="45"/>
      <c r="V928" s="45"/>
      <c r="W928" s="45"/>
    </row>
    <row r="929" spans="1:23" ht="11.25" customHeight="1">
      <c r="A929" s="48"/>
      <c r="B929" s="48"/>
      <c r="C929" s="45"/>
      <c r="D929" s="45"/>
      <c r="E929" s="45"/>
      <c r="F929" s="45"/>
      <c r="G929" s="45"/>
      <c r="H929" s="45"/>
      <c r="I929" s="45"/>
      <c r="J929" s="45"/>
      <c r="K929" s="45"/>
      <c r="L929" s="46"/>
      <c r="M929" s="46"/>
      <c r="N929" s="46"/>
      <c r="O929" s="46"/>
      <c r="P929" s="46"/>
      <c r="Q929" s="45"/>
      <c r="R929" s="45"/>
      <c r="S929" s="45"/>
      <c r="T929" s="45"/>
      <c r="U929" s="45"/>
      <c r="V929" s="45"/>
      <c r="W929" s="45"/>
    </row>
    <row r="930" spans="1:23" ht="11.25" customHeight="1">
      <c r="A930" s="48"/>
      <c r="B930" s="48"/>
      <c r="C930" s="45"/>
      <c r="D930" s="45"/>
      <c r="E930" s="45"/>
      <c r="F930" s="45"/>
      <c r="G930" s="45"/>
      <c r="H930" s="45"/>
      <c r="I930" s="45"/>
      <c r="J930" s="45"/>
      <c r="K930" s="45"/>
      <c r="L930" s="46"/>
      <c r="M930" s="46"/>
      <c r="N930" s="46"/>
      <c r="O930" s="46"/>
      <c r="P930" s="46"/>
      <c r="Q930" s="45"/>
      <c r="R930" s="45"/>
      <c r="S930" s="45"/>
      <c r="T930" s="45"/>
      <c r="U930" s="45"/>
      <c r="V930" s="45"/>
      <c r="W930" s="45"/>
    </row>
    <row r="931" spans="1:23" ht="11.25" customHeight="1">
      <c r="A931" s="48"/>
      <c r="B931" s="48"/>
      <c r="C931" s="45"/>
      <c r="D931" s="45"/>
      <c r="E931" s="45"/>
      <c r="F931" s="45"/>
      <c r="G931" s="45"/>
      <c r="H931" s="45"/>
      <c r="I931" s="45"/>
      <c r="J931" s="45"/>
      <c r="K931" s="45"/>
      <c r="L931" s="46"/>
      <c r="M931" s="46"/>
      <c r="N931" s="46"/>
      <c r="O931" s="46"/>
      <c r="P931" s="46"/>
      <c r="Q931" s="45"/>
      <c r="R931" s="45"/>
      <c r="S931" s="45"/>
      <c r="T931" s="45"/>
      <c r="U931" s="45"/>
      <c r="V931" s="45"/>
      <c r="W931" s="45"/>
    </row>
    <row r="932" spans="1:23" ht="11.25" customHeight="1">
      <c r="A932" s="48"/>
      <c r="B932" s="48"/>
      <c r="C932" s="45"/>
      <c r="D932" s="45"/>
      <c r="E932" s="45"/>
      <c r="F932" s="45"/>
      <c r="G932" s="45"/>
      <c r="H932" s="45"/>
      <c r="I932" s="45"/>
      <c r="J932" s="45"/>
      <c r="K932" s="45"/>
      <c r="L932" s="46"/>
      <c r="M932" s="46"/>
      <c r="N932" s="46"/>
      <c r="O932" s="46"/>
      <c r="P932" s="46"/>
      <c r="Q932" s="45"/>
      <c r="R932" s="45"/>
      <c r="S932" s="45"/>
      <c r="T932" s="45"/>
      <c r="U932" s="45"/>
      <c r="V932" s="45"/>
      <c r="W932" s="45"/>
    </row>
    <row r="933" spans="1:23" ht="11.25" customHeight="1">
      <c r="A933" s="48"/>
      <c r="B933" s="48"/>
      <c r="C933" s="45"/>
      <c r="D933" s="45"/>
      <c r="E933" s="45"/>
      <c r="F933" s="45"/>
      <c r="G933" s="45"/>
      <c r="H933" s="45"/>
      <c r="I933" s="45"/>
      <c r="J933" s="45"/>
      <c r="K933" s="45"/>
      <c r="L933" s="46"/>
      <c r="M933" s="46"/>
      <c r="N933" s="46"/>
      <c r="O933" s="46"/>
      <c r="P933" s="46"/>
      <c r="Q933" s="45"/>
      <c r="R933" s="45"/>
      <c r="S933" s="45"/>
      <c r="T933" s="45"/>
      <c r="U933" s="45"/>
      <c r="V933" s="45"/>
      <c r="W933" s="45"/>
    </row>
    <row r="934" spans="1:23" ht="11.25" customHeight="1">
      <c r="A934" s="48"/>
      <c r="B934" s="48"/>
      <c r="C934" s="45"/>
      <c r="D934" s="45"/>
      <c r="E934" s="45"/>
      <c r="F934" s="45"/>
      <c r="G934" s="45"/>
      <c r="H934" s="45"/>
      <c r="I934" s="45"/>
      <c r="J934" s="45"/>
      <c r="K934" s="45"/>
      <c r="L934" s="46"/>
      <c r="M934" s="46"/>
      <c r="N934" s="46"/>
      <c r="O934" s="46"/>
      <c r="P934" s="46"/>
      <c r="Q934" s="45"/>
      <c r="R934" s="45"/>
      <c r="S934" s="45"/>
      <c r="T934" s="45"/>
      <c r="U934" s="45"/>
      <c r="V934" s="45"/>
      <c r="W934" s="45"/>
    </row>
    <row r="935" spans="1:23" ht="11.25" customHeight="1">
      <c r="A935" s="48"/>
      <c r="B935" s="48"/>
      <c r="C935" s="45"/>
      <c r="D935" s="45"/>
      <c r="E935" s="45"/>
      <c r="F935" s="45"/>
      <c r="G935" s="45"/>
      <c r="H935" s="45"/>
      <c r="I935" s="45"/>
      <c r="J935" s="45"/>
      <c r="K935" s="45"/>
      <c r="L935" s="46"/>
      <c r="M935" s="46"/>
      <c r="N935" s="46"/>
      <c r="O935" s="46"/>
      <c r="P935" s="46"/>
      <c r="Q935" s="45"/>
      <c r="R935" s="45"/>
      <c r="S935" s="45"/>
      <c r="T935" s="45"/>
      <c r="U935" s="45"/>
      <c r="V935" s="45"/>
      <c r="W935" s="45"/>
    </row>
    <row r="936" spans="1:23" ht="11.25" customHeight="1">
      <c r="A936" s="48"/>
      <c r="B936" s="48"/>
      <c r="C936" s="45"/>
      <c r="D936" s="45"/>
      <c r="E936" s="45"/>
      <c r="F936" s="45"/>
      <c r="G936" s="45"/>
      <c r="H936" s="45"/>
      <c r="I936" s="45"/>
      <c r="J936" s="45"/>
      <c r="K936" s="45"/>
      <c r="L936" s="46"/>
      <c r="M936" s="46"/>
      <c r="N936" s="46"/>
      <c r="O936" s="46"/>
      <c r="P936" s="46"/>
      <c r="Q936" s="45"/>
      <c r="R936" s="45"/>
      <c r="S936" s="45"/>
      <c r="T936" s="45"/>
      <c r="U936" s="45"/>
      <c r="V936" s="45"/>
      <c r="W936" s="45"/>
    </row>
    <row r="937" spans="1:23" ht="11.25" customHeight="1">
      <c r="A937" s="48"/>
      <c r="B937" s="48"/>
      <c r="C937" s="45"/>
      <c r="D937" s="45"/>
      <c r="E937" s="45"/>
      <c r="F937" s="45"/>
      <c r="G937" s="45"/>
      <c r="H937" s="45"/>
      <c r="I937" s="45"/>
      <c r="J937" s="45"/>
      <c r="K937" s="45"/>
      <c r="L937" s="46"/>
      <c r="M937" s="46"/>
      <c r="N937" s="46"/>
      <c r="O937" s="46"/>
      <c r="P937" s="46"/>
      <c r="Q937" s="45"/>
      <c r="R937" s="45"/>
      <c r="S937" s="45"/>
      <c r="T937" s="45"/>
      <c r="U937" s="45"/>
      <c r="V937" s="45"/>
      <c r="W937" s="45"/>
    </row>
    <row r="938" spans="1:23" ht="11.25" customHeight="1">
      <c r="A938" s="48"/>
      <c r="B938" s="48"/>
      <c r="C938" s="45"/>
      <c r="D938" s="45"/>
      <c r="E938" s="45"/>
      <c r="F938" s="45"/>
      <c r="G938" s="45"/>
      <c r="H938" s="45"/>
      <c r="I938" s="45"/>
      <c r="J938" s="45"/>
      <c r="K938" s="45"/>
      <c r="L938" s="46"/>
      <c r="M938" s="46"/>
      <c r="N938" s="46"/>
      <c r="O938" s="46"/>
      <c r="P938" s="46"/>
      <c r="Q938" s="45"/>
      <c r="R938" s="45"/>
      <c r="S938" s="45"/>
      <c r="T938" s="45"/>
      <c r="U938" s="45"/>
      <c r="V938" s="45"/>
      <c r="W938" s="45"/>
    </row>
    <row r="939" spans="1:23" ht="11.25" customHeight="1">
      <c r="A939" s="48"/>
      <c r="B939" s="48"/>
      <c r="C939" s="45"/>
      <c r="D939" s="45"/>
      <c r="E939" s="45"/>
      <c r="F939" s="45"/>
      <c r="G939" s="45"/>
      <c r="H939" s="45"/>
      <c r="I939" s="45"/>
      <c r="J939" s="45"/>
      <c r="K939" s="45"/>
      <c r="L939" s="46"/>
      <c r="M939" s="46"/>
      <c r="N939" s="46"/>
      <c r="O939" s="46"/>
      <c r="P939" s="46"/>
      <c r="Q939" s="45"/>
      <c r="R939" s="45"/>
      <c r="S939" s="45"/>
      <c r="T939" s="45"/>
      <c r="U939" s="45"/>
      <c r="V939" s="45"/>
      <c r="W939" s="45"/>
    </row>
    <row r="940" spans="1:23" ht="11.25" customHeight="1">
      <c r="A940" s="48"/>
      <c r="B940" s="48"/>
      <c r="C940" s="45"/>
      <c r="D940" s="45"/>
      <c r="E940" s="45"/>
      <c r="F940" s="45"/>
      <c r="G940" s="45"/>
      <c r="H940" s="45"/>
      <c r="I940" s="45"/>
      <c r="J940" s="45"/>
      <c r="K940" s="45"/>
      <c r="L940" s="46"/>
      <c r="M940" s="46"/>
      <c r="N940" s="46"/>
      <c r="O940" s="46"/>
      <c r="P940" s="46"/>
      <c r="Q940" s="45"/>
      <c r="R940" s="45"/>
      <c r="S940" s="45"/>
      <c r="T940" s="45"/>
      <c r="U940" s="45"/>
      <c r="V940" s="45"/>
      <c r="W940" s="45"/>
    </row>
    <row r="941" spans="1:23" ht="11.25" customHeight="1">
      <c r="A941" s="48"/>
      <c r="B941" s="48"/>
      <c r="C941" s="45"/>
      <c r="D941" s="45"/>
      <c r="E941" s="45"/>
      <c r="F941" s="45"/>
      <c r="G941" s="45"/>
      <c r="H941" s="45"/>
      <c r="I941" s="45"/>
      <c r="J941" s="45"/>
      <c r="K941" s="45"/>
      <c r="L941" s="46"/>
      <c r="M941" s="46"/>
      <c r="N941" s="46"/>
      <c r="O941" s="46"/>
      <c r="P941" s="46"/>
      <c r="Q941" s="45"/>
      <c r="R941" s="45"/>
      <c r="S941" s="45"/>
      <c r="T941" s="45"/>
      <c r="U941" s="45"/>
      <c r="V941" s="45"/>
      <c r="W941" s="45"/>
    </row>
    <row r="942" spans="1:23" ht="11.25" customHeight="1">
      <c r="A942" s="48"/>
      <c r="B942" s="48"/>
      <c r="C942" s="45"/>
      <c r="D942" s="45"/>
      <c r="E942" s="45"/>
      <c r="F942" s="45"/>
      <c r="G942" s="45"/>
      <c r="H942" s="45"/>
      <c r="I942" s="45"/>
      <c r="J942" s="45"/>
      <c r="K942" s="45"/>
      <c r="L942" s="46"/>
      <c r="M942" s="46"/>
      <c r="N942" s="46"/>
      <c r="O942" s="46"/>
      <c r="P942" s="46"/>
      <c r="Q942" s="45"/>
      <c r="R942" s="45"/>
      <c r="S942" s="45"/>
      <c r="T942" s="45"/>
      <c r="U942" s="45"/>
      <c r="V942" s="45"/>
      <c r="W942" s="45"/>
    </row>
    <row r="943" spans="1:23" ht="11.25" customHeight="1">
      <c r="A943" s="48"/>
      <c r="B943" s="48"/>
      <c r="C943" s="45"/>
      <c r="D943" s="45"/>
      <c r="E943" s="45"/>
      <c r="F943" s="45"/>
      <c r="G943" s="45"/>
      <c r="H943" s="45"/>
      <c r="I943" s="45"/>
      <c r="J943" s="45"/>
      <c r="K943" s="45"/>
      <c r="L943" s="46"/>
      <c r="M943" s="46"/>
      <c r="N943" s="46"/>
      <c r="O943" s="46"/>
      <c r="P943" s="46"/>
      <c r="Q943" s="45"/>
      <c r="R943" s="45"/>
      <c r="S943" s="45"/>
      <c r="T943" s="45"/>
      <c r="U943" s="45"/>
      <c r="V943" s="45"/>
      <c r="W943" s="45"/>
    </row>
    <row r="944" spans="1:23" ht="11.25" customHeight="1">
      <c r="A944" s="48"/>
      <c r="B944" s="48"/>
      <c r="C944" s="45"/>
      <c r="D944" s="45"/>
      <c r="E944" s="45"/>
      <c r="F944" s="45"/>
      <c r="G944" s="45"/>
      <c r="H944" s="45"/>
      <c r="I944" s="45"/>
      <c r="J944" s="45"/>
      <c r="K944" s="45"/>
      <c r="L944" s="46"/>
      <c r="M944" s="46"/>
      <c r="N944" s="46"/>
      <c r="O944" s="46"/>
      <c r="P944" s="46"/>
      <c r="Q944" s="45"/>
      <c r="R944" s="45"/>
      <c r="S944" s="45"/>
      <c r="T944" s="45"/>
      <c r="U944" s="45"/>
      <c r="V944" s="45"/>
      <c r="W944" s="45"/>
    </row>
    <row r="945" spans="1:23" ht="11.25" customHeight="1">
      <c r="A945" s="48"/>
      <c r="B945" s="48"/>
      <c r="C945" s="45"/>
      <c r="D945" s="45"/>
      <c r="E945" s="45"/>
      <c r="F945" s="45"/>
      <c r="G945" s="45"/>
      <c r="H945" s="45"/>
      <c r="I945" s="45"/>
      <c r="J945" s="45"/>
      <c r="K945" s="45"/>
      <c r="L945" s="46"/>
      <c r="M945" s="46"/>
      <c r="N945" s="46"/>
      <c r="O945" s="46"/>
      <c r="P945" s="46"/>
      <c r="Q945" s="45"/>
      <c r="R945" s="45"/>
      <c r="S945" s="45"/>
      <c r="T945" s="45"/>
      <c r="U945" s="45"/>
      <c r="V945" s="45"/>
      <c r="W945" s="45"/>
    </row>
    <row r="946" spans="1:23" ht="11.25" customHeight="1">
      <c r="A946" s="48"/>
      <c r="B946" s="48"/>
      <c r="C946" s="45"/>
      <c r="D946" s="45"/>
      <c r="E946" s="45"/>
      <c r="F946" s="45"/>
      <c r="G946" s="45"/>
      <c r="H946" s="45"/>
      <c r="I946" s="45"/>
      <c r="J946" s="45"/>
      <c r="K946" s="45"/>
      <c r="L946" s="46"/>
      <c r="M946" s="46"/>
      <c r="N946" s="46"/>
      <c r="O946" s="46"/>
      <c r="P946" s="46"/>
      <c r="Q946" s="45"/>
      <c r="R946" s="45"/>
      <c r="S946" s="45"/>
      <c r="T946" s="45"/>
      <c r="U946" s="45"/>
      <c r="V946" s="45"/>
      <c r="W946" s="45"/>
    </row>
    <row r="947" spans="1:23" ht="11.25" customHeight="1">
      <c r="A947" s="48"/>
      <c r="B947" s="48"/>
      <c r="C947" s="45"/>
      <c r="D947" s="45"/>
      <c r="E947" s="45"/>
      <c r="F947" s="45"/>
      <c r="G947" s="45"/>
      <c r="H947" s="45"/>
      <c r="I947" s="45"/>
      <c r="J947" s="45"/>
      <c r="K947" s="45"/>
      <c r="L947" s="46"/>
      <c r="M947" s="46"/>
      <c r="N947" s="46"/>
      <c r="O947" s="46"/>
      <c r="P947" s="46"/>
      <c r="Q947" s="45"/>
      <c r="R947" s="45"/>
      <c r="S947" s="45"/>
      <c r="T947" s="45"/>
      <c r="U947" s="45"/>
      <c r="V947" s="45"/>
      <c r="W947" s="45"/>
    </row>
    <row r="948" spans="1:23" ht="11.25" customHeight="1">
      <c r="A948" s="48"/>
      <c r="B948" s="48"/>
      <c r="C948" s="45"/>
      <c r="D948" s="45"/>
      <c r="E948" s="45"/>
      <c r="F948" s="45"/>
      <c r="G948" s="45"/>
      <c r="H948" s="45"/>
      <c r="I948" s="45"/>
      <c r="J948" s="45"/>
      <c r="K948" s="45"/>
      <c r="L948" s="46"/>
      <c r="M948" s="46"/>
      <c r="N948" s="46"/>
      <c r="O948" s="46"/>
      <c r="P948" s="46"/>
      <c r="Q948" s="45"/>
      <c r="R948" s="45"/>
      <c r="S948" s="45"/>
      <c r="T948" s="45"/>
      <c r="U948" s="45"/>
      <c r="V948" s="45"/>
      <c r="W948" s="45"/>
    </row>
    <row r="949" spans="1:23" ht="11.25" customHeight="1">
      <c r="A949" s="48"/>
      <c r="B949" s="48"/>
      <c r="C949" s="45"/>
      <c r="D949" s="45"/>
      <c r="E949" s="45"/>
      <c r="F949" s="45"/>
      <c r="G949" s="45"/>
      <c r="H949" s="45"/>
      <c r="I949" s="45"/>
      <c r="J949" s="45"/>
      <c r="K949" s="45"/>
      <c r="L949" s="46"/>
      <c r="M949" s="46"/>
      <c r="N949" s="46"/>
      <c r="O949" s="46"/>
      <c r="P949" s="46"/>
      <c r="Q949" s="45"/>
      <c r="R949" s="45"/>
      <c r="S949" s="45"/>
      <c r="T949" s="45"/>
      <c r="U949" s="45"/>
      <c r="V949" s="45"/>
      <c r="W949" s="45"/>
    </row>
    <row r="950" spans="1:23" ht="11.25" customHeight="1">
      <c r="A950" s="48"/>
      <c r="B950" s="48"/>
      <c r="C950" s="45"/>
      <c r="D950" s="45"/>
      <c r="E950" s="45"/>
      <c r="F950" s="45"/>
      <c r="G950" s="45"/>
      <c r="H950" s="45"/>
      <c r="I950" s="45"/>
      <c r="J950" s="45"/>
      <c r="K950" s="45"/>
      <c r="L950" s="46"/>
      <c r="M950" s="46"/>
      <c r="N950" s="46"/>
      <c r="O950" s="46"/>
      <c r="P950" s="46"/>
      <c r="Q950" s="45"/>
      <c r="R950" s="45"/>
      <c r="S950" s="45"/>
      <c r="T950" s="45"/>
      <c r="U950" s="45"/>
      <c r="V950" s="45"/>
      <c r="W950" s="45"/>
    </row>
    <row r="951" spans="1:23" ht="11.25" customHeight="1">
      <c r="A951" s="48"/>
      <c r="B951" s="48"/>
      <c r="C951" s="45"/>
      <c r="D951" s="45"/>
      <c r="E951" s="45"/>
      <c r="F951" s="45"/>
      <c r="G951" s="45"/>
      <c r="H951" s="45"/>
      <c r="I951" s="45"/>
      <c r="J951" s="45"/>
      <c r="K951" s="45"/>
      <c r="L951" s="46"/>
      <c r="M951" s="46"/>
      <c r="N951" s="46"/>
      <c r="O951" s="46"/>
      <c r="P951" s="46"/>
      <c r="Q951" s="45"/>
      <c r="R951" s="45"/>
      <c r="S951" s="45"/>
      <c r="T951" s="45"/>
      <c r="U951" s="45"/>
      <c r="V951" s="45"/>
      <c r="W951" s="45"/>
    </row>
    <row r="952" spans="1:23" ht="11.25" customHeight="1">
      <c r="A952" s="48"/>
      <c r="B952" s="48"/>
      <c r="C952" s="45"/>
      <c r="D952" s="45"/>
      <c r="E952" s="45"/>
      <c r="F952" s="45"/>
      <c r="G952" s="45"/>
      <c r="H952" s="45"/>
      <c r="I952" s="45"/>
      <c r="J952" s="45"/>
      <c r="K952" s="45"/>
      <c r="L952" s="46"/>
      <c r="M952" s="46"/>
      <c r="N952" s="46"/>
      <c r="O952" s="46"/>
      <c r="P952" s="46"/>
      <c r="Q952" s="45"/>
      <c r="R952" s="45"/>
      <c r="S952" s="45"/>
      <c r="T952" s="45"/>
      <c r="U952" s="45"/>
      <c r="V952" s="45"/>
      <c r="W952" s="45"/>
    </row>
    <row r="953" spans="1:23" ht="11.25" customHeight="1">
      <c r="A953" s="48"/>
      <c r="B953" s="48"/>
      <c r="C953" s="45"/>
      <c r="D953" s="45"/>
      <c r="E953" s="45"/>
      <c r="F953" s="45"/>
      <c r="G953" s="45"/>
      <c r="H953" s="45"/>
      <c r="I953" s="45"/>
      <c r="J953" s="45"/>
      <c r="K953" s="45"/>
      <c r="L953" s="46"/>
      <c r="M953" s="46"/>
      <c r="N953" s="46"/>
      <c r="O953" s="46"/>
      <c r="P953" s="46"/>
      <c r="Q953" s="45"/>
      <c r="R953" s="45"/>
      <c r="S953" s="45"/>
      <c r="T953" s="45"/>
      <c r="U953" s="45"/>
      <c r="V953" s="45"/>
      <c r="W953" s="45"/>
    </row>
    <row r="954" spans="1:23" ht="11.25" customHeight="1">
      <c r="A954" s="48"/>
      <c r="B954" s="48"/>
      <c r="C954" s="45"/>
      <c r="D954" s="45"/>
      <c r="E954" s="45"/>
      <c r="F954" s="45"/>
      <c r="G954" s="45"/>
      <c r="H954" s="45"/>
      <c r="I954" s="45"/>
      <c r="J954" s="45"/>
      <c r="K954" s="45"/>
      <c r="L954" s="46"/>
      <c r="M954" s="46"/>
      <c r="N954" s="46"/>
      <c r="O954" s="46"/>
      <c r="P954" s="46"/>
      <c r="Q954" s="45"/>
      <c r="R954" s="45"/>
      <c r="S954" s="45"/>
      <c r="T954" s="45"/>
      <c r="U954" s="45"/>
      <c r="V954" s="45"/>
      <c r="W954" s="45"/>
    </row>
    <row r="955" spans="1:23" ht="11.25" customHeight="1">
      <c r="A955" s="48"/>
      <c r="B955" s="48"/>
      <c r="C955" s="45"/>
      <c r="D955" s="45"/>
      <c r="E955" s="45"/>
      <c r="F955" s="45"/>
      <c r="G955" s="45"/>
      <c r="H955" s="45"/>
      <c r="I955" s="45"/>
      <c r="J955" s="45"/>
      <c r="K955" s="45"/>
      <c r="L955" s="46"/>
      <c r="M955" s="46"/>
      <c r="N955" s="46"/>
      <c r="O955" s="46"/>
      <c r="P955" s="46"/>
      <c r="Q955" s="45"/>
      <c r="R955" s="45"/>
      <c r="S955" s="45"/>
      <c r="T955" s="45"/>
      <c r="U955" s="45"/>
      <c r="V955" s="45"/>
      <c r="W955" s="45"/>
    </row>
    <row r="956" spans="1:23" ht="11.25" customHeight="1">
      <c r="A956" s="48"/>
      <c r="B956" s="48"/>
      <c r="C956" s="45"/>
      <c r="D956" s="45"/>
      <c r="E956" s="45"/>
      <c r="F956" s="45"/>
      <c r="G956" s="45"/>
      <c r="H956" s="45"/>
      <c r="I956" s="45"/>
      <c r="J956" s="45"/>
      <c r="K956" s="45"/>
      <c r="L956" s="46"/>
      <c r="M956" s="46"/>
      <c r="N956" s="46"/>
      <c r="O956" s="46"/>
      <c r="P956" s="46"/>
      <c r="Q956" s="45"/>
      <c r="R956" s="45"/>
      <c r="S956" s="45"/>
      <c r="T956" s="45"/>
      <c r="U956" s="45"/>
      <c r="V956" s="45"/>
      <c r="W956" s="45"/>
    </row>
    <row r="957" spans="1:23" ht="11.25" customHeight="1">
      <c r="A957" s="48"/>
      <c r="B957" s="48"/>
      <c r="C957" s="45"/>
      <c r="D957" s="45"/>
      <c r="E957" s="45"/>
      <c r="F957" s="45"/>
      <c r="G957" s="45"/>
      <c r="H957" s="45"/>
      <c r="I957" s="45"/>
      <c r="J957" s="45"/>
      <c r="K957" s="45"/>
      <c r="L957" s="46"/>
      <c r="M957" s="46"/>
      <c r="N957" s="46"/>
      <c r="O957" s="46"/>
      <c r="P957" s="46"/>
      <c r="Q957" s="45"/>
      <c r="R957" s="45"/>
      <c r="S957" s="45"/>
      <c r="T957" s="45"/>
      <c r="U957" s="45"/>
      <c r="V957" s="45"/>
      <c r="W957" s="45"/>
    </row>
    <row r="958" spans="1:23" ht="11.25" customHeight="1">
      <c r="A958" s="48"/>
      <c r="B958" s="48"/>
      <c r="C958" s="45"/>
      <c r="D958" s="45"/>
      <c r="E958" s="45"/>
      <c r="F958" s="45"/>
      <c r="G958" s="45"/>
      <c r="H958" s="45"/>
      <c r="I958" s="45"/>
      <c r="J958" s="45"/>
      <c r="K958" s="45"/>
      <c r="L958" s="46"/>
      <c r="M958" s="46"/>
      <c r="N958" s="46"/>
      <c r="O958" s="46"/>
      <c r="P958" s="46"/>
      <c r="Q958" s="45"/>
      <c r="R958" s="45"/>
      <c r="S958" s="45"/>
      <c r="T958" s="45"/>
      <c r="U958" s="45"/>
      <c r="V958" s="45"/>
      <c r="W958" s="45"/>
    </row>
    <row r="959" spans="1:23" ht="11.25" customHeight="1">
      <c r="A959" s="48"/>
      <c r="B959" s="48"/>
      <c r="C959" s="45"/>
      <c r="D959" s="45"/>
      <c r="E959" s="45"/>
      <c r="F959" s="45"/>
      <c r="G959" s="45"/>
      <c r="H959" s="45"/>
      <c r="I959" s="45"/>
      <c r="J959" s="45"/>
      <c r="K959" s="45"/>
      <c r="L959" s="46"/>
      <c r="M959" s="46"/>
      <c r="N959" s="46"/>
      <c r="O959" s="46"/>
      <c r="P959" s="46"/>
      <c r="Q959" s="45"/>
      <c r="R959" s="45"/>
      <c r="S959" s="45"/>
      <c r="T959" s="45"/>
      <c r="U959" s="45"/>
      <c r="V959" s="45"/>
      <c r="W959" s="45"/>
    </row>
    <row r="960" spans="1:23" ht="11.25" customHeight="1">
      <c r="A960" s="48"/>
      <c r="B960" s="48"/>
      <c r="C960" s="45"/>
      <c r="D960" s="45"/>
      <c r="E960" s="45"/>
      <c r="F960" s="45"/>
      <c r="G960" s="45"/>
      <c r="H960" s="45"/>
      <c r="I960" s="45"/>
      <c r="J960" s="45"/>
      <c r="K960" s="45"/>
      <c r="L960" s="46"/>
      <c r="M960" s="46"/>
      <c r="N960" s="46"/>
      <c r="O960" s="46"/>
      <c r="P960" s="46"/>
      <c r="Q960" s="45"/>
      <c r="R960" s="45"/>
      <c r="S960" s="45"/>
      <c r="T960" s="45"/>
      <c r="U960" s="45"/>
      <c r="V960" s="45"/>
      <c r="W960" s="45"/>
    </row>
    <row r="961" spans="1:23" ht="11.25" customHeight="1">
      <c r="A961" s="48"/>
      <c r="B961" s="48"/>
      <c r="C961" s="45"/>
      <c r="D961" s="45"/>
      <c r="E961" s="45"/>
      <c r="F961" s="45"/>
      <c r="G961" s="45"/>
      <c r="H961" s="45"/>
      <c r="I961" s="45"/>
      <c r="J961" s="45"/>
      <c r="K961" s="45"/>
      <c r="L961" s="46"/>
      <c r="M961" s="46"/>
      <c r="N961" s="46"/>
      <c r="O961" s="46"/>
      <c r="P961" s="46"/>
      <c r="Q961" s="45"/>
      <c r="R961" s="45"/>
      <c r="S961" s="45"/>
      <c r="T961" s="45"/>
      <c r="U961" s="45"/>
      <c r="V961" s="45"/>
      <c r="W961" s="45"/>
    </row>
    <row r="962" spans="1:23" ht="11.25" customHeight="1">
      <c r="A962" s="48"/>
      <c r="B962" s="48"/>
      <c r="C962" s="45"/>
      <c r="D962" s="45"/>
      <c r="E962" s="45"/>
      <c r="F962" s="45"/>
      <c r="G962" s="45"/>
      <c r="H962" s="45"/>
      <c r="I962" s="45"/>
      <c r="J962" s="45"/>
      <c r="K962" s="45"/>
      <c r="L962" s="46"/>
      <c r="M962" s="46"/>
      <c r="N962" s="46"/>
      <c r="O962" s="46"/>
      <c r="P962" s="46"/>
      <c r="Q962" s="45"/>
      <c r="R962" s="45"/>
      <c r="S962" s="45"/>
      <c r="T962" s="45"/>
      <c r="U962" s="45"/>
      <c r="V962" s="45"/>
      <c r="W962" s="45"/>
    </row>
    <row r="963" spans="1:23" ht="11.25" customHeight="1">
      <c r="A963" s="48"/>
      <c r="B963" s="48"/>
      <c r="C963" s="45"/>
      <c r="D963" s="45"/>
      <c r="E963" s="45"/>
      <c r="F963" s="45"/>
      <c r="G963" s="45"/>
      <c r="H963" s="45"/>
      <c r="I963" s="45"/>
      <c r="J963" s="45"/>
      <c r="K963" s="45"/>
      <c r="L963" s="46"/>
      <c r="M963" s="46"/>
      <c r="N963" s="46"/>
      <c r="O963" s="46"/>
      <c r="P963" s="46"/>
      <c r="Q963" s="45"/>
      <c r="R963" s="45"/>
      <c r="S963" s="45"/>
      <c r="T963" s="45"/>
      <c r="U963" s="45"/>
      <c r="V963" s="45"/>
      <c r="W963" s="45"/>
    </row>
    <row r="964" spans="1:23" ht="11.25" customHeight="1">
      <c r="A964" s="48"/>
      <c r="B964" s="48"/>
      <c r="C964" s="45"/>
      <c r="D964" s="45"/>
      <c r="E964" s="45"/>
      <c r="F964" s="45"/>
      <c r="G964" s="45"/>
      <c r="H964" s="45"/>
      <c r="I964" s="45"/>
      <c r="J964" s="45"/>
      <c r="K964" s="45"/>
      <c r="L964" s="46"/>
      <c r="M964" s="46"/>
      <c r="N964" s="46"/>
      <c r="O964" s="46"/>
      <c r="P964" s="46"/>
      <c r="Q964" s="45"/>
      <c r="R964" s="45"/>
      <c r="S964" s="45"/>
      <c r="T964" s="45"/>
      <c r="U964" s="45"/>
      <c r="V964" s="45"/>
      <c r="W964" s="45"/>
    </row>
    <row r="965" spans="1:23" ht="11.25" customHeight="1">
      <c r="A965" s="48"/>
      <c r="B965" s="48"/>
      <c r="C965" s="45"/>
      <c r="D965" s="45"/>
      <c r="E965" s="45"/>
      <c r="F965" s="45"/>
      <c r="G965" s="45"/>
      <c r="H965" s="45"/>
      <c r="I965" s="45"/>
      <c r="J965" s="45"/>
      <c r="K965" s="45"/>
      <c r="L965" s="46"/>
      <c r="M965" s="46"/>
      <c r="N965" s="46"/>
      <c r="O965" s="46"/>
      <c r="P965" s="46"/>
      <c r="Q965" s="45"/>
      <c r="R965" s="45"/>
      <c r="S965" s="45"/>
      <c r="T965" s="45"/>
      <c r="U965" s="45"/>
      <c r="V965" s="45"/>
      <c r="W965" s="45"/>
    </row>
    <row r="966" spans="1:23" ht="11.25" customHeight="1">
      <c r="A966" s="48"/>
      <c r="B966" s="48"/>
      <c r="C966" s="45"/>
      <c r="D966" s="45"/>
      <c r="E966" s="45"/>
      <c r="F966" s="45"/>
      <c r="G966" s="45"/>
      <c r="H966" s="45"/>
      <c r="I966" s="45"/>
      <c r="J966" s="45"/>
      <c r="K966" s="45"/>
      <c r="L966" s="46"/>
      <c r="M966" s="46"/>
      <c r="N966" s="46"/>
      <c r="O966" s="46"/>
      <c r="P966" s="46"/>
      <c r="Q966" s="45"/>
      <c r="R966" s="45"/>
      <c r="S966" s="45"/>
      <c r="T966" s="45"/>
      <c r="U966" s="45"/>
      <c r="V966" s="45"/>
      <c r="W966" s="45"/>
    </row>
    <row r="967" spans="1:23" ht="11.25" customHeight="1">
      <c r="A967" s="48"/>
      <c r="B967" s="48"/>
      <c r="C967" s="45"/>
      <c r="D967" s="45"/>
      <c r="E967" s="45"/>
      <c r="F967" s="45"/>
      <c r="G967" s="45"/>
      <c r="H967" s="45"/>
      <c r="I967" s="45"/>
      <c r="J967" s="45"/>
      <c r="K967" s="45"/>
      <c r="L967" s="46"/>
      <c r="M967" s="46"/>
      <c r="N967" s="46"/>
      <c r="O967" s="46"/>
      <c r="P967" s="46"/>
      <c r="Q967" s="45"/>
      <c r="R967" s="45"/>
      <c r="S967" s="45"/>
      <c r="T967" s="45"/>
      <c r="U967" s="45"/>
      <c r="V967" s="45"/>
      <c r="W967" s="45"/>
    </row>
    <row r="968" spans="1:23" ht="11.25" customHeight="1">
      <c r="A968" s="48"/>
      <c r="B968" s="48"/>
      <c r="C968" s="45"/>
      <c r="D968" s="45"/>
      <c r="E968" s="45"/>
      <c r="F968" s="45"/>
      <c r="G968" s="45"/>
      <c r="H968" s="45"/>
      <c r="I968" s="45"/>
      <c r="J968" s="45"/>
      <c r="K968" s="45"/>
      <c r="L968" s="46"/>
      <c r="M968" s="46"/>
      <c r="N968" s="46"/>
      <c r="O968" s="46"/>
      <c r="P968" s="46"/>
      <c r="Q968" s="45"/>
      <c r="R968" s="45"/>
      <c r="S968" s="45"/>
      <c r="T968" s="45"/>
      <c r="U968" s="45"/>
      <c r="V968" s="45"/>
      <c r="W968" s="45"/>
    </row>
    <row r="969" spans="1:23" ht="11.25" customHeight="1">
      <c r="A969" s="48"/>
      <c r="B969" s="48"/>
      <c r="C969" s="45"/>
      <c r="D969" s="45"/>
      <c r="E969" s="45"/>
      <c r="F969" s="45"/>
      <c r="G969" s="45"/>
      <c r="H969" s="45"/>
      <c r="I969" s="45"/>
      <c r="J969" s="45"/>
      <c r="K969" s="45"/>
      <c r="L969" s="46"/>
      <c r="M969" s="46"/>
      <c r="N969" s="46"/>
      <c r="O969" s="46"/>
      <c r="P969" s="46"/>
      <c r="Q969" s="45"/>
      <c r="R969" s="45"/>
      <c r="S969" s="45"/>
      <c r="T969" s="45"/>
      <c r="U969" s="45"/>
      <c r="V969" s="45"/>
      <c r="W969" s="45"/>
    </row>
    <row r="970" spans="1:23" ht="11.25" customHeight="1">
      <c r="A970" s="48"/>
      <c r="B970" s="48"/>
      <c r="C970" s="45"/>
      <c r="D970" s="45"/>
      <c r="E970" s="45"/>
      <c r="F970" s="45"/>
      <c r="G970" s="45"/>
      <c r="H970" s="45"/>
      <c r="I970" s="45"/>
      <c r="J970" s="45"/>
      <c r="K970" s="45"/>
      <c r="L970" s="46"/>
      <c r="M970" s="46"/>
      <c r="N970" s="46"/>
      <c r="O970" s="46"/>
      <c r="P970" s="46"/>
      <c r="Q970" s="45"/>
      <c r="R970" s="45"/>
      <c r="S970" s="45"/>
      <c r="T970" s="45"/>
      <c r="U970" s="45"/>
      <c r="V970" s="45"/>
      <c r="W970" s="45"/>
    </row>
    <row r="971" spans="1:23" ht="11.25" customHeight="1">
      <c r="A971" s="48"/>
      <c r="B971" s="48"/>
      <c r="C971" s="45"/>
      <c r="D971" s="45"/>
      <c r="E971" s="45"/>
      <c r="F971" s="45"/>
      <c r="G971" s="45"/>
      <c r="H971" s="45"/>
      <c r="I971" s="45"/>
      <c r="J971" s="45"/>
      <c r="K971" s="45"/>
      <c r="L971" s="46"/>
      <c r="M971" s="46"/>
      <c r="N971" s="46"/>
      <c r="O971" s="46"/>
      <c r="P971" s="46"/>
      <c r="Q971" s="45"/>
      <c r="R971" s="45"/>
      <c r="S971" s="45"/>
      <c r="T971" s="45"/>
      <c r="U971" s="45"/>
      <c r="V971" s="45"/>
      <c r="W971" s="45"/>
    </row>
    <row r="972" spans="1:23" ht="11.25" customHeight="1">
      <c r="A972" s="48"/>
      <c r="B972" s="48"/>
      <c r="C972" s="45"/>
      <c r="D972" s="45"/>
      <c r="E972" s="45"/>
      <c r="F972" s="45"/>
      <c r="G972" s="45"/>
      <c r="H972" s="45"/>
      <c r="I972" s="45"/>
      <c r="J972" s="45"/>
      <c r="K972" s="45"/>
      <c r="L972" s="46"/>
      <c r="M972" s="46"/>
      <c r="N972" s="46"/>
      <c r="O972" s="46"/>
      <c r="P972" s="46"/>
      <c r="Q972" s="45"/>
      <c r="R972" s="45"/>
      <c r="S972" s="45"/>
      <c r="T972" s="45"/>
      <c r="U972" s="45"/>
      <c r="V972" s="45"/>
      <c r="W972" s="45"/>
    </row>
    <row r="973" spans="1:23" ht="11.25" customHeight="1">
      <c r="A973" s="48"/>
      <c r="B973" s="48"/>
      <c r="C973" s="45"/>
      <c r="D973" s="45"/>
      <c r="E973" s="45"/>
      <c r="F973" s="45"/>
      <c r="G973" s="45"/>
      <c r="H973" s="45"/>
      <c r="I973" s="45"/>
      <c r="J973" s="45"/>
      <c r="K973" s="45"/>
      <c r="L973" s="46"/>
      <c r="M973" s="46"/>
      <c r="N973" s="46"/>
      <c r="O973" s="46"/>
      <c r="P973" s="46"/>
      <c r="Q973" s="45"/>
      <c r="R973" s="45"/>
      <c r="S973" s="45"/>
      <c r="T973" s="45"/>
      <c r="U973" s="45"/>
      <c r="V973" s="45"/>
      <c r="W973" s="45"/>
    </row>
    <row r="974" spans="1:23" ht="11.25" customHeight="1">
      <c r="A974" s="48"/>
      <c r="B974" s="48"/>
      <c r="C974" s="45"/>
      <c r="D974" s="45"/>
      <c r="E974" s="45"/>
      <c r="F974" s="45"/>
      <c r="G974" s="45"/>
      <c r="H974" s="45"/>
      <c r="I974" s="45"/>
      <c r="J974" s="45"/>
      <c r="K974" s="45"/>
      <c r="L974" s="46"/>
      <c r="M974" s="46"/>
      <c r="N974" s="46"/>
      <c r="O974" s="46"/>
      <c r="P974" s="46"/>
      <c r="Q974" s="45"/>
      <c r="R974" s="45"/>
      <c r="S974" s="45"/>
      <c r="T974" s="45"/>
      <c r="U974" s="45"/>
      <c r="V974" s="45"/>
      <c r="W974" s="45"/>
    </row>
    <row r="975" spans="1:23" ht="11.25" customHeight="1">
      <c r="A975" s="48"/>
      <c r="B975" s="48"/>
      <c r="C975" s="45"/>
      <c r="D975" s="45"/>
      <c r="E975" s="45"/>
      <c r="F975" s="45"/>
      <c r="G975" s="45"/>
      <c r="H975" s="45"/>
      <c r="I975" s="45"/>
      <c r="J975" s="45"/>
      <c r="K975" s="45"/>
      <c r="L975" s="46"/>
      <c r="M975" s="46"/>
      <c r="N975" s="46"/>
      <c r="O975" s="46"/>
      <c r="P975" s="46"/>
      <c r="Q975" s="45"/>
      <c r="R975" s="45"/>
      <c r="S975" s="45"/>
      <c r="T975" s="45"/>
      <c r="U975" s="45"/>
      <c r="V975" s="45"/>
      <c r="W975" s="45"/>
    </row>
    <row r="976" spans="1:23" ht="11.25" customHeight="1">
      <c r="A976" s="48"/>
      <c r="B976" s="48"/>
      <c r="C976" s="45"/>
      <c r="D976" s="45"/>
      <c r="E976" s="45"/>
      <c r="F976" s="45"/>
      <c r="G976" s="45"/>
      <c r="H976" s="45"/>
      <c r="I976" s="45"/>
      <c r="J976" s="45"/>
      <c r="K976" s="45"/>
      <c r="L976" s="46"/>
      <c r="M976" s="46"/>
      <c r="N976" s="46"/>
      <c r="O976" s="46"/>
      <c r="P976" s="46"/>
      <c r="Q976" s="45"/>
      <c r="R976" s="45"/>
      <c r="S976" s="45"/>
      <c r="T976" s="45"/>
      <c r="U976" s="45"/>
      <c r="V976" s="45"/>
      <c r="W976" s="45"/>
    </row>
    <row r="977" spans="1:23" ht="11.25" customHeight="1">
      <c r="A977" s="48"/>
      <c r="B977" s="48"/>
      <c r="C977" s="45"/>
      <c r="D977" s="45"/>
      <c r="E977" s="45"/>
      <c r="F977" s="45"/>
      <c r="G977" s="45"/>
      <c r="H977" s="45"/>
      <c r="I977" s="45"/>
      <c r="J977" s="45"/>
      <c r="K977" s="45"/>
      <c r="L977" s="46"/>
      <c r="M977" s="46"/>
      <c r="N977" s="46"/>
      <c r="O977" s="46"/>
      <c r="P977" s="46"/>
      <c r="Q977" s="45"/>
      <c r="R977" s="45"/>
      <c r="S977" s="45"/>
      <c r="T977" s="45"/>
      <c r="U977" s="45"/>
      <c r="V977" s="45"/>
      <c r="W977" s="45"/>
    </row>
    <row r="978" spans="1:23" ht="11.25" customHeight="1">
      <c r="A978" s="48"/>
      <c r="B978" s="48"/>
      <c r="C978" s="45"/>
      <c r="D978" s="45"/>
      <c r="E978" s="45"/>
      <c r="F978" s="45"/>
      <c r="G978" s="45"/>
      <c r="H978" s="45"/>
      <c r="I978" s="45"/>
      <c r="J978" s="45"/>
      <c r="K978" s="45"/>
      <c r="L978" s="46"/>
      <c r="M978" s="46"/>
      <c r="N978" s="46"/>
      <c r="O978" s="46"/>
      <c r="P978" s="46"/>
      <c r="Q978" s="45"/>
      <c r="R978" s="45"/>
      <c r="S978" s="45"/>
      <c r="T978" s="45"/>
      <c r="U978" s="45"/>
      <c r="V978" s="45"/>
      <c r="W978" s="45"/>
    </row>
    <row r="979" spans="1:23" ht="11.25" customHeight="1">
      <c r="A979" s="48"/>
      <c r="B979" s="48"/>
      <c r="C979" s="45"/>
      <c r="D979" s="45"/>
      <c r="E979" s="45"/>
      <c r="F979" s="45"/>
      <c r="G979" s="45"/>
      <c r="H979" s="45"/>
      <c r="I979" s="45"/>
      <c r="J979" s="45"/>
      <c r="K979" s="45"/>
      <c r="L979" s="46"/>
      <c r="M979" s="46"/>
      <c r="N979" s="46"/>
      <c r="O979" s="46"/>
      <c r="P979" s="46"/>
      <c r="Q979" s="45"/>
      <c r="R979" s="45"/>
      <c r="S979" s="45"/>
      <c r="T979" s="45"/>
      <c r="U979" s="45"/>
      <c r="V979" s="45"/>
      <c r="W979" s="45"/>
    </row>
    <row r="980" spans="1:23" ht="11.25" customHeight="1">
      <c r="A980" s="48"/>
      <c r="B980" s="48"/>
      <c r="C980" s="45"/>
      <c r="D980" s="45"/>
      <c r="E980" s="45"/>
      <c r="F980" s="45"/>
      <c r="G980" s="45"/>
      <c r="H980" s="45"/>
      <c r="I980" s="45"/>
      <c r="J980" s="45"/>
      <c r="K980" s="45"/>
      <c r="L980" s="46"/>
      <c r="M980" s="46"/>
      <c r="N980" s="46"/>
      <c r="O980" s="46"/>
      <c r="P980" s="46"/>
      <c r="Q980" s="45"/>
      <c r="R980" s="45"/>
      <c r="S980" s="45"/>
      <c r="T980" s="45"/>
      <c r="U980" s="45"/>
      <c r="V980" s="45"/>
      <c r="W980" s="45"/>
    </row>
    <row r="981" spans="1:23" ht="11.25" customHeight="1">
      <c r="A981" s="48"/>
      <c r="B981" s="48"/>
      <c r="C981" s="45"/>
      <c r="D981" s="45"/>
      <c r="E981" s="45"/>
      <c r="F981" s="45"/>
      <c r="G981" s="45"/>
      <c r="H981" s="45"/>
      <c r="I981" s="45"/>
      <c r="J981" s="45"/>
      <c r="K981" s="45"/>
      <c r="L981" s="46"/>
      <c r="M981" s="46"/>
      <c r="N981" s="46"/>
      <c r="O981" s="46"/>
      <c r="P981" s="46"/>
      <c r="Q981" s="45"/>
      <c r="R981" s="45"/>
      <c r="S981" s="45"/>
      <c r="T981" s="45"/>
      <c r="U981" s="45"/>
      <c r="V981" s="45"/>
      <c r="W981" s="45"/>
    </row>
    <row r="982" spans="1:23" ht="11.25" customHeight="1">
      <c r="A982" s="48"/>
      <c r="B982" s="48"/>
      <c r="C982" s="45"/>
      <c r="D982" s="45"/>
      <c r="E982" s="45"/>
      <c r="F982" s="45"/>
      <c r="G982" s="45"/>
      <c r="H982" s="45"/>
      <c r="I982" s="45"/>
      <c r="J982" s="45"/>
      <c r="K982" s="45"/>
      <c r="L982" s="46"/>
      <c r="M982" s="46"/>
      <c r="N982" s="46"/>
      <c r="O982" s="46"/>
      <c r="P982" s="46"/>
      <c r="Q982" s="45"/>
      <c r="R982" s="45"/>
      <c r="S982" s="45"/>
      <c r="T982" s="45"/>
      <c r="U982" s="45"/>
      <c r="V982" s="45"/>
      <c r="W982" s="45"/>
    </row>
    <row r="983" spans="1:23" ht="11.25" customHeight="1">
      <c r="A983" s="48"/>
      <c r="B983" s="48"/>
      <c r="C983" s="45"/>
      <c r="D983" s="45"/>
      <c r="E983" s="45"/>
      <c r="F983" s="45"/>
      <c r="G983" s="45"/>
      <c r="H983" s="45"/>
      <c r="I983" s="45"/>
      <c r="J983" s="45"/>
      <c r="K983" s="45"/>
      <c r="L983" s="46"/>
      <c r="M983" s="46"/>
      <c r="N983" s="46"/>
      <c r="O983" s="46"/>
      <c r="P983" s="46"/>
      <c r="Q983" s="45"/>
      <c r="R983" s="45"/>
      <c r="S983" s="45"/>
      <c r="T983" s="45"/>
      <c r="U983" s="45"/>
      <c r="V983" s="45"/>
      <c r="W983" s="45"/>
    </row>
    <row r="984" spans="1:23" ht="11.25" customHeight="1">
      <c r="A984" s="48"/>
      <c r="B984" s="48"/>
      <c r="C984" s="45"/>
      <c r="D984" s="45"/>
      <c r="E984" s="45"/>
      <c r="F984" s="45"/>
      <c r="G984" s="45"/>
      <c r="H984" s="45"/>
      <c r="I984" s="45"/>
      <c r="J984" s="45"/>
      <c r="K984" s="45"/>
      <c r="L984" s="46"/>
      <c r="M984" s="46"/>
      <c r="N984" s="46"/>
      <c r="O984" s="46"/>
      <c r="P984" s="46"/>
      <c r="Q984" s="45"/>
      <c r="R984" s="45"/>
      <c r="S984" s="45"/>
      <c r="T984" s="45"/>
      <c r="U984" s="45"/>
      <c r="V984" s="45"/>
      <c r="W984" s="45"/>
    </row>
    <row r="985" spans="1:23" ht="11.25" customHeight="1">
      <c r="A985" s="48"/>
      <c r="B985" s="48"/>
      <c r="C985" s="45"/>
      <c r="D985" s="45"/>
      <c r="E985" s="45"/>
      <c r="F985" s="45"/>
      <c r="G985" s="45"/>
      <c r="H985" s="45"/>
      <c r="I985" s="45"/>
      <c r="J985" s="45"/>
      <c r="K985" s="45"/>
      <c r="L985" s="46"/>
      <c r="M985" s="46"/>
      <c r="N985" s="46"/>
      <c r="O985" s="46"/>
      <c r="P985" s="46"/>
      <c r="Q985" s="45"/>
      <c r="R985" s="45"/>
      <c r="S985" s="45"/>
      <c r="T985" s="45"/>
      <c r="U985" s="45"/>
      <c r="V985" s="45"/>
      <c r="W985" s="45"/>
    </row>
    <row r="986" spans="1:23" ht="11.25" customHeight="1">
      <c r="A986" s="48"/>
      <c r="B986" s="48"/>
      <c r="C986" s="45"/>
      <c r="D986" s="45"/>
      <c r="E986" s="45"/>
      <c r="F986" s="45"/>
      <c r="G986" s="45"/>
      <c r="H986" s="45"/>
      <c r="I986" s="45"/>
      <c r="J986" s="45"/>
      <c r="K986" s="45"/>
      <c r="L986" s="46"/>
      <c r="M986" s="46"/>
      <c r="N986" s="46"/>
      <c r="O986" s="46"/>
      <c r="P986" s="46"/>
      <c r="Q986" s="45"/>
      <c r="R986" s="45"/>
      <c r="S986" s="45"/>
      <c r="T986" s="45"/>
      <c r="U986" s="45"/>
      <c r="V986" s="45"/>
      <c r="W986" s="45"/>
    </row>
    <row r="987" spans="1:23" ht="11.25" customHeight="1">
      <c r="A987" s="48"/>
      <c r="B987" s="48"/>
      <c r="C987" s="45"/>
      <c r="D987" s="45"/>
      <c r="E987" s="45"/>
      <c r="F987" s="45"/>
      <c r="G987" s="45"/>
      <c r="H987" s="45"/>
      <c r="I987" s="45"/>
      <c r="J987" s="45"/>
      <c r="K987" s="45"/>
      <c r="L987" s="46"/>
      <c r="M987" s="46"/>
      <c r="N987" s="46"/>
      <c r="O987" s="46"/>
      <c r="P987" s="46"/>
      <c r="Q987" s="45"/>
      <c r="R987" s="45"/>
      <c r="S987" s="45"/>
      <c r="T987" s="45"/>
      <c r="U987" s="45"/>
      <c r="V987" s="45"/>
      <c r="W987" s="45"/>
    </row>
    <row r="988" spans="1:23" ht="11.25" customHeight="1">
      <c r="A988" s="48"/>
      <c r="B988" s="48"/>
      <c r="C988" s="45"/>
      <c r="D988" s="45"/>
      <c r="E988" s="45"/>
      <c r="F988" s="45"/>
      <c r="G988" s="45"/>
      <c r="H988" s="45"/>
      <c r="I988" s="45"/>
      <c r="J988" s="45"/>
      <c r="K988" s="45"/>
      <c r="L988" s="46"/>
      <c r="M988" s="46"/>
      <c r="N988" s="46"/>
      <c r="O988" s="46"/>
      <c r="P988" s="46"/>
      <c r="Q988" s="45"/>
      <c r="R988" s="45"/>
      <c r="S988" s="45"/>
      <c r="T988" s="45"/>
      <c r="U988" s="45"/>
      <c r="V988" s="45"/>
      <c r="W988" s="45"/>
    </row>
  </sheetData>
  <autoFilter ref="A3:P24" xr:uid="{00000000-0009-0000-0000-000000000000}"/>
  <pageMargins left="0.25" right="0.25" top="0.75" bottom="0.75" header="0" footer="0"/>
  <pageSetup paperSize="9" scale="54"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21466-0EC4-494D-861C-3CE14E424D1E}">
  <sheetPr>
    <tabColor rgb="FF00B0F0"/>
  </sheetPr>
  <dimension ref="A1:Z1000"/>
  <sheetViews>
    <sheetView zoomScaleNormal="100" workbookViewId="0">
      <selection activeCell="H26" sqref="H26"/>
    </sheetView>
  </sheetViews>
  <sheetFormatPr baseColWidth="10" defaultColWidth="13" defaultRowHeight="15" customHeight="1"/>
  <cols>
    <col min="1" max="1" width="9.5" style="47" customWidth="1"/>
    <col min="2" max="2" width="8.296875" style="47" customWidth="1"/>
    <col min="3" max="3" width="22.296875" style="47" customWidth="1"/>
    <col min="4" max="4" width="14.3984375" style="47" customWidth="1"/>
    <col min="5" max="5" width="12.19921875" style="47" customWidth="1"/>
    <col min="6" max="6" width="2.296875" style="47" customWidth="1"/>
    <col min="7" max="7" width="9.19921875" style="47" customWidth="1"/>
    <col min="8" max="8" width="8.296875" style="47" customWidth="1"/>
    <col min="9" max="9" width="29.8984375" style="47" customWidth="1"/>
    <col min="10" max="10" width="13.296875" style="47" customWidth="1"/>
    <col min="11" max="11" width="14" style="47" customWidth="1"/>
    <col min="12" max="12" width="12.796875" style="47" hidden="1" customWidth="1"/>
    <col min="13" max="13" width="12.09765625" style="47" customWidth="1"/>
    <col min="14" max="26" width="8.296875" style="47" customWidth="1"/>
    <col min="27" max="16384" width="13" style="47"/>
  </cols>
  <sheetData>
    <row r="1" spans="1:26" ht="16.5" customHeight="1">
      <c r="A1" s="79"/>
      <c r="B1" s="80" t="s">
        <v>269</v>
      </c>
      <c r="C1" s="79"/>
      <c r="D1" s="81"/>
      <c r="E1" s="81"/>
      <c r="F1" s="82"/>
      <c r="G1" s="83"/>
      <c r="H1" s="83"/>
      <c r="I1" s="81"/>
      <c r="J1" s="84"/>
      <c r="K1" s="84"/>
      <c r="L1" s="84"/>
      <c r="M1" s="81"/>
      <c r="N1" s="81"/>
      <c r="O1" s="81"/>
      <c r="P1" s="81"/>
      <c r="Q1" s="81"/>
      <c r="R1" s="81"/>
      <c r="S1" s="81"/>
      <c r="T1" s="81"/>
      <c r="U1" s="81"/>
      <c r="V1" s="81"/>
      <c r="W1" s="81"/>
      <c r="X1" s="81"/>
      <c r="Y1" s="81"/>
      <c r="Z1" s="81"/>
    </row>
    <row r="2" spans="1:26" ht="16.5" customHeight="1">
      <c r="A2" s="79"/>
      <c r="B2" s="80" t="s">
        <v>270</v>
      </c>
      <c r="C2" s="79"/>
      <c r="D2" s="81"/>
      <c r="E2" s="81"/>
      <c r="F2" s="82"/>
      <c r="G2" s="83"/>
      <c r="H2" s="83"/>
      <c r="I2" s="81"/>
      <c r="J2" s="84"/>
      <c r="K2" s="84"/>
      <c r="L2" s="84"/>
      <c r="M2" s="81"/>
      <c r="N2" s="81"/>
      <c r="O2" s="81"/>
      <c r="P2" s="81"/>
      <c r="Q2" s="81"/>
      <c r="R2" s="81"/>
      <c r="S2" s="81"/>
      <c r="T2" s="81"/>
      <c r="U2" s="81"/>
      <c r="V2" s="81"/>
      <c r="W2" s="81"/>
      <c r="X2" s="81"/>
      <c r="Y2" s="81"/>
      <c r="Z2" s="81"/>
    </row>
    <row r="3" spans="1:26" ht="16.5" customHeight="1">
      <c r="A3" s="79"/>
      <c r="B3" s="80" t="s">
        <v>271</v>
      </c>
      <c r="C3" s="79"/>
      <c r="D3" s="85"/>
      <c r="E3" s="81"/>
      <c r="F3" s="82"/>
      <c r="G3" s="83"/>
      <c r="H3" s="83"/>
      <c r="I3" s="81"/>
      <c r="J3" s="84"/>
      <c r="K3" s="84"/>
      <c r="L3" s="84"/>
      <c r="M3" s="81"/>
      <c r="N3" s="81"/>
      <c r="O3" s="81"/>
      <c r="P3" s="81"/>
      <c r="Q3" s="81"/>
      <c r="R3" s="81"/>
      <c r="S3" s="81"/>
      <c r="T3" s="81"/>
      <c r="U3" s="81"/>
      <c r="V3" s="81"/>
      <c r="W3" s="81"/>
      <c r="X3" s="81"/>
      <c r="Y3" s="81"/>
      <c r="Z3" s="81"/>
    </row>
    <row r="4" spans="1:26" ht="16.5" customHeight="1">
      <c r="A4" s="79"/>
      <c r="B4" s="80" t="s">
        <v>272</v>
      </c>
      <c r="C4" s="79"/>
      <c r="D4" s="81"/>
      <c r="E4" s="81"/>
      <c r="F4" s="82"/>
      <c r="G4" s="83"/>
      <c r="H4" s="83"/>
      <c r="I4" s="81"/>
      <c r="J4" s="84"/>
      <c r="K4" s="84"/>
      <c r="L4" s="84"/>
      <c r="M4" s="81"/>
      <c r="N4" s="81"/>
      <c r="O4" s="81"/>
      <c r="P4" s="81"/>
      <c r="Q4" s="81"/>
      <c r="R4" s="81"/>
      <c r="S4" s="81"/>
      <c r="T4" s="81"/>
      <c r="U4" s="81"/>
      <c r="V4" s="81"/>
      <c r="W4" s="81"/>
      <c r="X4" s="81"/>
      <c r="Y4" s="81"/>
      <c r="Z4" s="81"/>
    </row>
    <row r="5" spans="1:26" ht="6.75" customHeight="1">
      <c r="A5" s="79"/>
      <c r="B5" s="79"/>
      <c r="C5" s="79"/>
      <c r="D5" s="81"/>
      <c r="E5" s="81"/>
      <c r="F5" s="82"/>
      <c r="G5" s="83"/>
      <c r="H5" s="83"/>
      <c r="I5" s="81"/>
      <c r="J5" s="84"/>
      <c r="K5" s="84"/>
      <c r="L5" s="84"/>
      <c r="M5" s="81"/>
      <c r="N5" s="81"/>
      <c r="O5" s="81"/>
      <c r="P5" s="81"/>
      <c r="Q5" s="81"/>
      <c r="R5" s="81"/>
      <c r="S5" s="81"/>
      <c r="T5" s="81"/>
      <c r="U5" s="81"/>
      <c r="V5" s="81"/>
      <c r="W5" s="81"/>
      <c r="X5" s="81"/>
      <c r="Y5" s="81"/>
      <c r="Z5" s="81"/>
    </row>
    <row r="6" spans="1:26" ht="15.75" customHeight="1">
      <c r="A6" s="274" t="s">
        <v>273</v>
      </c>
      <c r="B6" s="273"/>
      <c r="C6" s="273"/>
      <c r="D6" s="273"/>
      <c r="E6" s="273"/>
      <c r="F6" s="273"/>
      <c r="G6" s="273"/>
      <c r="H6" s="273"/>
      <c r="I6" s="273"/>
      <c r="J6" s="273"/>
      <c r="K6" s="273"/>
      <c r="L6" s="84"/>
      <c r="M6" s="81"/>
      <c r="N6" s="81"/>
      <c r="O6" s="81"/>
      <c r="P6" s="81"/>
      <c r="Q6" s="81"/>
      <c r="R6" s="81"/>
      <c r="S6" s="81"/>
      <c r="T6" s="81"/>
      <c r="U6" s="81"/>
      <c r="V6" s="81"/>
      <c r="W6" s="81"/>
      <c r="X6" s="81"/>
      <c r="Y6" s="81"/>
      <c r="Z6" s="81"/>
    </row>
    <row r="7" spans="1:26" ht="12" customHeight="1">
      <c r="A7" s="79"/>
      <c r="B7" s="79"/>
      <c r="C7" s="81"/>
      <c r="D7" s="81"/>
      <c r="E7" s="81"/>
      <c r="F7" s="82"/>
      <c r="G7" s="83"/>
      <c r="H7" s="83"/>
      <c r="I7" s="81"/>
      <c r="J7" s="84"/>
      <c r="K7" s="84"/>
      <c r="L7" s="84"/>
      <c r="M7" s="81"/>
      <c r="N7" s="81"/>
      <c r="O7" s="81"/>
      <c r="P7" s="81"/>
      <c r="Q7" s="81"/>
      <c r="R7" s="81"/>
      <c r="S7" s="81"/>
      <c r="T7" s="81"/>
      <c r="U7" s="81"/>
      <c r="V7" s="81"/>
      <c r="W7" s="81"/>
      <c r="X7" s="81"/>
      <c r="Y7" s="81"/>
      <c r="Z7" s="81"/>
    </row>
    <row r="8" spans="1:26" ht="21.75" customHeight="1">
      <c r="A8" s="275" t="s">
        <v>274</v>
      </c>
      <c r="B8" s="276"/>
      <c r="C8" s="276"/>
      <c r="D8" s="276"/>
      <c r="E8" s="277"/>
      <c r="F8" s="86"/>
      <c r="G8" s="278" t="s">
        <v>275</v>
      </c>
      <c r="H8" s="276"/>
      <c r="I8" s="276"/>
      <c r="J8" s="276"/>
      <c r="K8" s="277"/>
      <c r="L8" s="87"/>
      <c r="M8" s="88"/>
      <c r="N8" s="88"/>
      <c r="O8" s="88"/>
      <c r="P8" s="88"/>
      <c r="Q8" s="88"/>
      <c r="R8" s="88"/>
      <c r="S8" s="88"/>
      <c r="T8" s="88"/>
      <c r="U8" s="88"/>
      <c r="V8" s="88"/>
      <c r="W8" s="88"/>
      <c r="X8" s="88"/>
      <c r="Y8" s="88"/>
      <c r="Z8" s="88"/>
    </row>
    <row r="9" spans="1:26" ht="4.5" customHeight="1">
      <c r="A9" s="89"/>
      <c r="B9" s="86"/>
      <c r="C9" s="86"/>
      <c r="D9" s="86"/>
      <c r="E9" s="86"/>
      <c r="F9" s="86"/>
      <c r="G9" s="89"/>
      <c r="H9" s="86"/>
      <c r="I9" s="86"/>
      <c r="J9" s="86"/>
      <c r="K9" s="86"/>
      <c r="L9" s="90"/>
      <c r="M9" s="91"/>
      <c r="N9" s="91"/>
      <c r="O9" s="91"/>
      <c r="P9" s="91"/>
      <c r="Q9" s="91"/>
      <c r="R9" s="91"/>
      <c r="S9" s="91"/>
      <c r="T9" s="91"/>
      <c r="U9" s="91"/>
      <c r="V9" s="91"/>
      <c r="W9" s="91"/>
      <c r="X9" s="91"/>
      <c r="Y9" s="91"/>
      <c r="Z9" s="91"/>
    </row>
    <row r="10" spans="1:26" ht="21" customHeight="1">
      <c r="A10" s="92" t="s">
        <v>276</v>
      </c>
      <c r="B10" s="86"/>
      <c r="C10" s="86"/>
      <c r="D10" s="93"/>
      <c r="E10" s="94"/>
      <c r="F10" s="86"/>
      <c r="G10" s="92" t="s">
        <v>276</v>
      </c>
      <c r="H10" s="86"/>
      <c r="I10" s="86"/>
      <c r="J10" s="95"/>
      <c r="K10" s="95">
        <f>+D10</f>
        <v>0</v>
      </c>
      <c r="L10" s="90"/>
      <c r="M10" s="91"/>
      <c r="N10" s="91"/>
      <c r="O10" s="91"/>
      <c r="P10" s="91"/>
      <c r="Q10" s="91"/>
      <c r="R10" s="91"/>
      <c r="S10" s="91"/>
      <c r="T10" s="91"/>
      <c r="U10" s="91"/>
      <c r="V10" s="91"/>
      <c r="W10" s="91"/>
      <c r="X10" s="91"/>
      <c r="Y10" s="91"/>
      <c r="Z10" s="91"/>
    </row>
    <row r="11" spans="1:26" ht="6.75" customHeight="1">
      <c r="A11" s="96"/>
      <c r="B11" s="97"/>
      <c r="C11" s="97"/>
      <c r="D11" s="97"/>
      <c r="E11" s="98"/>
      <c r="F11" s="99"/>
      <c r="G11" s="100"/>
      <c r="H11" s="97"/>
      <c r="I11" s="97"/>
      <c r="J11" s="97"/>
      <c r="K11" s="101"/>
      <c r="L11" s="102"/>
      <c r="M11" s="88"/>
      <c r="N11" s="88"/>
      <c r="O11" s="88"/>
      <c r="P11" s="88"/>
      <c r="Q11" s="88"/>
      <c r="R11" s="88"/>
      <c r="S11" s="88"/>
      <c r="T11" s="88"/>
      <c r="U11" s="88"/>
      <c r="V11" s="88"/>
      <c r="W11" s="88"/>
      <c r="X11" s="88"/>
      <c r="Y11" s="88"/>
      <c r="Z11" s="88"/>
    </row>
    <row r="12" spans="1:26" ht="12" customHeight="1">
      <c r="A12" s="103" t="s">
        <v>277</v>
      </c>
      <c r="B12" s="103" t="s">
        <v>278</v>
      </c>
      <c r="C12" s="104" t="s">
        <v>279</v>
      </c>
      <c r="D12" s="104" t="s">
        <v>280</v>
      </c>
      <c r="E12" s="104" t="s">
        <v>281</v>
      </c>
      <c r="F12" s="105"/>
      <c r="G12" s="106" t="s">
        <v>277</v>
      </c>
      <c r="H12" s="106" t="s">
        <v>278</v>
      </c>
      <c r="I12" s="107" t="s">
        <v>279</v>
      </c>
      <c r="J12" s="107" t="s">
        <v>280</v>
      </c>
      <c r="K12" s="107" t="s">
        <v>281</v>
      </c>
      <c r="L12" s="107" t="s">
        <v>282</v>
      </c>
      <c r="M12" s="82"/>
      <c r="N12" s="82"/>
      <c r="O12" s="82"/>
      <c r="P12" s="82"/>
      <c r="Q12" s="82"/>
      <c r="R12" s="82"/>
      <c r="S12" s="82"/>
      <c r="T12" s="82"/>
      <c r="U12" s="82"/>
      <c r="V12" s="82"/>
      <c r="W12" s="82"/>
      <c r="X12" s="82"/>
      <c r="Y12" s="82"/>
      <c r="Z12" s="82"/>
    </row>
    <row r="13" spans="1:26" ht="14.4">
      <c r="A13" s="108"/>
      <c r="B13" s="109"/>
      <c r="C13" s="110"/>
      <c r="D13" s="111"/>
      <c r="E13" s="111"/>
      <c r="F13" s="105"/>
      <c r="G13" s="112"/>
      <c r="H13" s="113"/>
      <c r="I13" s="114"/>
      <c r="J13" s="115"/>
      <c r="K13" s="112"/>
      <c r="L13" s="116"/>
      <c r="M13" s="82"/>
      <c r="N13" s="82"/>
      <c r="O13" s="82"/>
      <c r="P13" s="82"/>
      <c r="Q13" s="82"/>
      <c r="R13" s="82"/>
      <c r="S13" s="82"/>
      <c r="T13" s="82"/>
      <c r="U13" s="82"/>
      <c r="V13" s="82"/>
      <c r="W13" s="82"/>
      <c r="X13" s="82"/>
      <c r="Y13" s="82"/>
      <c r="Z13" s="82"/>
    </row>
    <row r="14" spans="1:26" ht="12" customHeight="1">
      <c r="A14" s="108"/>
      <c r="B14" s="117"/>
      <c r="C14" s="118"/>
      <c r="D14" s="111"/>
      <c r="E14" s="111"/>
      <c r="F14" s="119"/>
      <c r="G14" s="112"/>
      <c r="H14" s="120"/>
      <c r="I14" s="121"/>
      <c r="J14" s="115"/>
      <c r="K14" s="112"/>
      <c r="L14" s="122"/>
      <c r="M14" s="88"/>
      <c r="N14" s="88"/>
      <c r="O14" s="88"/>
      <c r="P14" s="88"/>
      <c r="Q14" s="88"/>
      <c r="R14" s="88"/>
      <c r="S14" s="88"/>
      <c r="T14" s="88"/>
      <c r="U14" s="88"/>
      <c r="V14" s="88"/>
      <c r="W14" s="88"/>
      <c r="X14" s="88"/>
      <c r="Y14" s="88"/>
      <c r="Z14" s="88"/>
    </row>
    <row r="15" spans="1:26" ht="12" customHeight="1">
      <c r="A15" s="108"/>
      <c r="B15" s="109"/>
      <c r="C15" s="118"/>
      <c r="D15" s="111"/>
      <c r="E15" s="111"/>
      <c r="F15" s="119"/>
      <c r="G15" s="112"/>
      <c r="H15" s="123"/>
      <c r="I15" s="124"/>
      <c r="J15" s="115"/>
      <c r="K15" s="112"/>
      <c r="L15" s="122"/>
      <c r="M15" s="88"/>
      <c r="N15" s="88"/>
      <c r="O15" s="88"/>
      <c r="P15" s="88"/>
      <c r="Q15" s="88"/>
      <c r="R15" s="88"/>
      <c r="S15" s="88"/>
      <c r="T15" s="88"/>
      <c r="U15" s="88"/>
      <c r="V15" s="88"/>
      <c r="W15" s="88"/>
      <c r="X15" s="88"/>
      <c r="Y15" s="88"/>
      <c r="Z15" s="88"/>
    </row>
    <row r="16" spans="1:26" ht="12" customHeight="1">
      <c r="A16" s="108"/>
      <c r="B16" s="109"/>
      <c r="C16" s="125"/>
      <c r="D16" s="111"/>
      <c r="E16" s="126"/>
      <c r="F16" s="119"/>
      <c r="G16" s="112"/>
      <c r="H16" s="123"/>
      <c r="I16" s="121"/>
      <c r="J16" s="127"/>
      <c r="K16" s="112"/>
      <c r="L16" s="122"/>
      <c r="M16" s="88"/>
      <c r="N16" s="88"/>
      <c r="O16" s="88"/>
      <c r="P16" s="88"/>
      <c r="Q16" s="88"/>
      <c r="R16" s="88"/>
      <c r="S16" s="88"/>
      <c r="T16" s="88"/>
      <c r="U16" s="88"/>
      <c r="V16" s="88"/>
      <c r="W16" s="88"/>
      <c r="X16" s="88"/>
      <c r="Y16" s="88"/>
      <c r="Z16" s="88"/>
    </row>
    <row r="17" spans="1:26" ht="12" customHeight="1">
      <c r="A17" s="108"/>
      <c r="B17" s="128"/>
      <c r="C17" s="125"/>
      <c r="D17" s="111"/>
      <c r="E17" s="126"/>
      <c r="F17" s="105"/>
      <c r="G17" s="112"/>
      <c r="H17" s="112"/>
      <c r="I17" s="114"/>
      <c r="J17" s="115"/>
      <c r="K17" s="112"/>
      <c r="L17" s="129"/>
      <c r="M17" s="130"/>
      <c r="N17" s="130"/>
      <c r="O17" s="130"/>
      <c r="P17" s="130"/>
      <c r="Q17" s="130"/>
      <c r="R17" s="130"/>
      <c r="S17" s="130"/>
      <c r="T17" s="130"/>
      <c r="U17" s="130"/>
      <c r="V17" s="130"/>
      <c r="W17" s="130"/>
      <c r="X17" s="130"/>
      <c r="Y17" s="130"/>
      <c r="Z17" s="130"/>
    </row>
    <row r="18" spans="1:26" ht="12" customHeight="1">
      <c r="A18" s="108"/>
      <c r="B18" s="131"/>
      <c r="C18" s="125"/>
      <c r="D18" s="111"/>
      <c r="E18" s="126"/>
      <c r="F18" s="132"/>
      <c r="G18" s="112"/>
      <c r="H18" s="133"/>
      <c r="I18" s="114"/>
      <c r="J18" s="115"/>
      <c r="K18" s="112"/>
      <c r="L18" s="134"/>
      <c r="M18" s="81"/>
      <c r="N18" s="81"/>
      <c r="O18" s="81"/>
      <c r="P18" s="81"/>
      <c r="Q18" s="81"/>
      <c r="R18" s="81"/>
      <c r="S18" s="81"/>
      <c r="T18" s="81"/>
      <c r="U18" s="81"/>
      <c r="V18" s="81"/>
      <c r="W18" s="81"/>
      <c r="X18" s="81"/>
      <c r="Y18" s="81"/>
      <c r="Z18" s="81"/>
    </row>
    <row r="19" spans="1:26" ht="12" hidden="1" customHeight="1">
      <c r="A19" s="108"/>
      <c r="B19" s="131"/>
      <c r="C19" s="125"/>
      <c r="D19" s="111"/>
      <c r="E19" s="126"/>
      <c r="F19" s="82"/>
      <c r="G19" s="112"/>
      <c r="H19" s="133"/>
      <c r="I19" s="124"/>
      <c r="J19" s="127"/>
      <c r="K19" s="112"/>
      <c r="L19" s="134"/>
      <c r="M19" s="81"/>
      <c r="N19" s="81"/>
      <c r="O19" s="81"/>
      <c r="P19" s="81"/>
      <c r="Q19" s="81"/>
      <c r="R19" s="81"/>
      <c r="S19" s="81"/>
      <c r="T19" s="81"/>
      <c r="U19" s="81"/>
      <c r="V19" s="81"/>
      <c r="W19" s="81"/>
      <c r="X19" s="81"/>
      <c r="Y19" s="81"/>
      <c r="Z19" s="81"/>
    </row>
    <row r="20" spans="1:26" ht="12" hidden="1" customHeight="1">
      <c r="A20" s="108"/>
      <c r="B20" s="131"/>
      <c r="C20" s="125"/>
      <c r="D20" s="111"/>
      <c r="E20" s="126"/>
      <c r="F20" s="82"/>
      <c r="G20" s="112"/>
      <c r="H20" s="133"/>
      <c r="I20" s="124"/>
      <c r="J20" s="115"/>
      <c r="K20" s="112"/>
      <c r="L20" s="134"/>
      <c r="M20" s="81"/>
      <c r="N20" s="81"/>
      <c r="O20" s="81"/>
      <c r="P20" s="81"/>
      <c r="Q20" s="81"/>
      <c r="R20" s="81"/>
      <c r="S20" s="81"/>
      <c r="T20" s="81"/>
      <c r="U20" s="81"/>
      <c r="V20" s="81"/>
      <c r="W20" s="81"/>
      <c r="X20" s="81"/>
      <c r="Y20" s="81"/>
      <c r="Z20" s="81"/>
    </row>
    <row r="21" spans="1:26" ht="12" hidden="1" customHeight="1">
      <c r="A21" s="108"/>
      <c r="B21" s="131"/>
      <c r="C21" s="125"/>
      <c r="D21" s="111"/>
      <c r="E21" s="126"/>
      <c r="F21" s="82"/>
      <c r="G21" s="112"/>
      <c r="H21" s="133"/>
      <c r="I21" s="124"/>
      <c r="J21" s="115"/>
      <c r="K21" s="112"/>
      <c r="L21" s="134"/>
      <c r="M21" s="81"/>
      <c r="N21" s="81"/>
      <c r="O21" s="81"/>
      <c r="P21" s="81"/>
      <c r="Q21" s="81"/>
      <c r="R21" s="81"/>
      <c r="S21" s="81"/>
      <c r="T21" s="81"/>
      <c r="U21" s="81"/>
      <c r="V21" s="81"/>
      <c r="W21" s="81"/>
      <c r="X21" s="81"/>
      <c r="Y21" s="81"/>
      <c r="Z21" s="81"/>
    </row>
    <row r="22" spans="1:26" ht="12" customHeight="1">
      <c r="A22" s="108"/>
      <c r="B22" s="131"/>
      <c r="C22" s="125"/>
      <c r="D22" s="111"/>
      <c r="E22" s="111"/>
      <c r="F22" s="82"/>
      <c r="G22" s="112"/>
      <c r="H22" s="133"/>
      <c r="I22" s="124"/>
      <c r="J22" s="127"/>
      <c r="K22" s="112"/>
      <c r="L22" s="134"/>
      <c r="M22" s="81"/>
      <c r="N22" s="81"/>
      <c r="O22" s="81"/>
      <c r="P22" s="81"/>
      <c r="Q22" s="81"/>
      <c r="R22" s="81"/>
      <c r="S22" s="81"/>
      <c r="T22" s="81"/>
      <c r="U22" s="81"/>
      <c r="V22" s="81"/>
      <c r="W22" s="81"/>
      <c r="X22" s="81"/>
      <c r="Y22" s="81"/>
      <c r="Z22" s="81"/>
    </row>
    <row r="23" spans="1:26" ht="12" customHeight="1">
      <c r="A23" s="108"/>
      <c r="B23" s="108"/>
      <c r="C23" s="108"/>
      <c r="D23" s="108"/>
      <c r="E23" s="126"/>
      <c r="F23" s="82"/>
      <c r="G23" s="112"/>
      <c r="H23" s="133"/>
      <c r="I23" s="124"/>
      <c r="J23" s="115"/>
      <c r="K23" s="112"/>
      <c r="L23" s="134"/>
      <c r="M23" s="81"/>
      <c r="N23" s="81"/>
      <c r="O23" s="81"/>
      <c r="P23" s="81"/>
      <c r="Q23" s="81"/>
      <c r="R23" s="81"/>
      <c r="S23" s="81"/>
      <c r="T23" s="81"/>
      <c r="U23" s="81"/>
      <c r="V23" s="81"/>
      <c r="W23" s="81"/>
      <c r="X23" s="81"/>
      <c r="Y23" s="81"/>
      <c r="Z23" s="81"/>
    </row>
    <row r="24" spans="1:26" ht="12" customHeight="1">
      <c r="A24" s="108"/>
      <c r="B24" s="108"/>
      <c r="C24" s="108"/>
      <c r="D24" s="108"/>
      <c r="E24" s="111"/>
      <c r="F24" s="82"/>
      <c r="G24" s="112"/>
      <c r="H24" s="133"/>
      <c r="I24" s="124"/>
      <c r="J24" s="127"/>
      <c r="K24" s="112"/>
      <c r="L24" s="134"/>
      <c r="M24" s="81"/>
      <c r="N24" s="81"/>
      <c r="O24" s="81"/>
      <c r="P24" s="81"/>
      <c r="Q24" s="81"/>
      <c r="R24" s="81"/>
      <c r="S24" s="81"/>
      <c r="T24" s="81"/>
      <c r="U24" s="81"/>
      <c r="V24" s="81"/>
      <c r="W24" s="81"/>
      <c r="X24" s="81"/>
      <c r="Y24" s="81"/>
      <c r="Z24" s="81"/>
    </row>
    <row r="25" spans="1:26" ht="12" customHeight="1">
      <c r="A25" s="108"/>
      <c r="B25" s="108"/>
      <c r="C25" s="108"/>
      <c r="D25" s="108"/>
      <c r="E25" s="126"/>
      <c r="F25" s="82"/>
      <c r="G25" s="112"/>
      <c r="H25" s="133"/>
      <c r="I25" s="124"/>
      <c r="J25" s="127"/>
      <c r="K25" s="112"/>
      <c r="L25" s="134"/>
      <c r="M25" s="81"/>
      <c r="N25" s="81"/>
      <c r="O25" s="81"/>
      <c r="P25" s="81"/>
      <c r="Q25" s="81"/>
      <c r="R25" s="81"/>
      <c r="S25" s="81"/>
      <c r="T25" s="81"/>
      <c r="U25" s="81"/>
      <c r="V25" s="81"/>
      <c r="W25" s="81"/>
      <c r="X25" s="81"/>
      <c r="Y25" s="81"/>
      <c r="Z25" s="81"/>
    </row>
    <row r="26" spans="1:26" ht="12" customHeight="1">
      <c r="A26" s="108"/>
      <c r="B26" s="108"/>
      <c r="C26" s="108"/>
      <c r="D26" s="108"/>
      <c r="E26" s="111"/>
      <c r="F26" s="82"/>
      <c r="G26" s="112"/>
      <c r="H26" s="133"/>
      <c r="I26" s="124"/>
      <c r="J26" s="127"/>
      <c r="K26" s="112"/>
      <c r="L26" s="134"/>
      <c r="M26" s="81"/>
      <c r="N26" s="81"/>
      <c r="O26" s="81"/>
      <c r="P26" s="81"/>
      <c r="Q26" s="81"/>
      <c r="R26" s="81"/>
      <c r="S26" s="81"/>
      <c r="T26" s="81"/>
      <c r="U26" s="81"/>
      <c r="V26" s="81"/>
      <c r="W26" s="81"/>
      <c r="X26" s="81"/>
      <c r="Y26" s="81"/>
      <c r="Z26" s="81"/>
    </row>
    <row r="27" spans="1:26" ht="12" customHeight="1">
      <c r="A27" s="108"/>
      <c r="B27" s="108"/>
      <c r="C27" s="108"/>
      <c r="D27" s="108"/>
      <c r="E27" s="126"/>
      <c r="F27" s="82"/>
      <c r="G27" s="112"/>
      <c r="H27" s="112"/>
      <c r="I27" s="112"/>
      <c r="J27" s="127"/>
      <c r="K27" s="112"/>
      <c r="L27" s="134"/>
      <c r="M27" s="81"/>
      <c r="N27" s="81"/>
      <c r="O27" s="81"/>
      <c r="P27" s="81"/>
      <c r="Q27" s="81"/>
      <c r="R27" s="81"/>
      <c r="S27" s="81"/>
      <c r="T27" s="81"/>
      <c r="U27" s="81"/>
      <c r="V27" s="81"/>
      <c r="W27" s="81"/>
      <c r="X27" s="81"/>
      <c r="Y27" s="81"/>
      <c r="Z27" s="81"/>
    </row>
    <row r="28" spans="1:26" ht="12" customHeight="1">
      <c r="A28" s="108"/>
      <c r="B28" s="108"/>
      <c r="C28" s="108"/>
      <c r="D28" s="108"/>
      <c r="E28" s="126"/>
      <c r="F28" s="82"/>
      <c r="G28" s="112"/>
      <c r="H28" s="112"/>
      <c r="I28" s="112"/>
      <c r="J28" s="127"/>
      <c r="K28" s="112"/>
      <c r="L28" s="135"/>
      <c r="M28" s="81"/>
      <c r="N28" s="81"/>
      <c r="O28" s="81"/>
      <c r="P28" s="81"/>
      <c r="Q28" s="81"/>
      <c r="R28" s="81"/>
      <c r="S28" s="81"/>
      <c r="T28" s="81"/>
      <c r="U28" s="81"/>
      <c r="V28" s="81"/>
      <c r="W28" s="81"/>
      <c r="X28" s="81"/>
      <c r="Y28" s="81"/>
      <c r="Z28" s="81"/>
    </row>
    <row r="29" spans="1:26" ht="12" customHeight="1">
      <c r="A29" s="108"/>
      <c r="B29" s="108"/>
      <c r="C29" s="108"/>
      <c r="D29" s="108"/>
      <c r="E29" s="126"/>
      <c r="F29" s="82"/>
      <c r="G29" s="112"/>
      <c r="H29" s="112"/>
      <c r="I29" s="112"/>
      <c r="J29" s="127"/>
      <c r="K29" s="112"/>
      <c r="L29" s="135"/>
      <c r="M29" s="81"/>
      <c r="N29" s="81"/>
      <c r="O29" s="81"/>
      <c r="P29" s="81"/>
      <c r="Q29" s="81"/>
      <c r="R29" s="81"/>
      <c r="S29" s="81"/>
      <c r="T29" s="81"/>
      <c r="U29" s="81"/>
      <c r="V29" s="81"/>
      <c r="W29" s="81"/>
      <c r="X29" s="81"/>
      <c r="Y29" s="81"/>
      <c r="Z29" s="81"/>
    </row>
    <row r="30" spans="1:26" ht="12" customHeight="1">
      <c r="A30" s="79"/>
      <c r="B30" s="79"/>
      <c r="C30" s="81"/>
      <c r="D30" s="81"/>
      <c r="E30" s="81"/>
      <c r="F30" s="82"/>
      <c r="G30" s="83"/>
      <c r="H30" s="83"/>
      <c r="I30" s="81"/>
      <c r="J30" s="84"/>
      <c r="K30" s="84"/>
      <c r="L30" s="84"/>
      <c r="M30" s="81"/>
      <c r="N30" s="81"/>
      <c r="O30" s="81"/>
      <c r="P30" s="81"/>
      <c r="Q30" s="81"/>
      <c r="R30" s="81"/>
      <c r="S30" s="81"/>
      <c r="T30" s="81"/>
      <c r="U30" s="81"/>
      <c r="V30" s="81"/>
      <c r="W30" s="81"/>
      <c r="X30" s="81"/>
      <c r="Y30" s="81"/>
      <c r="Z30" s="81"/>
    </row>
    <row r="31" spans="1:26" ht="18.75" customHeight="1">
      <c r="A31" s="79"/>
      <c r="B31" s="79"/>
      <c r="C31" s="136" t="s">
        <v>283</v>
      </c>
      <c r="D31" s="137">
        <f>SUM(D13:D29)</f>
        <v>0</v>
      </c>
      <c r="E31" s="137">
        <f t="shared" ref="E31" si="0">SUM(E13:E29)</f>
        <v>0</v>
      </c>
      <c r="F31" s="132"/>
      <c r="G31" s="138"/>
      <c r="H31" s="138"/>
      <c r="I31" s="136" t="s">
        <v>283</v>
      </c>
      <c r="J31" s="137">
        <f>+SUM(J13:J29)</f>
        <v>0</v>
      </c>
      <c r="K31" s="137">
        <f>SUM(K13:K29)</f>
        <v>0</v>
      </c>
      <c r="L31" s="139">
        <f>+K31-J31</f>
        <v>0</v>
      </c>
      <c r="M31" s="81"/>
      <c r="N31" s="81"/>
      <c r="O31" s="81"/>
      <c r="P31" s="81"/>
      <c r="Q31" s="81"/>
      <c r="R31" s="81"/>
      <c r="S31" s="81"/>
      <c r="T31" s="81"/>
      <c r="U31" s="81"/>
      <c r="V31" s="81"/>
      <c r="W31" s="81"/>
      <c r="X31" s="81"/>
      <c r="Y31" s="81"/>
      <c r="Z31" s="81"/>
    </row>
    <row r="32" spans="1:26" ht="12" customHeight="1">
      <c r="A32" s="79"/>
      <c r="B32" s="79"/>
      <c r="C32" s="81"/>
      <c r="D32" s="81"/>
      <c r="E32" s="81"/>
      <c r="F32" s="82"/>
      <c r="G32" s="83"/>
      <c r="H32" s="83"/>
      <c r="I32" s="81"/>
      <c r="J32" s="84"/>
      <c r="K32" s="84"/>
      <c r="L32" s="84"/>
      <c r="M32" s="81"/>
      <c r="N32" s="81"/>
      <c r="O32" s="81"/>
      <c r="P32" s="81"/>
      <c r="Q32" s="81"/>
      <c r="R32" s="81"/>
      <c r="S32" s="81"/>
      <c r="T32" s="81"/>
      <c r="U32" s="81"/>
      <c r="V32" s="81"/>
      <c r="W32" s="81"/>
      <c r="X32" s="81"/>
      <c r="Y32" s="81"/>
      <c r="Z32" s="81"/>
    </row>
    <row r="33" spans="1:26" ht="24" customHeight="1">
      <c r="A33" s="79"/>
      <c r="B33" s="79"/>
      <c r="C33" s="136" t="s">
        <v>284</v>
      </c>
      <c r="D33" s="279">
        <f>D10-E10+D31-E31</f>
        <v>0</v>
      </c>
      <c r="E33" s="273"/>
      <c r="F33" s="132"/>
      <c r="G33" s="83"/>
      <c r="H33" s="83"/>
      <c r="I33" s="136" t="s">
        <v>284</v>
      </c>
      <c r="J33" s="279">
        <f>K10-J10+K31-J31</f>
        <v>0</v>
      </c>
      <c r="K33" s="273"/>
      <c r="L33" s="139">
        <f>+L14+K31-J31</f>
        <v>0</v>
      </c>
      <c r="M33" s="81"/>
      <c r="N33" s="81"/>
      <c r="O33" s="81"/>
      <c r="P33" s="81"/>
      <c r="Q33" s="81"/>
      <c r="R33" s="81"/>
      <c r="S33" s="81"/>
      <c r="T33" s="81"/>
      <c r="U33" s="81"/>
      <c r="V33" s="81"/>
      <c r="W33" s="81"/>
      <c r="X33" s="81"/>
      <c r="Y33" s="81"/>
      <c r="Z33" s="81"/>
    </row>
    <row r="34" spans="1:26" ht="12" customHeight="1">
      <c r="A34" s="79"/>
      <c r="B34" s="79"/>
      <c r="C34" s="81"/>
      <c r="D34" s="81"/>
      <c r="E34" s="81"/>
      <c r="F34" s="82"/>
      <c r="G34" s="83"/>
      <c r="H34" s="83"/>
      <c r="I34" s="81"/>
      <c r="J34" s="84"/>
      <c r="K34" s="84"/>
      <c r="L34" s="84"/>
      <c r="M34" s="140"/>
      <c r="N34" s="81"/>
      <c r="O34" s="81"/>
      <c r="P34" s="81"/>
      <c r="Q34" s="81"/>
      <c r="R34" s="81"/>
      <c r="S34" s="81"/>
      <c r="T34" s="81"/>
      <c r="U34" s="81"/>
      <c r="V34" s="81"/>
      <c r="W34" s="81"/>
      <c r="X34" s="81"/>
      <c r="Y34" s="81"/>
      <c r="Z34" s="81"/>
    </row>
    <row r="35" spans="1:26" ht="17.25" customHeight="1">
      <c r="A35" s="79"/>
      <c r="B35" s="79"/>
      <c r="C35" s="141" t="s">
        <v>285</v>
      </c>
      <c r="D35" s="272">
        <f>D33-J33</f>
        <v>0</v>
      </c>
      <c r="E35" s="273"/>
      <c r="F35" s="142"/>
      <c r="G35" s="83"/>
      <c r="H35" s="83"/>
      <c r="I35" s="81"/>
      <c r="J35" s="84"/>
      <c r="K35" s="84"/>
      <c r="L35" s="84"/>
      <c r="M35" s="81"/>
      <c r="N35" s="81"/>
      <c r="O35" s="81"/>
      <c r="P35" s="81"/>
      <c r="Q35" s="81"/>
      <c r="R35" s="81"/>
      <c r="S35" s="81"/>
      <c r="T35" s="81"/>
      <c r="U35" s="81"/>
      <c r="V35" s="81"/>
      <c r="W35" s="81"/>
      <c r="X35" s="81"/>
      <c r="Y35" s="81"/>
      <c r="Z35" s="81"/>
    </row>
    <row r="36" spans="1:26" ht="12" customHeight="1">
      <c r="A36" s="79"/>
      <c r="B36" s="79"/>
      <c r="C36" s="81"/>
      <c r="D36" s="81"/>
      <c r="E36" s="81"/>
      <c r="F36" s="82"/>
      <c r="G36" s="83"/>
      <c r="H36" s="83"/>
      <c r="I36" s="81"/>
      <c r="J36" s="84"/>
      <c r="K36" s="84"/>
      <c r="L36" s="84"/>
      <c r="M36" s="81"/>
      <c r="N36" s="81"/>
      <c r="O36" s="81"/>
      <c r="P36" s="81"/>
      <c r="Q36" s="81"/>
      <c r="R36" s="81"/>
      <c r="S36" s="81"/>
      <c r="T36" s="81"/>
      <c r="U36" s="81"/>
      <c r="V36" s="81"/>
      <c r="W36" s="81"/>
      <c r="X36" s="81"/>
      <c r="Y36" s="81"/>
      <c r="Z36" s="81"/>
    </row>
    <row r="37" spans="1:26" ht="21" customHeight="1">
      <c r="A37" s="81"/>
      <c r="B37" s="79"/>
      <c r="C37" s="143" t="s">
        <v>286</v>
      </c>
      <c r="D37" s="144"/>
      <c r="E37" s="144"/>
      <c r="F37" s="86"/>
      <c r="G37" s="145"/>
      <c r="H37" s="145"/>
      <c r="I37" s="144" t="s">
        <v>287</v>
      </c>
      <c r="J37" s="84"/>
      <c r="K37" s="84"/>
      <c r="L37" s="84"/>
      <c r="M37" s="81"/>
      <c r="N37" s="81"/>
      <c r="O37" s="81"/>
      <c r="P37" s="81"/>
      <c r="Q37" s="81"/>
      <c r="R37" s="81"/>
      <c r="S37" s="81"/>
      <c r="T37" s="81"/>
      <c r="U37" s="81"/>
      <c r="V37" s="81"/>
      <c r="W37" s="81"/>
      <c r="X37" s="81"/>
      <c r="Y37" s="81"/>
      <c r="Z37" s="81"/>
    </row>
    <row r="38" spans="1:26" ht="12" customHeight="1">
      <c r="A38" s="79"/>
      <c r="B38" s="79"/>
      <c r="C38" s="81"/>
      <c r="D38" s="81"/>
      <c r="E38" s="81"/>
      <c r="F38" s="82"/>
      <c r="G38" s="83"/>
      <c r="H38" s="83"/>
      <c r="I38" s="81"/>
      <c r="J38" s="84"/>
      <c r="K38" s="84"/>
      <c r="L38" s="84"/>
      <c r="M38" s="81"/>
      <c r="N38" s="81"/>
      <c r="O38" s="81"/>
      <c r="P38" s="81"/>
      <c r="Q38" s="81"/>
      <c r="R38" s="81"/>
      <c r="S38" s="81"/>
      <c r="T38" s="81"/>
      <c r="U38" s="81"/>
      <c r="V38" s="81"/>
      <c r="W38" s="81"/>
      <c r="X38" s="81"/>
      <c r="Y38" s="81"/>
      <c r="Z38" s="81"/>
    </row>
    <row r="39" spans="1:26" ht="12" customHeight="1">
      <c r="A39" s="79"/>
      <c r="B39" s="79"/>
      <c r="C39" s="81"/>
      <c r="D39" s="81"/>
      <c r="E39" s="81"/>
      <c r="F39" s="82"/>
      <c r="G39" s="83"/>
      <c r="H39" s="83"/>
      <c r="I39" s="81"/>
      <c r="J39" s="84"/>
      <c r="K39" s="84"/>
      <c r="L39" s="84"/>
      <c r="M39" s="81"/>
      <c r="N39" s="81"/>
      <c r="O39" s="81"/>
      <c r="P39" s="81"/>
      <c r="Q39" s="81"/>
      <c r="R39" s="81"/>
      <c r="S39" s="81"/>
      <c r="T39" s="81"/>
      <c r="U39" s="81"/>
      <c r="V39" s="81"/>
      <c r="W39" s="81"/>
      <c r="X39" s="81"/>
      <c r="Y39" s="81"/>
      <c r="Z39" s="81"/>
    </row>
    <row r="40" spans="1:26" ht="12" customHeight="1">
      <c r="A40" s="79"/>
      <c r="B40" s="79"/>
      <c r="C40" s="81"/>
      <c r="D40" s="81"/>
      <c r="E40" s="81"/>
      <c r="F40" s="82"/>
      <c r="G40" s="83"/>
      <c r="H40" s="83"/>
      <c r="I40" s="81"/>
      <c r="J40" s="84"/>
      <c r="K40" s="84"/>
      <c r="L40" s="84"/>
      <c r="M40" s="81"/>
      <c r="N40" s="81"/>
      <c r="O40" s="81"/>
      <c r="P40" s="81"/>
      <c r="Q40" s="81"/>
      <c r="R40" s="81"/>
      <c r="S40" s="81"/>
      <c r="T40" s="81"/>
      <c r="U40" s="81"/>
      <c r="V40" s="81"/>
      <c r="W40" s="81"/>
      <c r="X40" s="81"/>
      <c r="Y40" s="81"/>
      <c r="Z40" s="81"/>
    </row>
    <row r="41" spans="1:26" ht="12" customHeight="1">
      <c r="A41" s="79"/>
      <c r="B41" s="79"/>
      <c r="C41" s="81"/>
      <c r="D41" s="81"/>
      <c r="E41" s="81"/>
      <c r="F41" s="82"/>
      <c r="G41" s="83"/>
      <c r="H41" s="83"/>
      <c r="I41" s="81"/>
      <c r="J41" s="84"/>
      <c r="K41" s="84"/>
      <c r="L41" s="84"/>
      <c r="M41" s="81"/>
      <c r="N41" s="81"/>
      <c r="O41" s="81"/>
      <c r="P41" s="81"/>
      <c r="Q41" s="81"/>
      <c r="R41" s="81"/>
      <c r="S41" s="81"/>
      <c r="T41" s="81"/>
      <c r="U41" s="81"/>
      <c r="V41" s="81"/>
      <c r="W41" s="81"/>
      <c r="X41" s="81"/>
      <c r="Y41" s="81"/>
      <c r="Z41" s="81"/>
    </row>
    <row r="42" spans="1:26" ht="12" customHeight="1">
      <c r="A42" s="79"/>
      <c r="B42" s="79"/>
      <c r="C42" s="81"/>
      <c r="D42" s="81"/>
      <c r="E42" s="81"/>
      <c r="F42" s="82"/>
      <c r="G42" s="83"/>
      <c r="H42" s="83"/>
      <c r="I42" s="81"/>
      <c r="J42" s="84"/>
      <c r="K42" s="84"/>
      <c r="L42" s="84"/>
      <c r="M42" s="81"/>
      <c r="N42" s="81"/>
      <c r="O42" s="81"/>
      <c r="P42" s="81"/>
      <c r="Q42" s="81"/>
      <c r="R42" s="81"/>
      <c r="S42" s="81"/>
      <c r="T42" s="81"/>
      <c r="U42" s="81"/>
      <c r="V42" s="81"/>
      <c r="W42" s="81"/>
      <c r="X42" s="81"/>
      <c r="Y42" s="81"/>
      <c r="Z42" s="81"/>
    </row>
    <row r="43" spans="1:26" ht="12" customHeight="1">
      <c r="A43" s="79"/>
      <c r="B43" s="79"/>
      <c r="C43" s="81"/>
      <c r="D43" s="81"/>
      <c r="E43" s="81"/>
      <c r="F43" s="82"/>
      <c r="G43" s="83"/>
      <c r="H43" s="83"/>
      <c r="I43" s="81"/>
      <c r="J43" s="84"/>
      <c r="K43" s="84"/>
      <c r="L43" s="84"/>
      <c r="M43" s="81"/>
      <c r="N43" s="81"/>
      <c r="O43" s="81"/>
      <c r="P43" s="81"/>
      <c r="Q43" s="81"/>
      <c r="R43" s="81"/>
      <c r="S43" s="81"/>
      <c r="T43" s="81"/>
      <c r="U43" s="81"/>
      <c r="V43" s="81"/>
      <c r="W43" s="81"/>
      <c r="X43" s="81"/>
      <c r="Y43" s="81"/>
      <c r="Z43" s="81"/>
    </row>
    <row r="44" spans="1:26" ht="12" customHeight="1">
      <c r="A44" s="79"/>
      <c r="B44" s="79"/>
      <c r="C44" s="81"/>
      <c r="D44" s="81"/>
      <c r="E44" s="81"/>
      <c r="F44" s="82"/>
      <c r="G44" s="83"/>
      <c r="H44" s="83"/>
      <c r="I44" s="81"/>
      <c r="J44" s="84"/>
      <c r="K44" s="84"/>
      <c r="L44" s="84"/>
      <c r="M44" s="81"/>
      <c r="N44" s="81"/>
      <c r="O44" s="81"/>
      <c r="P44" s="81"/>
      <c r="Q44" s="81"/>
      <c r="R44" s="81"/>
      <c r="S44" s="81"/>
      <c r="T44" s="81"/>
      <c r="U44" s="81"/>
      <c r="V44" s="81"/>
      <c r="W44" s="81"/>
      <c r="X44" s="81"/>
      <c r="Y44" s="81"/>
      <c r="Z44" s="81"/>
    </row>
    <row r="45" spans="1:26" ht="12" customHeight="1">
      <c r="A45" s="79"/>
      <c r="B45" s="79"/>
      <c r="C45" s="81"/>
      <c r="D45" s="81"/>
      <c r="E45" s="81"/>
      <c r="F45" s="82"/>
      <c r="G45" s="83"/>
      <c r="H45" s="83"/>
      <c r="I45" s="81"/>
      <c r="J45" s="84"/>
      <c r="K45" s="84"/>
      <c r="L45" s="84"/>
      <c r="M45" s="81"/>
      <c r="N45" s="81"/>
      <c r="O45" s="81"/>
      <c r="P45" s="81"/>
      <c r="Q45" s="81"/>
      <c r="R45" s="81"/>
      <c r="S45" s="81"/>
      <c r="T45" s="81"/>
      <c r="U45" s="81"/>
      <c r="V45" s="81"/>
      <c r="W45" s="81"/>
      <c r="X45" s="81"/>
      <c r="Y45" s="81"/>
      <c r="Z45" s="81"/>
    </row>
    <row r="46" spans="1:26" ht="12" customHeight="1">
      <c r="A46" s="79"/>
      <c r="B46" s="79"/>
      <c r="C46" s="81"/>
      <c r="D46" s="81"/>
      <c r="E46" s="81"/>
      <c r="F46" s="82"/>
      <c r="G46" s="83"/>
      <c r="H46" s="83"/>
      <c r="I46" s="81"/>
      <c r="J46" s="84"/>
      <c r="K46" s="84"/>
      <c r="L46" s="84"/>
      <c r="M46" s="81"/>
      <c r="N46" s="81"/>
      <c r="O46" s="81"/>
      <c r="P46" s="81"/>
      <c r="Q46" s="81"/>
      <c r="R46" s="81"/>
      <c r="S46" s="81"/>
      <c r="T46" s="81"/>
      <c r="U46" s="81"/>
      <c r="V46" s="81"/>
      <c r="W46" s="81"/>
      <c r="X46" s="81"/>
      <c r="Y46" s="81"/>
      <c r="Z46" s="81"/>
    </row>
    <row r="47" spans="1:26" ht="12" customHeight="1">
      <c r="A47" s="79"/>
      <c r="B47" s="79"/>
      <c r="C47" s="81"/>
      <c r="D47" s="81"/>
      <c r="E47" s="81"/>
      <c r="F47" s="82"/>
      <c r="G47" s="83"/>
      <c r="H47" s="83"/>
      <c r="I47" s="81"/>
      <c r="J47" s="84"/>
      <c r="K47" s="84"/>
      <c r="L47" s="84"/>
      <c r="M47" s="81"/>
      <c r="N47" s="81"/>
      <c r="O47" s="81"/>
      <c r="P47" s="81"/>
      <c r="Q47" s="81"/>
      <c r="R47" s="81"/>
      <c r="S47" s="81"/>
      <c r="T47" s="81"/>
      <c r="U47" s="81"/>
      <c r="V47" s="81"/>
      <c r="W47" s="81"/>
      <c r="X47" s="81"/>
      <c r="Y47" s="81"/>
      <c r="Z47" s="81"/>
    </row>
    <row r="48" spans="1:26" ht="12" customHeight="1">
      <c r="A48" s="79"/>
      <c r="B48" s="79"/>
      <c r="C48" s="81"/>
      <c r="D48" s="81"/>
      <c r="E48" s="81"/>
      <c r="F48" s="82"/>
      <c r="G48" s="83"/>
      <c r="H48" s="83"/>
      <c r="I48" s="81"/>
      <c r="J48" s="84"/>
      <c r="K48" s="84"/>
      <c r="L48" s="84"/>
      <c r="M48" s="81"/>
      <c r="N48" s="81"/>
      <c r="O48" s="81"/>
      <c r="P48" s="81"/>
      <c r="Q48" s="81"/>
      <c r="R48" s="81"/>
      <c r="S48" s="81"/>
      <c r="T48" s="81"/>
      <c r="U48" s="81"/>
      <c r="V48" s="81"/>
      <c r="W48" s="81"/>
      <c r="X48" s="81"/>
      <c r="Y48" s="81"/>
      <c r="Z48" s="81"/>
    </row>
    <row r="49" spans="1:26" ht="12" customHeight="1">
      <c r="A49" s="79"/>
      <c r="B49" s="79"/>
      <c r="C49" s="81"/>
      <c r="D49" s="81"/>
      <c r="E49" s="81"/>
      <c r="F49" s="82"/>
      <c r="G49" s="83"/>
      <c r="H49" s="83"/>
      <c r="I49" s="81"/>
      <c r="J49" s="84"/>
      <c r="K49" s="84"/>
      <c r="L49" s="84"/>
      <c r="M49" s="81"/>
      <c r="N49" s="81"/>
      <c r="O49" s="81"/>
      <c r="P49" s="81"/>
      <c r="Q49" s="81"/>
      <c r="R49" s="81"/>
      <c r="S49" s="81"/>
      <c r="T49" s="81"/>
      <c r="U49" s="81"/>
      <c r="V49" s="81"/>
      <c r="W49" s="81"/>
      <c r="X49" s="81"/>
      <c r="Y49" s="81"/>
      <c r="Z49" s="81"/>
    </row>
    <row r="50" spans="1:26" ht="12" customHeight="1">
      <c r="A50" s="79"/>
      <c r="B50" s="79"/>
      <c r="C50" s="81"/>
      <c r="D50" s="81"/>
      <c r="E50" s="81"/>
      <c r="F50" s="82"/>
      <c r="G50" s="83"/>
      <c r="H50" s="83"/>
      <c r="I50" s="81"/>
      <c r="J50" s="84"/>
      <c r="K50" s="84"/>
      <c r="L50" s="84"/>
      <c r="M50" s="81"/>
      <c r="N50" s="81"/>
      <c r="O50" s="81"/>
      <c r="P50" s="81"/>
      <c r="Q50" s="81"/>
      <c r="R50" s="81"/>
      <c r="S50" s="81"/>
      <c r="T50" s="81"/>
      <c r="U50" s="81"/>
      <c r="V50" s="81"/>
      <c r="W50" s="81"/>
      <c r="X50" s="81"/>
      <c r="Y50" s="81"/>
      <c r="Z50" s="81"/>
    </row>
    <row r="51" spans="1:26" ht="12" customHeight="1">
      <c r="A51" s="79"/>
      <c r="B51" s="79"/>
      <c r="C51" s="81"/>
      <c r="D51" s="81"/>
      <c r="E51" s="81"/>
      <c r="F51" s="82"/>
      <c r="G51" s="83"/>
      <c r="H51" s="83"/>
      <c r="I51" s="81"/>
      <c r="J51" s="84"/>
      <c r="K51" s="84"/>
      <c r="L51" s="84"/>
      <c r="M51" s="81"/>
      <c r="N51" s="81"/>
      <c r="O51" s="81"/>
      <c r="P51" s="81"/>
      <c r="Q51" s="81"/>
      <c r="R51" s="81"/>
      <c r="S51" s="81"/>
      <c r="T51" s="81"/>
      <c r="U51" s="81"/>
      <c r="V51" s="81"/>
      <c r="W51" s="81"/>
      <c r="X51" s="81"/>
      <c r="Y51" s="81"/>
      <c r="Z51" s="81"/>
    </row>
    <row r="52" spans="1:26" ht="12" customHeight="1">
      <c r="A52" s="79"/>
      <c r="B52" s="79"/>
      <c r="C52" s="81"/>
      <c r="D52" s="81"/>
      <c r="E52" s="81"/>
      <c r="F52" s="82"/>
      <c r="G52" s="83"/>
      <c r="H52" s="83"/>
      <c r="I52" s="81"/>
      <c r="J52" s="84"/>
      <c r="K52" s="84"/>
      <c r="L52" s="84"/>
      <c r="M52" s="81"/>
      <c r="N52" s="81"/>
      <c r="O52" s="81"/>
      <c r="P52" s="81"/>
      <c r="Q52" s="81"/>
      <c r="R52" s="81"/>
      <c r="S52" s="81"/>
      <c r="T52" s="81"/>
      <c r="U52" s="81"/>
      <c r="V52" s="81"/>
      <c r="W52" s="81"/>
      <c r="X52" s="81"/>
      <c r="Y52" s="81"/>
      <c r="Z52" s="81"/>
    </row>
    <row r="53" spans="1:26" ht="12" customHeight="1">
      <c r="A53" s="79"/>
      <c r="B53" s="79"/>
      <c r="C53" s="81"/>
      <c r="D53" s="81"/>
      <c r="E53" s="81"/>
      <c r="F53" s="82"/>
      <c r="G53" s="83"/>
      <c r="H53" s="83"/>
      <c r="I53" s="81"/>
      <c r="J53" s="84"/>
      <c r="K53" s="84"/>
      <c r="L53" s="84"/>
      <c r="M53" s="81"/>
      <c r="N53" s="81"/>
      <c r="O53" s="81"/>
      <c r="P53" s="81"/>
      <c r="Q53" s="81"/>
      <c r="R53" s="81"/>
      <c r="S53" s="81"/>
      <c r="T53" s="81"/>
      <c r="U53" s="81"/>
      <c r="V53" s="81"/>
      <c r="W53" s="81"/>
      <c r="X53" s="81"/>
      <c r="Y53" s="81"/>
      <c r="Z53" s="81"/>
    </row>
    <row r="54" spans="1:26" ht="12" customHeight="1">
      <c r="A54" s="79"/>
      <c r="B54" s="79"/>
      <c r="C54" s="81"/>
      <c r="D54" s="81"/>
      <c r="E54" s="81"/>
      <c r="F54" s="82"/>
      <c r="G54" s="83"/>
      <c r="H54" s="83"/>
      <c r="I54" s="81"/>
      <c r="J54" s="84"/>
      <c r="K54" s="84"/>
      <c r="L54" s="84"/>
      <c r="M54" s="81"/>
      <c r="N54" s="81"/>
      <c r="O54" s="81"/>
      <c r="P54" s="81"/>
      <c r="Q54" s="81"/>
      <c r="R54" s="81"/>
      <c r="S54" s="81"/>
      <c r="T54" s="81"/>
      <c r="U54" s="81"/>
      <c r="V54" s="81"/>
      <c r="W54" s="81"/>
      <c r="X54" s="81"/>
      <c r="Y54" s="81"/>
      <c r="Z54" s="81"/>
    </row>
    <row r="55" spans="1:26" ht="12" customHeight="1">
      <c r="A55" s="79"/>
      <c r="B55" s="79"/>
      <c r="C55" s="81"/>
      <c r="D55" s="81"/>
      <c r="E55" s="81"/>
      <c r="F55" s="82"/>
      <c r="G55" s="83"/>
      <c r="H55" s="83"/>
      <c r="I55" s="81"/>
      <c r="J55" s="84"/>
      <c r="K55" s="84"/>
      <c r="L55" s="84"/>
      <c r="M55" s="81"/>
      <c r="N55" s="81"/>
      <c r="O55" s="81"/>
      <c r="P55" s="81"/>
      <c r="Q55" s="81"/>
      <c r="R55" s="81"/>
      <c r="S55" s="81"/>
      <c r="T55" s="81"/>
      <c r="U55" s="81"/>
      <c r="V55" s="81"/>
      <c r="W55" s="81"/>
      <c r="X55" s="81"/>
      <c r="Y55" s="81"/>
      <c r="Z55" s="81"/>
    </row>
    <row r="56" spans="1:26" ht="12" customHeight="1">
      <c r="A56" s="79"/>
      <c r="B56" s="79"/>
      <c r="C56" s="81"/>
      <c r="D56" s="81"/>
      <c r="E56" s="81"/>
      <c r="F56" s="82"/>
      <c r="G56" s="83"/>
      <c r="H56" s="83"/>
      <c r="I56" s="81"/>
      <c r="J56" s="84"/>
      <c r="K56" s="84"/>
      <c r="L56" s="84"/>
      <c r="M56" s="81"/>
      <c r="N56" s="81"/>
      <c r="O56" s="81"/>
      <c r="P56" s="81"/>
      <c r="Q56" s="81"/>
      <c r="R56" s="81"/>
      <c r="S56" s="81"/>
      <c r="T56" s="81"/>
      <c r="U56" s="81"/>
      <c r="V56" s="81"/>
      <c r="W56" s="81"/>
      <c r="X56" s="81"/>
      <c r="Y56" s="81"/>
      <c r="Z56" s="81"/>
    </row>
    <row r="57" spans="1:26" ht="12" customHeight="1">
      <c r="A57" s="79"/>
      <c r="B57" s="79"/>
      <c r="C57" s="81"/>
      <c r="D57" s="81"/>
      <c r="E57" s="81"/>
      <c r="F57" s="82"/>
      <c r="G57" s="83"/>
      <c r="H57" s="83"/>
      <c r="I57" s="81"/>
      <c r="J57" s="84"/>
      <c r="K57" s="84"/>
      <c r="L57" s="84"/>
      <c r="M57" s="81"/>
      <c r="N57" s="81"/>
      <c r="O57" s="81"/>
      <c r="P57" s="81"/>
      <c r="Q57" s="81"/>
      <c r="R57" s="81"/>
      <c r="S57" s="81"/>
      <c r="T57" s="81"/>
      <c r="U57" s="81"/>
      <c r="V57" s="81"/>
      <c r="W57" s="81"/>
      <c r="X57" s="81"/>
      <c r="Y57" s="81"/>
      <c r="Z57" s="81"/>
    </row>
    <row r="58" spans="1:26" ht="12" customHeight="1">
      <c r="A58" s="79"/>
      <c r="B58" s="79"/>
      <c r="C58" s="81"/>
      <c r="D58" s="81"/>
      <c r="E58" s="81"/>
      <c r="F58" s="82"/>
      <c r="G58" s="83"/>
      <c r="H58" s="83"/>
      <c r="I58" s="81"/>
      <c r="J58" s="84"/>
      <c r="K58" s="84"/>
      <c r="L58" s="84"/>
      <c r="M58" s="81"/>
      <c r="N58" s="81"/>
      <c r="O58" s="81"/>
      <c r="P58" s="81"/>
      <c r="Q58" s="81"/>
      <c r="R58" s="81"/>
      <c r="S58" s="81"/>
      <c r="T58" s="81"/>
      <c r="U58" s="81"/>
      <c r="V58" s="81"/>
      <c r="W58" s="81"/>
      <c r="X58" s="81"/>
      <c r="Y58" s="81"/>
      <c r="Z58" s="81"/>
    </row>
    <row r="59" spans="1:26" ht="12" customHeight="1">
      <c r="A59" s="79"/>
      <c r="B59" s="79"/>
      <c r="C59" s="81"/>
      <c r="D59" s="81"/>
      <c r="E59" s="81"/>
      <c r="F59" s="82"/>
      <c r="G59" s="83"/>
      <c r="H59" s="83"/>
      <c r="I59" s="81"/>
      <c r="J59" s="84"/>
      <c r="K59" s="84"/>
      <c r="L59" s="84"/>
      <c r="M59" s="81"/>
      <c r="N59" s="81"/>
      <c r="O59" s="81"/>
      <c r="P59" s="81"/>
      <c r="Q59" s="81"/>
      <c r="R59" s="81"/>
      <c r="S59" s="81"/>
      <c r="T59" s="81"/>
      <c r="U59" s="81"/>
      <c r="V59" s="81"/>
      <c r="W59" s="81"/>
      <c r="X59" s="81"/>
      <c r="Y59" s="81"/>
      <c r="Z59" s="81"/>
    </row>
    <row r="60" spans="1:26" ht="12" customHeight="1">
      <c r="A60" s="79"/>
      <c r="B60" s="79"/>
      <c r="C60" s="81"/>
      <c r="D60" s="81"/>
      <c r="E60" s="81"/>
      <c r="F60" s="82"/>
      <c r="G60" s="83"/>
      <c r="H60" s="83"/>
      <c r="I60" s="81"/>
      <c r="J60" s="84"/>
      <c r="K60" s="84"/>
      <c r="L60" s="84"/>
      <c r="M60" s="81"/>
      <c r="N60" s="81"/>
      <c r="O60" s="81"/>
      <c r="P60" s="81"/>
      <c r="Q60" s="81"/>
      <c r="R60" s="81"/>
      <c r="S60" s="81"/>
      <c r="T60" s="81"/>
      <c r="U60" s="81"/>
      <c r="V60" s="81"/>
      <c r="W60" s="81"/>
      <c r="X60" s="81"/>
      <c r="Y60" s="81"/>
      <c r="Z60" s="81"/>
    </row>
    <row r="61" spans="1:26" ht="12" customHeight="1">
      <c r="A61" s="79"/>
      <c r="B61" s="79"/>
      <c r="C61" s="81"/>
      <c r="D61" s="81"/>
      <c r="E61" s="81"/>
      <c r="F61" s="82"/>
      <c r="G61" s="83"/>
      <c r="H61" s="83"/>
      <c r="I61" s="81"/>
      <c r="J61" s="84"/>
      <c r="K61" s="84"/>
      <c r="L61" s="84"/>
      <c r="M61" s="81"/>
      <c r="N61" s="81"/>
      <c r="O61" s="81"/>
      <c r="P61" s="81"/>
      <c r="Q61" s="81"/>
      <c r="R61" s="81"/>
      <c r="S61" s="81"/>
      <c r="T61" s="81"/>
      <c r="U61" s="81"/>
      <c r="V61" s="81"/>
      <c r="W61" s="81"/>
      <c r="X61" s="81"/>
      <c r="Y61" s="81"/>
      <c r="Z61" s="81"/>
    </row>
    <row r="62" spans="1:26" ht="12" customHeight="1">
      <c r="A62" s="79"/>
      <c r="B62" s="79"/>
      <c r="C62" s="81"/>
      <c r="D62" s="81"/>
      <c r="E62" s="81"/>
      <c r="F62" s="82"/>
      <c r="G62" s="83"/>
      <c r="H62" s="83"/>
      <c r="I62" s="81"/>
      <c r="J62" s="84"/>
      <c r="K62" s="84"/>
      <c r="L62" s="84"/>
      <c r="M62" s="81"/>
      <c r="N62" s="81"/>
      <c r="O62" s="81"/>
      <c r="P62" s="81"/>
      <c r="Q62" s="81"/>
      <c r="R62" s="81"/>
      <c r="S62" s="81"/>
      <c r="T62" s="81"/>
      <c r="U62" s="81"/>
      <c r="V62" s="81"/>
      <c r="W62" s="81"/>
      <c r="X62" s="81"/>
      <c r="Y62" s="81"/>
      <c r="Z62" s="81"/>
    </row>
    <row r="63" spans="1:26" ht="12" customHeight="1">
      <c r="A63" s="79"/>
      <c r="B63" s="79"/>
      <c r="C63" s="81"/>
      <c r="D63" s="81"/>
      <c r="E63" s="81"/>
      <c r="F63" s="82"/>
      <c r="G63" s="83"/>
      <c r="H63" s="83"/>
      <c r="I63" s="81"/>
      <c r="J63" s="84"/>
      <c r="K63" s="84"/>
      <c r="L63" s="84"/>
      <c r="M63" s="81"/>
      <c r="N63" s="81"/>
      <c r="O63" s="81"/>
      <c r="P63" s="81"/>
      <c r="Q63" s="81"/>
      <c r="R63" s="81"/>
      <c r="S63" s="81"/>
      <c r="T63" s="81"/>
      <c r="U63" s="81"/>
      <c r="V63" s="81"/>
      <c r="W63" s="81"/>
      <c r="X63" s="81"/>
      <c r="Y63" s="81"/>
      <c r="Z63" s="81"/>
    </row>
    <row r="64" spans="1:26" ht="12" customHeight="1">
      <c r="A64" s="79"/>
      <c r="B64" s="79"/>
      <c r="C64" s="81"/>
      <c r="D64" s="81"/>
      <c r="E64" s="81"/>
      <c r="F64" s="82"/>
      <c r="G64" s="83"/>
      <c r="H64" s="83"/>
      <c r="I64" s="81"/>
      <c r="J64" s="84"/>
      <c r="K64" s="84"/>
      <c r="L64" s="84"/>
      <c r="M64" s="81"/>
      <c r="N64" s="81"/>
      <c r="O64" s="81"/>
      <c r="P64" s="81"/>
      <c r="Q64" s="81"/>
      <c r="R64" s="81"/>
      <c r="S64" s="81"/>
      <c r="T64" s="81"/>
      <c r="U64" s="81"/>
      <c r="V64" s="81"/>
      <c r="W64" s="81"/>
      <c r="X64" s="81"/>
      <c r="Y64" s="81"/>
      <c r="Z64" s="81"/>
    </row>
    <row r="65" spans="1:26" ht="12" customHeight="1">
      <c r="A65" s="79"/>
      <c r="B65" s="79"/>
      <c r="C65" s="81"/>
      <c r="D65" s="81"/>
      <c r="E65" s="81"/>
      <c r="F65" s="82"/>
      <c r="G65" s="83"/>
      <c r="H65" s="83"/>
      <c r="I65" s="81"/>
      <c r="J65" s="84"/>
      <c r="K65" s="84"/>
      <c r="L65" s="84"/>
      <c r="M65" s="81"/>
      <c r="N65" s="81"/>
      <c r="O65" s="81"/>
      <c r="P65" s="81"/>
      <c r="Q65" s="81"/>
      <c r="R65" s="81"/>
      <c r="S65" s="81"/>
      <c r="T65" s="81"/>
      <c r="U65" s="81"/>
      <c r="V65" s="81"/>
      <c r="W65" s="81"/>
      <c r="X65" s="81"/>
      <c r="Y65" s="81"/>
      <c r="Z65" s="81"/>
    </row>
    <row r="66" spans="1:26" ht="12" customHeight="1">
      <c r="A66" s="79"/>
      <c r="B66" s="79"/>
      <c r="C66" s="81"/>
      <c r="D66" s="81"/>
      <c r="E66" s="81"/>
      <c r="F66" s="82"/>
      <c r="G66" s="83"/>
      <c r="H66" s="83"/>
      <c r="I66" s="81"/>
      <c r="J66" s="84"/>
      <c r="K66" s="84"/>
      <c r="L66" s="84"/>
      <c r="M66" s="81"/>
      <c r="N66" s="81"/>
      <c r="O66" s="81"/>
      <c r="P66" s="81"/>
      <c r="Q66" s="81"/>
      <c r="R66" s="81"/>
      <c r="S66" s="81"/>
      <c r="T66" s="81"/>
      <c r="U66" s="81"/>
      <c r="V66" s="81"/>
      <c r="W66" s="81"/>
      <c r="X66" s="81"/>
      <c r="Y66" s="81"/>
      <c r="Z66" s="81"/>
    </row>
    <row r="67" spans="1:26" ht="12" customHeight="1">
      <c r="A67" s="79"/>
      <c r="B67" s="79"/>
      <c r="C67" s="81"/>
      <c r="D67" s="81"/>
      <c r="E67" s="81"/>
      <c r="F67" s="82"/>
      <c r="G67" s="83"/>
      <c r="H67" s="83"/>
      <c r="I67" s="81"/>
      <c r="J67" s="84"/>
      <c r="K67" s="84"/>
      <c r="L67" s="84"/>
      <c r="M67" s="81"/>
      <c r="N67" s="81"/>
      <c r="O67" s="81"/>
      <c r="P67" s="81"/>
      <c r="Q67" s="81"/>
      <c r="R67" s="81"/>
      <c r="S67" s="81"/>
      <c r="T67" s="81"/>
      <c r="U67" s="81"/>
      <c r="V67" s="81"/>
      <c r="W67" s="81"/>
      <c r="X67" s="81"/>
      <c r="Y67" s="81"/>
      <c r="Z67" s="81"/>
    </row>
    <row r="68" spans="1:26" ht="12" customHeight="1">
      <c r="A68" s="79"/>
      <c r="B68" s="79"/>
      <c r="C68" s="81"/>
      <c r="D68" s="81"/>
      <c r="E68" s="81"/>
      <c r="F68" s="82"/>
      <c r="G68" s="83"/>
      <c r="H68" s="83"/>
      <c r="I68" s="81"/>
      <c r="J68" s="84"/>
      <c r="K68" s="84"/>
      <c r="L68" s="84"/>
      <c r="M68" s="81"/>
      <c r="N68" s="81"/>
      <c r="O68" s="81"/>
      <c r="P68" s="81"/>
      <c r="Q68" s="81"/>
      <c r="R68" s="81"/>
      <c r="S68" s="81"/>
      <c r="T68" s="81"/>
      <c r="U68" s="81"/>
      <c r="V68" s="81"/>
      <c r="W68" s="81"/>
      <c r="X68" s="81"/>
      <c r="Y68" s="81"/>
      <c r="Z68" s="81"/>
    </row>
    <row r="69" spans="1:26" ht="12" customHeight="1">
      <c r="A69" s="79"/>
      <c r="B69" s="79"/>
      <c r="C69" s="81"/>
      <c r="D69" s="81"/>
      <c r="E69" s="81"/>
      <c r="F69" s="82"/>
      <c r="G69" s="83"/>
      <c r="H69" s="83"/>
      <c r="I69" s="81"/>
      <c r="J69" s="84"/>
      <c r="K69" s="84"/>
      <c r="L69" s="84"/>
      <c r="M69" s="81"/>
      <c r="N69" s="81"/>
      <c r="O69" s="81"/>
      <c r="P69" s="81"/>
      <c r="Q69" s="81"/>
      <c r="R69" s="81"/>
      <c r="S69" s="81"/>
      <c r="T69" s="81"/>
      <c r="U69" s="81"/>
      <c r="V69" s="81"/>
      <c r="W69" s="81"/>
      <c r="X69" s="81"/>
      <c r="Y69" s="81"/>
      <c r="Z69" s="81"/>
    </row>
    <row r="70" spans="1:26" ht="12" customHeight="1">
      <c r="A70" s="79"/>
      <c r="B70" s="79"/>
      <c r="C70" s="81"/>
      <c r="D70" s="81"/>
      <c r="E70" s="81"/>
      <c r="F70" s="82"/>
      <c r="G70" s="83"/>
      <c r="H70" s="83"/>
      <c r="I70" s="81"/>
      <c r="J70" s="84"/>
      <c r="K70" s="84"/>
      <c r="L70" s="84"/>
      <c r="M70" s="81"/>
      <c r="N70" s="81"/>
      <c r="O70" s="81"/>
      <c r="P70" s="81"/>
      <c r="Q70" s="81"/>
      <c r="R70" s="81"/>
      <c r="S70" s="81"/>
      <c r="T70" s="81"/>
      <c r="U70" s="81"/>
      <c r="V70" s="81"/>
      <c r="W70" s="81"/>
      <c r="X70" s="81"/>
      <c r="Y70" s="81"/>
      <c r="Z70" s="81"/>
    </row>
    <row r="71" spans="1:26" ht="12" customHeight="1">
      <c r="A71" s="79"/>
      <c r="B71" s="79"/>
      <c r="C71" s="81"/>
      <c r="D71" s="81"/>
      <c r="E71" s="81"/>
      <c r="F71" s="82"/>
      <c r="G71" s="83"/>
      <c r="H71" s="83"/>
      <c r="I71" s="81"/>
      <c r="J71" s="84"/>
      <c r="K71" s="84"/>
      <c r="L71" s="84"/>
      <c r="M71" s="81"/>
      <c r="N71" s="81"/>
      <c r="O71" s="81"/>
      <c r="P71" s="81"/>
      <c r="Q71" s="81"/>
      <c r="R71" s="81"/>
      <c r="S71" s="81"/>
      <c r="T71" s="81"/>
      <c r="U71" s="81"/>
      <c r="V71" s="81"/>
      <c r="W71" s="81"/>
      <c r="X71" s="81"/>
      <c r="Y71" s="81"/>
      <c r="Z71" s="81"/>
    </row>
    <row r="72" spans="1:26" ht="12" customHeight="1">
      <c r="A72" s="79"/>
      <c r="B72" s="79"/>
      <c r="C72" s="81"/>
      <c r="D72" s="81"/>
      <c r="E72" s="81"/>
      <c r="F72" s="82"/>
      <c r="G72" s="83"/>
      <c r="H72" s="83"/>
      <c r="I72" s="81"/>
      <c r="J72" s="84"/>
      <c r="K72" s="84"/>
      <c r="L72" s="84"/>
      <c r="M72" s="81"/>
      <c r="N72" s="81"/>
      <c r="O72" s="81"/>
      <c r="P72" s="81"/>
      <c r="Q72" s="81"/>
      <c r="R72" s="81"/>
      <c r="S72" s="81"/>
      <c r="T72" s="81"/>
      <c r="U72" s="81"/>
      <c r="V72" s="81"/>
      <c r="W72" s="81"/>
      <c r="X72" s="81"/>
      <c r="Y72" s="81"/>
      <c r="Z72" s="81"/>
    </row>
    <row r="73" spans="1:26" ht="12" customHeight="1">
      <c r="A73" s="79"/>
      <c r="B73" s="79"/>
      <c r="C73" s="81"/>
      <c r="D73" s="81"/>
      <c r="E73" s="81"/>
      <c r="F73" s="82"/>
      <c r="G73" s="83"/>
      <c r="H73" s="83"/>
      <c r="I73" s="81"/>
      <c r="J73" s="84"/>
      <c r="K73" s="84"/>
      <c r="L73" s="84"/>
      <c r="M73" s="81"/>
      <c r="N73" s="81"/>
      <c r="O73" s="81"/>
      <c r="P73" s="81"/>
      <c r="Q73" s="81"/>
      <c r="R73" s="81"/>
      <c r="S73" s="81"/>
      <c r="T73" s="81"/>
      <c r="U73" s="81"/>
      <c r="V73" s="81"/>
      <c r="W73" s="81"/>
      <c r="X73" s="81"/>
      <c r="Y73" s="81"/>
      <c r="Z73" s="81"/>
    </row>
    <row r="74" spans="1:26" ht="12" customHeight="1">
      <c r="A74" s="79"/>
      <c r="B74" s="79"/>
      <c r="C74" s="81"/>
      <c r="D74" s="81"/>
      <c r="E74" s="81"/>
      <c r="F74" s="82"/>
      <c r="G74" s="83"/>
      <c r="H74" s="83"/>
      <c r="I74" s="81"/>
      <c r="J74" s="84"/>
      <c r="K74" s="84"/>
      <c r="L74" s="84"/>
      <c r="M74" s="81"/>
      <c r="N74" s="81"/>
      <c r="O74" s="81"/>
      <c r="P74" s="81"/>
      <c r="Q74" s="81"/>
      <c r="R74" s="81"/>
      <c r="S74" s="81"/>
      <c r="T74" s="81"/>
      <c r="U74" s="81"/>
      <c r="V74" s="81"/>
      <c r="W74" s="81"/>
      <c r="X74" s="81"/>
      <c r="Y74" s="81"/>
      <c r="Z74" s="81"/>
    </row>
    <row r="75" spans="1:26" ht="12" customHeight="1">
      <c r="A75" s="79"/>
      <c r="B75" s="79"/>
      <c r="C75" s="81"/>
      <c r="D75" s="81"/>
      <c r="E75" s="81"/>
      <c r="F75" s="82"/>
      <c r="G75" s="83"/>
      <c r="H75" s="83"/>
      <c r="I75" s="81"/>
      <c r="J75" s="84"/>
      <c r="K75" s="84"/>
      <c r="L75" s="84"/>
      <c r="M75" s="81"/>
      <c r="N75" s="81"/>
      <c r="O75" s="81"/>
      <c r="P75" s="81"/>
      <c r="Q75" s="81"/>
      <c r="R75" s="81"/>
      <c r="S75" s="81"/>
      <c r="T75" s="81"/>
      <c r="U75" s="81"/>
      <c r="V75" s="81"/>
      <c r="W75" s="81"/>
      <c r="X75" s="81"/>
      <c r="Y75" s="81"/>
      <c r="Z75" s="81"/>
    </row>
    <row r="76" spans="1:26" ht="12" customHeight="1">
      <c r="A76" s="79"/>
      <c r="B76" s="79"/>
      <c r="C76" s="81"/>
      <c r="D76" s="81"/>
      <c r="E76" s="81"/>
      <c r="F76" s="82"/>
      <c r="G76" s="83"/>
      <c r="H76" s="83"/>
      <c r="I76" s="81"/>
      <c r="J76" s="84"/>
      <c r="K76" s="84"/>
      <c r="L76" s="84"/>
      <c r="M76" s="81"/>
      <c r="N76" s="81"/>
      <c r="O76" s="81"/>
      <c r="P76" s="81"/>
      <c r="Q76" s="81"/>
      <c r="R76" s="81"/>
      <c r="S76" s="81"/>
      <c r="T76" s="81"/>
      <c r="U76" s="81"/>
      <c r="V76" s="81"/>
      <c r="W76" s="81"/>
      <c r="X76" s="81"/>
      <c r="Y76" s="81"/>
      <c r="Z76" s="81"/>
    </row>
    <row r="77" spans="1:26" ht="12" customHeight="1">
      <c r="A77" s="79"/>
      <c r="B77" s="79"/>
      <c r="C77" s="81"/>
      <c r="D77" s="81"/>
      <c r="E77" s="81"/>
      <c r="F77" s="82"/>
      <c r="G77" s="83"/>
      <c r="H77" s="83"/>
      <c r="I77" s="81"/>
      <c r="J77" s="84"/>
      <c r="K77" s="84"/>
      <c r="L77" s="84"/>
      <c r="M77" s="81"/>
      <c r="N77" s="81"/>
      <c r="O77" s="81"/>
      <c r="P77" s="81"/>
      <c r="Q77" s="81"/>
      <c r="R77" s="81"/>
      <c r="S77" s="81"/>
      <c r="T77" s="81"/>
      <c r="U77" s="81"/>
      <c r="V77" s="81"/>
      <c r="W77" s="81"/>
      <c r="X77" s="81"/>
      <c r="Y77" s="81"/>
      <c r="Z77" s="81"/>
    </row>
    <row r="78" spans="1:26" ht="12" customHeight="1">
      <c r="A78" s="79"/>
      <c r="B78" s="79"/>
      <c r="C78" s="81"/>
      <c r="D78" s="81"/>
      <c r="E78" s="81"/>
      <c r="F78" s="82"/>
      <c r="G78" s="83"/>
      <c r="H78" s="83"/>
      <c r="I78" s="81"/>
      <c r="J78" s="84"/>
      <c r="K78" s="84"/>
      <c r="L78" s="84"/>
      <c r="M78" s="81"/>
      <c r="N78" s="81"/>
      <c r="O78" s="81"/>
      <c r="P78" s="81"/>
      <c r="Q78" s="81"/>
      <c r="R78" s="81"/>
      <c r="S78" s="81"/>
      <c r="T78" s="81"/>
      <c r="U78" s="81"/>
      <c r="V78" s="81"/>
      <c r="W78" s="81"/>
      <c r="X78" s="81"/>
      <c r="Y78" s="81"/>
      <c r="Z78" s="81"/>
    </row>
    <row r="79" spans="1:26" ht="12" customHeight="1">
      <c r="A79" s="79"/>
      <c r="B79" s="79"/>
      <c r="C79" s="81"/>
      <c r="D79" s="81"/>
      <c r="E79" s="81"/>
      <c r="F79" s="82"/>
      <c r="G79" s="83"/>
      <c r="H79" s="83"/>
      <c r="I79" s="81"/>
      <c r="J79" s="84"/>
      <c r="K79" s="84"/>
      <c r="L79" s="84"/>
      <c r="M79" s="81"/>
      <c r="N79" s="81"/>
      <c r="O79" s="81"/>
      <c r="P79" s="81"/>
      <c r="Q79" s="81"/>
      <c r="R79" s="81"/>
      <c r="S79" s="81"/>
      <c r="T79" s="81"/>
      <c r="U79" s="81"/>
      <c r="V79" s="81"/>
      <c r="W79" s="81"/>
      <c r="X79" s="81"/>
      <c r="Y79" s="81"/>
      <c r="Z79" s="81"/>
    </row>
    <row r="80" spans="1:26" ht="12" customHeight="1">
      <c r="A80" s="79"/>
      <c r="B80" s="79"/>
      <c r="C80" s="81"/>
      <c r="D80" s="81"/>
      <c r="E80" s="81"/>
      <c r="F80" s="82"/>
      <c r="G80" s="83"/>
      <c r="H80" s="83"/>
      <c r="I80" s="81"/>
      <c r="J80" s="84"/>
      <c r="K80" s="84"/>
      <c r="L80" s="84"/>
      <c r="M80" s="81"/>
      <c r="N80" s="81"/>
      <c r="O80" s="81"/>
      <c r="P80" s="81"/>
      <c r="Q80" s="81"/>
      <c r="R80" s="81"/>
      <c r="S80" s="81"/>
      <c r="T80" s="81"/>
      <c r="U80" s="81"/>
      <c r="V80" s="81"/>
      <c r="W80" s="81"/>
      <c r="X80" s="81"/>
      <c r="Y80" s="81"/>
      <c r="Z80" s="81"/>
    </row>
    <row r="81" spans="1:26" ht="12" customHeight="1">
      <c r="A81" s="79"/>
      <c r="B81" s="79"/>
      <c r="C81" s="81"/>
      <c r="D81" s="81"/>
      <c r="E81" s="81"/>
      <c r="F81" s="82"/>
      <c r="G81" s="83"/>
      <c r="H81" s="83"/>
      <c r="I81" s="81"/>
      <c r="J81" s="84"/>
      <c r="K81" s="84"/>
      <c r="L81" s="84"/>
      <c r="M81" s="81"/>
      <c r="N81" s="81"/>
      <c r="O81" s="81"/>
      <c r="P81" s="81"/>
      <c r="Q81" s="81"/>
      <c r="R81" s="81"/>
      <c r="S81" s="81"/>
      <c r="T81" s="81"/>
      <c r="U81" s="81"/>
      <c r="V81" s="81"/>
      <c r="W81" s="81"/>
      <c r="X81" s="81"/>
      <c r="Y81" s="81"/>
      <c r="Z81" s="81"/>
    </row>
    <row r="82" spans="1:26" ht="12" customHeight="1">
      <c r="A82" s="79"/>
      <c r="B82" s="79"/>
      <c r="C82" s="81"/>
      <c r="D82" s="81"/>
      <c r="E82" s="81"/>
      <c r="F82" s="82"/>
      <c r="G82" s="83"/>
      <c r="H82" s="83"/>
      <c r="I82" s="81"/>
      <c r="J82" s="84"/>
      <c r="K82" s="84"/>
      <c r="L82" s="84"/>
      <c r="M82" s="81"/>
      <c r="N82" s="81"/>
      <c r="O82" s="81"/>
      <c r="P82" s="81"/>
      <c r="Q82" s="81"/>
      <c r="R82" s="81"/>
      <c r="S82" s="81"/>
      <c r="T82" s="81"/>
      <c r="U82" s="81"/>
      <c r="V82" s="81"/>
      <c r="W82" s="81"/>
      <c r="X82" s="81"/>
      <c r="Y82" s="81"/>
      <c r="Z82" s="81"/>
    </row>
    <row r="83" spans="1:26" ht="12" customHeight="1">
      <c r="A83" s="79"/>
      <c r="B83" s="79"/>
      <c r="C83" s="81"/>
      <c r="D83" s="81"/>
      <c r="E83" s="81"/>
      <c r="F83" s="82"/>
      <c r="G83" s="83"/>
      <c r="H83" s="83"/>
      <c r="I83" s="81"/>
      <c r="J83" s="84"/>
      <c r="K83" s="84"/>
      <c r="L83" s="84"/>
      <c r="M83" s="81"/>
      <c r="N83" s="81"/>
      <c r="O83" s="81"/>
      <c r="P83" s="81"/>
      <c r="Q83" s="81"/>
      <c r="R83" s="81"/>
      <c r="S83" s="81"/>
      <c r="T83" s="81"/>
      <c r="U83" s="81"/>
      <c r="V83" s="81"/>
      <c r="W83" s="81"/>
      <c r="X83" s="81"/>
      <c r="Y83" s="81"/>
      <c r="Z83" s="81"/>
    </row>
    <row r="84" spans="1:26" ht="12" customHeight="1">
      <c r="A84" s="79"/>
      <c r="B84" s="79"/>
      <c r="C84" s="81"/>
      <c r="D84" s="81"/>
      <c r="E84" s="81"/>
      <c r="F84" s="82"/>
      <c r="G84" s="83"/>
      <c r="H84" s="83"/>
      <c r="I84" s="81"/>
      <c r="J84" s="84"/>
      <c r="K84" s="84"/>
      <c r="L84" s="84"/>
      <c r="M84" s="81"/>
      <c r="N84" s="81"/>
      <c r="O84" s="81"/>
      <c r="P84" s="81"/>
      <c r="Q84" s="81"/>
      <c r="R84" s="81"/>
      <c r="S84" s="81"/>
      <c r="T84" s="81"/>
      <c r="U84" s="81"/>
      <c r="V84" s="81"/>
      <c r="W84" s="81"/>
      <c r="X84" s="81"/>
      <c r="Y84" s="81"/>
      <c r="Z84" s="81"/>
    </row>
    <row r="85" spans="1:26" ht="12" customHeight="1">
      <c r="A85" s="79"/>
      <c r="B85" s="79"/>
      <c r="C85" s="81"/>
      <c r="D85" s="81"/>
      <c r="E85" s="81"/>
      <c r="F85" s="82"/>
      <c r="G85" s="83"/>
      <c r="H85" s="83"/>
      <c r="I85" s="81"/>
      <c r="J85" s="84"/>
      <c r="K85" s="84"/>
      <c r="L85" s="84"/>
      <c r="M85" s="81"/>
      <c r="N85" s="81"/>
      <c r="O85" s="81"/>
      <c r="P85" s="81"/>
      <c r="Q85" s="81"/>
      <c r="R85" s="81"/>
      <c r="S85" s="81"/>
      <c r="T85" s="81"/>
      <c r="U85" s="81"/>
      <c r="V85" s="81"/>
      <c r="W85" s="81"/>
      <c r="X85" s="81"/>
      <c r="Y85" s="81"/>
      <c r="Z85" s="81"/>
    </row>
    <row r="86" spans="1:26" ht="12" customHeight="1">
      <c r="A86" s="79"/>
      <c r="B86" s="79"/>
      <c r="C86" s="81"/>
      <c r="D86" s="81"/>
      <c r="E86" s="81"/>
      <c r="F86" s="82"/>
      <c r="G86" s="83"/>
      <c r="H86" s="83"/>
      <c r="I86" s="81"/>
      <c r="J86" s="84"/>
      <c r="K86" s="84"/>
      <c r="L86" s="84"/>
      <c r="M86" s="81"/>
      <c r="N86" s="81"/>
      <c r="O86" s="81"/>
      <c r="P86" s="81"/>
      <c r="Q86" s="81"/>
      <c r="R86" s="81"/>
      <c r="S86" s="81"/>
      <c r="T86" s="81"/>
      <c r="U86" s="81"/>
      <c r="V86" s="81"/>
      <c r="W86" s="81"/>
      <c r="X86" s="81"/>
      <c r="Y86" s="81"/>
      <c r="Z86" s="81"/>
    </row>
    <row r="87" spans="1:26" ht="12" customHeight="1">
      <c r="A87" s="79"/>
      <c r="B87" s="79"/>
      <c r="C87" s="81"/>
      <c r="D87" s="81"/>
      <c r="E87" s="81"/>
      <c r="F87" s="82"/>
      <c r="G87" s="83"/>
      <c r="H87" s="83"/>
      <c r="I87" s="81"/>
      <c r="J87" s="84"/>
      <c r="K87" s="84"/>
      <c r="L87" s="84"/>
      <c r="M87" s="81"/>
      <c r="N87" s="81"/>
      <c r="O87" s="81"/>
      <c r="P87" s="81"/>
      <c r="Q87" s="81"/>
      <c r="R87" s="81"/>
      <c r="S87" s="81"/>
      <c r="T87" s="81"/>
      <c r="U87" s="81"/>
      <c r="V87" s="81"/>
      <c r="W87" s="81"/>
      <c r="X87" s="81"/>
      <c r="Y87" s="81"/>
      <c r="Z87" s="81"/>
    </row>
    <row r="88" spans="1:26" ht="12" customHeight="1">
      <c r="A88" s="79"/>
      <c r="B88" s="79"/>
      <c r="C88" s="81"/>
      <c r="D88" s="81"/>
      <c r="E88" s="81"/>
      <c r="F88" s="82"/>
      <c r="G88" s="83"/>
      <c r="H88" s="83"/>
      <c r="I88" s="81"/>
      <c r="J88" s="84"/>
      <c r="K88" s="84"/>
      <c r="L88" s="84"/>
      <c r="M88" s="81"/>
      <c r="N88" s="81"/>
      <c r="O88" s="81"/>
      <c r="P88" s="81"/>
      <c r="Q88" s="81"/>
      <c r="R88" s="81"/>
      <c r="S88" s="81"/>
      <c r="T88" s="81"/>
      <c r="U88" s="81"/>
      <c r="V88" s="81"/>
      <c r="W88" s="81"/>
      <c r="X88" s="81"/>
      <c r="Y88" s="81"/>
      <c r="Z88" s="81"/>
    </row>
    <row r="89" spans="1:26" ht="12" customHeight="1">
      <c r="A89" s="79"/>
      <c r="B89" s="79"/>
      <c r="C89" s="81"/>
      <c r="D89" s="81"/>
      <c r="E89" s="81"/>
      <c r="F89" s="82"/>
      <c r="G89" s="83"/>
      <c r="H89" s="83"/>
      <c r="I89" s="81"/>
      <c r="J89" s="84"/>
      <c r="K89" s="84"/>
      <c r="L89" s="84"/>
      <c r="M89" s="81"/>
      <c r="N89" s="81"/>
      <c r="O89" s="81"/>
      <c r="P89" s="81"/>
      <c r="Q89" s="81"/>
      <c r="R89" s="81"/>
      <c r="S89" s="81"/>
      <c r="T89" s="81"/>
      <c r="U89" s="81"/>
      <c r="V89" s="81"/>
      <c r="W89" s="81"/>
      <c r="X89" s="81"/>
      <c r="Y89" s="81"/>
      <c r="Z89" s="81"/>
    </row>
    <row r="90" spans="1:26" ht="12" customHeight="1">
      <c r="A90" s="79"/>
      <c r="B90" s="79"/>
      <c r="C90" s="81"/>
      <c r="D90" s="81"/>
      <c r="E90" s="81"/>
      <c r="F90" s="82"/>
      <c r="G90" s="83"/>
      <c r="H90" s="83"/>
      <c r="I90" s="81"/>
      <c r="J90" s="84"/>
      <c r="K90" s="84"/>
      <c r="L90" s="84"/>
      <c r="M90" s="81"/>
      <c r="N90" s="81"/>
      <c r="O90" s="81"/>
      <c r="P90" s="81"/>
      <c r="Q90" s="81"/>
      <c r="R90" s="81"/>
      <c r="S90" s="81"/>
      <c r="T90" s="81"/>
      <c r="U90" s="81"/>
      <c r="V90" s="81"/>
      <c r="W90" s="81"/>
      <c r="X90" s="81"/>
      <c r="Y90" s="81"/>
      <c r="Z90" s="81"/>
    </row>
    <row r="91" spans="1:26" ht="12" customHeight="1">
      <c r="A91" s="79"/>
      <c r="B91" s="79"/>
      <c r="C91" s="81"/>
      <c r="D91" s="81"/>
      <c r="E91" s="81"/>
      <c r="F91" s="82"/>
      <c r="G91" s="83"/>
      <c r="H91" s="83"/>
      <c r="I91" s="81"/>
      <c r="J91" s="84"/>
      <c r="K91" s="84"/>
      <c r="L91" s="84"/>
      <c r="M91" s="81"/>
      <c r="N91" s="81"/>
      <c r="O91" s="81"/>
      <c r="P91" s="81"/>
      <c r="Q91" s="81"/>
      <c r="R91" s="81"/>
      <c r="S91" s="81"/>
      <c r="T91" s="81"/>
      <c r="U91" s="81"/>
      <c r="V91" s="81"/>
      <c r="W91" s="81"/>
      <c r="X91" s="81"/>
      <c r="Y91" s="81"/>
      <c r="Z91" s="81"/>
    </row>
    <row r="92" spans="1:26" ht="12" customHeight="1">
      <c r="A92" s="79"/>
      <c r="B92" s="79"/>
      <c r="C92" s="81"/>
      <c r="D92" s="81"/>
      <c r="E92" s="81"/>
      <c r="F92" s="82"/>
      <c r="G92" s="83"/>
      <c r="H92" s="83"/>
      <c r="I92" s="81"/>
      <c r="J92" s="84"/>
      <c r="K92" s="84"/>
      <c r="L92" s="84"/>
      <c r="M92" s="81"/>
      <c r="N92" s="81"/>
      <c r="O92" s="81"/>
      <c r="P92" s="81"/>
      <c r="Q92" s="81"/>
      <c r="R92" s="81"/>
      <c r="S92" s="81"/>
      <c r="T92" s="81"/>
      <c r="U92" s="81"/>
      <c r="V92" s="81"/>
      <c r="W92" s="81"/>
      <c r="X92" s="81"/>
      <c r="Y92" s="81"/>
      <c r="Z92" s="81"/>
    </row>
    <row r="93" spans="1:26" ht="12" customHeight="1">
      <c r="A93" s="79"/>
      <c r="B93" s="79"/>
      <c r="C93" s="81"/>
      <c r="D93" s="81"/>
      <c r="E93" s="81"/>
      <c r="F93" s="82"/>
      <c r="G93" s="83"/>
      <c r="H93" s="83"/>
      <c r="I93" s="81"/>
      <c r="J93" s="84"/>
      <c r="K93" s="84"/>
      <c r="L93" s="84"/>
      <c r="M93" s="81"/>
      <c r="N93" s="81"/>
      <c r="O93" s="81"/>
      <c r="P93" s="81"/>
      <c r="Q93" s="81"/>
      <c r="R93" s="81"/>
      <c r="S93" s="81"/>
      <c r="T93" s="81"/>
      <c r="U93" s="81"/>
      <c r="V93" s="81"/>
      <c r="W93" s="81"/>
      <c r="X93" s="81"/>
      <c r="Y93" s="81"/>
      <c r="Z93" s="81"/>
    </row>
    <row r="94" spans="1:26" ht="12" customHeight="1">
      <c r="A94" s="79"/>
      <c r="B94" s="79"/>
      <c r="C94" s="81"/>
      <c r="D94" s="81"/>
      <c r="E94" s="81"/>
      <c r="F94" s="82"/>
      <c r="G94" s="83"/>
      <c r="H94" s="83"/>
      <c r="I94" s="81"/>
      <c r="J94" s="84"/>
      <c r="K94" s="84"/>
      <c r="L94" s="84"/>
      <c r="M94" s="81"/>
      <c r="N94" s="81"/>
      <c r="O94" s="81"/>
      <c r="P94" s="81"/>
      <c r="Q94" s="81"/>
      <c r="R94" s="81"/>
      <c r="S94" s="81"/>
      <c r="T94" s="81"/>
      <c r="U94" s="81"/>
      <c r="V94" s="81"/>
      <c r="W94" s="81"/>
      <c r="X94" s="81"/>
      <c r="Y94" s="81"/>
      <c r="Z94" s="81"/>
    </row>
    <row r="95" spans="1:26" ht="12" customHeight="1">
      <c r="A95" s="79"/>
      <c r="B95" s="79"/>
      <c r="C95" s="81"/>
      <c r="D95" s="81"/>
      <c r="E95" s="81"/>
      <c r="F95" s="82"/>
      <c r="G95" s="83"/>
      <c r="H95" s="83"/>
      <c r="I95" s="81"/>
      <c r="J95" s="84"/>
      <c r="K95" s="84"/>
      <c r="L95" s="84"/>
      <c r="M95" s="81"/>
      <c r="N95" s="81"/>
      <c r="O95" s="81"/>
      <c r="P95" s="81"/>
      <c r="Q95" s="81"/>
      <c r="R95" s="81"/>
      <c r="S95" s="81"/>
      <c r="T95" s="81"/>
      <c r="U95" s="81"/>
      <c r="V95" s="81"/>
      <c r="W95" s="81"/>
      <c r="X95" s="81"/>
      <c r="Y95" s="81"/>
      <c r="Z95" s="81"/>
    </row>
    <row r="96" spans="1:26" ht="12" customHeight="1">
      <c r="A96" s="79"/>
      <c r="B96" s="79"/>
      <c r="C96" s="81"/>
      <c r="D96" s="81"/>
      <c r="E96" s="81"/>
      <c r="F96" s="82"/>
      <c r="G96" s="83"/>
      <c r="H96" s="83"/>
      <c r="I96" s="81"/>
      <c r="J96" s="84"/>
      <c r="K96" s="84"/>
      <c r="L96" s="84"/>
      <c r="M96" s="81"/>
      <c r="N96" s="81"/>
      <c r="O96" s="81"/>
      <c r="P96" s="81"/>
      <c r="Q96" s="81"/>
      <c r="R96" s="81"/>
      <c r="S96" s="81"/>
      <c r="T96" s="81"/>
      <c r="U96" s="81"/>
      <c r="V96" s="81"/>
      <c r="W96" s="81"/>
      <c r="X96" s="81"/>
      <c r="Y96" s="81"/>
      <c r="Z96" s="81"/>
    </row>
    <row r="97" spans="1:26" ht="12" customHeight="1">
      <c r="A97" s="79"/>
      <c r="B97" s="79"/>
      <c r="C97" s="81"/>
      <c r="D97" s="81"/>
      <c r="E97" s="81"/>
      <c r="F97" s="82"/>
      <c r="G97" s="83"/>
      <c r="H97" s="83"/>
      <c r="I97" s="81"/>
      <c r="J97" s="84"/>
      <c r="K97" s="84"/>
      <c r="L97" s="84"/>
      <c r="M97" s="81"/>
      <c r="N97" s="81"/>
      <c r="O97" s="81"/>
      <c r="P97" s="81"/>
      <c r="Q97" s="81"/>
      <c r="R97" s="81"/>
      <c r="S97" s="81"/>
      <c r="T97" s="81"/>
      <c r="U97" s="81"/>
      <c r="V97" s="81"/>
      <c r="W97" s="81"/>
      <c r="X97" s="81"/>
      <c r="Y97" s="81"/>
      <c r="Z97" s="81"/>
    </row>
    <row r="98" spans="1:26" ht="12" customHeight="1">
      <c r="A98" s="79"/>
      <c r="B98" s="79"/>
      <c r="C98" s="81"/>
      <c r="D98" s="81"/>
      <c r="E98" s="81"/>
      <c r="F98" s="82"/>
      <c r="G98" s="83"/>
      <c r="H98" s="83"/>
      <c r="I98" s="81"/>
      <c r="J98" s="84"/>
      <c r="K98" s="84"/>
      <c r="L98" s="84"/>
      <c r="M98" s="81"/>
      <c r="N98" s="81"/>
      <c r="O98" s="81"/>
      <c r="P98" s="81"/>
      <c r="Q98" s="81"/>
      <c r="R98" s="81"/>
      <c r="S98" s="81"/>
      <c r="T98" s="81"/>
      <c r="U98" s="81"/>
      <c r="V98" s="81"/>
      <c r="W98" s="81"/>
      <c r="X98" s="81"/>
      <c r="Y98" s="81"/>
      <c r="Z98" s="81"/>
    </row>
    <row r="99" spans="1:26" ht="12" customHeight="1">
      <c r="A99" s="79"/>
      <c r="B99" s="79"/>
      <c r="C99" s="81"/>
      <c r="D99" s="81"/>
      <c r="E99" s="81"/>
      <c r="F99" s="82"/>
      <c r="G99" s="83"/>
      <c r="H99" s="83"/>
      <c r="I99" s="81"/>
      <c r="J99" s="84"/>
      <c r="K99" s="84"/>
      <c r="L99" s="84"/>
      <c r="M99" s="81"/>
      <c r="N99" s="81"/>
      <c r="O99" s="81"/>
      <c r="P99" s="81"/>
      <c r="Q99" s="81"/>
      <c r="R99" s="81"/>
      <c r="S99" s="81"/>
      <c r="T99" s="81"/>
      <c r="U99" s="81"/>
      <c r="V99" s="81"/>
      <c r="W99" s="81"/>
      <c r="X99" s="81"/>
      <c r="Y99" s="81"/>
      <c r="Z99" s="81"/>
    </row>
    <row r="100" spans="1:26" ht="12" customHeight="1">
      <c r="A100" s="79"/>
      <c r="B100" s="79"/>
      <c r="C100" s="81"/>
      <c r="D100" s="81"/>
      <c r="E100" s="81"/>
      <c r="F100" s="82"/>
      <c r="G100" s="83"/>
      <c r="H100" s="83"/>
      <c r="I100" s="81"/>
      <c r="J100" s="84"/>
      <c r="K100" s="84"/>
      <c r="L100" s="84"/>
      <c r="M100" s="81"/>
      <c r="N100" s="81"/>
      <c r="O100" s="81"/>
      <c r="P100" s="81"/>
      <c r="Q100" s="81"/>
      <c r="R100" s="81"/>
      <c r="S100" s="81"/>
      <c r="T100" s="81"/>
      <c r="U100" s="81"/>
      <c r="V100" s="81"/>
      <c r="W100" s="81"/>
      <c r="X100" s="81"/>
      <c r="Y100" s="81"/>
      <c r="Z100" s="81"/>
    </row>
    <row r="101" spans="1:26" ht="12" customHeight="1">
      <c r="A101" s="79"/>
      <c r="B101" s="79"/>
      <c r="C101" s="81"/>
      <c r="D101" s="81"/>
      <c r="E101" s="81"/>
      <c r="F101" s="82"/>
      <c r="G101" s="83"/>
      <c r="H101" s="83"/>
      <c r="I101" s="81"/>
      <c r="J101" s="84"/>
      <c r="K101" s="84"/>
      <c r="L101" s="84"/>
      <c r="M101" s="81"/>
      <c r="N101" s="81"/>
      <c r="O101" s="81"/>
      <c r="P101" s="81"/>
      <c r="Q101" s="81"/>
      <c r="R101" s="81"/>
      <c r="S101" s="81"/>
      <c r="T101" s="81"/>
      <c r="U101" s="81"/>
      <c r="V101" s="81"/>
      <c r="W101" s="81"/>
      <c r="X101" s="81"/>
      <c r="Y101" s="81"/>
      <c r="Z101" s="81"/>
    </row>
    <row r="102" spans="1:26" ht="12" customHeight="1">
      <c r="A102" s="79"/>
      <c r="B102" s="79"/>
      <c r="C102" s="81"/>
      <c r="D102" s="81"/>
      <c r="E102" s="81"/>
      <c r="F102" s="82"/>
      <c r="G102" s="83"/>
      <c r="H102" s="83"/>
      <c r="I102" s="81"/>
      <c r="J102" s="84"/>
      <c r="K102" s="84"/>
      <c r="L102" s="84"/>
      <c r="M102" s="81"/>
      <c r="N102" s="81"/>
      <c r="O102" s="81"/>
      <c r="P102" s="81"/>
      <c r="Q102" s="81"/>
      <c r="R102" s="81"/>
      <c r="S102" s="81"/>
      <c r="T102" s="81"/>
      <c r="U102" s="81"/>
      <c r="V102" s="81"/>
      <c r="W102" s="81"/>
      <c r="X102" s="81"/>
      <c r="Y102" s="81"/>
      <c r="Z102" s="81"/>
    </row>
    <row r="103" spans="1:26" ht="12" customHeight="1">
      <c r="A103" s="79"/>
      <c r="B103" s="79"/>
      <c r="C103" s="81"/>
      <c r="D103" s="81"/>
      <c r="E103" s="81"/>
      <c r="F103" s="82"/>
      <c r="G103" s="83"/>
      <c r="H103" s="83"/>
      <c r="I103" s="81"/>
      <c r="J103" s="84"/>
      <c r="K103" s="84"/>
      <c r="L103" s="84"/>
      <c r="M103" s="81"/>
      <c r="N103" s="81"/>
      <c r="O103" s="81"/>
      <c r="P103" s="81"/>
      <c r="Q103" s="81"/>
      <c r="R103" s="81"/>
      <c r="S103" s="81"/>
      <c r="T103" s="81"/>
      <c r="U103" s="81"/>
      <c r="V103" s="81"/>
      <c r="W103" s="81"/>
      <c r="X103" s="81"/>
      <c r="Y103" s="81"/>
      <c r="Z103" s="81"/>
    </row>
    <row r="104" spans="1:26" ht="12" customHeight="1">
      <c r="A104" s="79"/>
      <c r="B104" s="79"/>
      <c r="C104" s="81"/>
      <c r="D104" s="81"/>
      <c r="E104" s="81"/>
      <c r="F104" s="82"/>
      <c r="G104" s="83"/>
      <c r="H104" s="83"/>
      <c r="I104" s="81"/>
      <c r="J104" s="84"/>
      <c r="K104" s="84"/>
      <c r="L104" s="84"/>
      <c r="M104" s="81"/>
      <c r="N104" s="81"/>
      <c r="O104" s="81"/>
      <c r="P104" s="81"/>
      <c r="Q104" s="81"/>
      <c r="R104" s="81"/>
      <c r="S104" s="81"/>
      <c r="T104" s="81"/>
      <c r="U104" s="81"/>
      <c r="V104" s="81"/>
      <c r="W104" s="81"/>
      <c r="X104" s="81"/>
      <c r="Y104" s="81"/>
      <c r="Z104" s="81"/>
    </row>
    <row r="105" spans="1:26" ht="12" customHeight="1">
      <c r="A105" s="79"/>
      <c r="B105" s="79"/>
      <c r="C105" s="81"/>
      <c r="D105" s="81"/>
      <c r="E105" s="81"/>
      <c r="F105" s="82"/>
      <c r="G105" s="83"/>
      <c r="H105" s="83"/>
      <c r="I105" s="81"/>
      <c r="J105" s="84"/>
      <c r="K105" s="84"/>
      <c r="L105" s="84"/>
      <c r="M105" s="81"/>
      <c r="N105" s="81"/>
      <c r="O105" s="81"/>
      <c r="P105" s="81"/>
      <c r="Q105" s="81"/>
      <c r="R105" s="81"/>
      <c r="S105" s="81"/>
      <c r="T105" s="81"/>
      <c r="U105" s="81"/>
      <c r="V105" s="81"/>
      <c r="W105" s="81"/>
      <c r="X105" s="81"/>
      <c r="Y105" s="81"/>
      <c r="Z105" s="81"/>
    </row>
    <row r="106" spans="1:26" ht="12" customHeight="1">
      <c r="A106" s="79"/>
      <c r="B106" s="79"/>
      <c r="C106" s="81"/>
      <c r="D106" s="81"/>
      <c r="E106" s="81"/>
      <c r="F106" s="82"/>
      <c r="G106" s="83"/>
      <c r="H106" s="83"/>
      <c r="I106" s="81"/>
      <c r="J106" s="84"/>
      <c r="K106" s="84"/>
      <c r="L106" s="84"/>
      <c r="M106" s="81"/>
      <c r="N106" s="81"/>
      <c r="O106" s="81"/>
      <c r="P106" s="81"/>
      <c r="Q106" s="81"/>
      <c r="R106" s="81"/>
      <c r="S106" s="81"/>
      <c r="T106" s="81"/>
      <c r="U106" s="81"/>
      <c r="V106" s="81"/>
      <c r="W106" s="81"/>
      <c r="X106" s="81"/>
      <c r="Y106" s="81"/>
      <c r="Z106" s="81"/>
    </row>
    <row r="107" spans="1:26" ht="12" customHeight="1">
      <c r="A107" s="79"/>
      <c r="B107" s="79"/>
      <c r="C107" s="81"/>
      <c r="D107" s="81"/>
      <c r="E107" s="81"/>
      <c r="F107" s="82"/>
      <c r="G107" s="83"/>
      <c r="H107" s="83"/>
      <c r="I107" s="81"/>
      <c r="J107" s="84"/>
      <c r="K107" s="84"/>
      <c r="L107" s="84"/>
      <c r="M107" s="81"/>
      <c r="N107" s="81"/>
      <c r="O107" s="81"/>
      <c r="P107" s="81"/>
      <c r="Q107" s="81"/>
      <c r="R107" s="81"/>
      <c r="S107" s="81"/>
      <c r="T107" s="81"/>
      <c r="U107" s="81"/>
      <c r="V107" s="81"/>
      <c r="W107" s="81"/>
      <c r="X107" s="81"/>
      <c r="Y107" s="81"/>
      <c r="Z107" s="81"/>
    </row>
    <row r="108" spans="1:26" ht="12" customHeight="1">
      <c r="A108" s="79"/>
      <c r="B108" s="79"/>
      <c r="C108" s="81"/>
      <c r="D108" s="81"/>
      <c r="E108" s="81"/>
      <c r="F108" s="82"/>
      <c r="G108" s="83"/>
      <c r="H108" s="83"/>
      <c r="I108" s="81"/>
      <c r="J108" s="84"/>
      <c r="K108" s="84"/>
      <c r="L108" s="84"/>
      <c r="M108" s="81"/>
      <c r="N108" s="81"/>
      <c r="O108" s="81"/>
      <c r="P108" s="81"/>
      <c r="Q108" s="81"/>
      <c r="R108" s="81"/>
      <c r="S108" s="81"/>
      <c r="T108" s="81"/>
      <c r="U108" s="81"/>
      <c r="V108" s="81"/>
      <c r="W108" s="81"/>
      <c r="X108" s="81"/>
      <c r="Y108" s="81"/>
      <c r="Z108" s="81"/>
    </row>
    <row r="109" spans="1:26" ht="12" customHeight="1">
      <c r="A109" s="79"/>
      <c r="B109" s="79"/>
      <c r="C109" s="81"/>
      <c r="D109" s="81"/>
      <c r="E109" s="81"/>
      <c r="F109" s="82"/>
      <c r="G109" s="83"/>
      <c r="H109" s="83"/>
      <c r="I109" s="81"/>
      <c r="J109" s="84"/>
      <c r="K109" s="84"/>
      <c r="L109" s="84"/>
      <c r="M109" s="81"/>
      <c r="N109" s="81"/>
      <c r="O109" s="81"/>
      <c r="P109" s="81"/>
      <c r="Q109" s="81"/>
      <c r="R109" s="81"/>
      <c r="S109" s="81"/>
      <c r="T109" s="81"/>
      <c r="U109" s="81"/>
      <c r="V109" s="81"/>
      <c r="W109" s="81"/>
      <c r="X109" s="81"/>
      <c r="Y109" s="81"/>
      <c r="Z109" s="81"/>
    </row>
    <row r="110" spans="1:26" ht="12" customHeight="1">
      <c r="A110" s="79"/>
      <c r="B110" s="79"/>
      <c r="C110" s="81"/>
      <c r="D110" s="81"/>
      <c r="E110" s="81"/>
      <c r="F110" s="82"/>
      <c r="G110" s="83"/>
      <c r="H110" s="83"/>
      <c r="I110" s="81"/>
      <c r="J110" s="84"/>
      <c r="K110" s="84"/>
      <c r="L110" s="84"/>
      <c r="M110" s="81"/>
      <c r="N110" s="81"/>
      <c r="O110" s="81"/>
      <c r="P110" s="81"/>
      <c r="Q110" s="81"/>
      <c r="R110" s="81"/>
      <c r="S110" s="81"/>
      <c r="T110" s="81"/>
      <c r="U110" s="81"/>
      <c r="V110" s="81"/>
      <c r="W110" s="81"/>
      <c r="X110" s="81"/>
      <c r="Y110" s="81"/>
      <c r="Z110" s="81"/>
    </row>
    <row r="111" spans="1:26" ht="12" customHeight="1">
      <c r="A111" s="79"/>
      <c r="B111" s="79"/>
      <c r="C111" s="81"/>
      <c r="D111" s="81"/>
      <c r="E111" s="81"/>
      <c r="F111" s="82"/>
      <c r="G111" s="83"/>
      <c r="H111" s="83"/>
      <c r="I111" s="81"/>
      <c r="J111" s="84"/>
      <c r="K111" s="84"/>
      <c r="L111" s="84"/>
      <c r="M111" s="81"/>
      <c r="N111" s="81"/>
      <c r="O111" s="81"/>
      <c r="P111" s="81"/>
      <c r="Q111" s="81"/>
      <c r="R111" s="81"/>
      <c r="S111" s="81"/>
      <c r="T111" s="81"/>
      <c r="U111" s="81"/>
      <c r="V111" s="81"/>
      <c r="W111" s="81"/>
      <c r="X111" s="81"/>
      <c r="Y111" s="81"/>
      <c r="Z111" s="81"/>
    </row>
    <row r="112" spans="1:26" ht="12" customHeight="1">
      <c r="A112" s="79"/>
      <c r="B112" s="79"/>
      <c r="C112" s="81"/>
      <c r="D112" s="81"/>
      <c r="E112" s="81"/>
      <c r="F112" s="82"/>
      <c r="G112" s="83"/>
      <c r="H112" s="83"/>
      <c r="I112" s="81"/>
      <c r="J112" s="84"/>
      <c r="K112" s="84"/>
      <c r="L112" s="84"/>
      <c r="M112" s="81"/>
      <c r="N112" s="81"/>
      <c r="O112" s="81"/>
      <c r="P112" s="81"/>
      <c r="Q112" s="81"/>
      <c r="R112" s="81"/>
      <c r="S112" s="81"/>
      <c r="T112" s="81"/>
      <c r="U112" s="81"/>
      <c r="V112" s="81"/>
      <c r="W112" s="81"/>
      <c r="X112" s="81"/>
      <c r="Y112" s="81"/>
      <c r="Z112" s="81"/>
    </row>
    <row r="113" spans="1:26" ht="12" customHeight="1">
      <c r="A113" s="79"/>
      <c r="B113" s="79"/>
      <c r="C113" s="81"/>
      <c r="D113" s="81"/>
      <c r="E113" s="81"/>
      <c r="F113" s="82"/>
      <c r="G113" s="83"/>
      <c r="H113" s="83"/>
      <c r="I113" s="81"/>
      <c r="J113" s="84"/>
      <c r="K113" s="84"/>
      <c r="L113" s="84"/>
      <c r="M113" s="81"/>
      <c r="N113" s="81"/>
      <c r="O113" s="81"/>
      <c r="P113" s="81"/>
      <c r="Q113" s="81"/>
      <c r="R113" s="81"/>
      <c r="S113" s="81"/>
      <c r="T113" s="81"/>
      <c r="U113" s="81"/>
      <c r="V113" s="81"/>
      <c r="W113" s="81"/>
      <c r="X113" s="81"/>
      <c r="Y113" s="81"/>
      <c r="Z113" s="81"/>
    </row>
    <row r="114" spans="1:26" ht="12" customHeight="1">
      <c r="A114" s="79"/>
      <c r="B114" s="79"/>
      <c r="C114" s="81"/>
      <c r="D114" s="81"/>
      <c r="E114" s="81"/>
      <c r="F114" s="82"/>
      <c r="G114" s="83"/>
      <c r="H114" s="83"/>
      <c r="I114" s="81"/>
      <c r="J114" s="84"/>
      <c r="K114" s="84"/>
      <c r="L114" s="84"/>
      <c r="M114" s="81"/>
      <c r="N114" s="81"/>
      <c r="O114" s="81"/>
      <c r="P114" s="81"/>
      <c r="Q114" s="81"/>
      <c r="R114" s="81"/>
      <c r="S114" s="81"/>
      <c r="T114" s="81"/>
      <c r="U114" s="81"/>
      <c r="V114" s="81"/>
      <c r="W114" s="81"/>
      <c r="X114" s="81"/>
      <c r="Y114" s="81"/>
      <c r="Z114" s="81"/>
    </row>
    <row r="115" spans="1:26" ht="12" customHeight="1">
      <c r="A115" s="79"/>
      <c r="B115" s="79"/>
      <c r="C115" s="81"/>
      <c r="D115" s="81"/>
      <c r="E115" s="81"/>
      <c r="F115" s="82"/>
      <c r="G115" s="83"/>
      <c r="H115" s="83"/>
      <c r="I115" s="81"/>
      <c r="J115" s="84"/>
      <c r="K115" s="84"/>
      <c r="L115" s="84"/>
      <c r="M115" s="81"/>
      <c r="N115" s="81"/>
      <c r="O115" s="81"/>
      <c r="P115" s="81"/>
      <c r="Q115" s="81"/>
      <c r="R115" s="81"/>
      <c r="S115" s="81"/>
      <c r="T115" s="81"/>
      <c r="U115" s="81"/>
      <c r="V115" s="81"/>
      <c r="W115" s="81"/>
      <c r="X115" s="81"/>
      <c r="Y115" s="81"/>
      <c r="Z115" s="81"/>
    </row>
    <row r="116" spans="1:26" ht="12" customHeight="1">
      <c r="A116" s="79"/>
      <c r="B116" s="79"/>
      <c r="C116" s="81"/>
      <c r="D116" s="81"/>
      <c r="E116" s="81"/>
      <c r="F116" s="82"/>
      <c r="G116" s="83"/>
      <c r="H116" s="83"/>
      <c r="I116" s="81"/>
      <c r="J116" s="84"/>
      <c r="K116" s="84"/>
      <c r="L116" s="84"/>
      <c r="M116" s="81"/>
      <c r="N116" s="81"/>
      <c r="O116" s="81"/>
      <c r="P116" s="81"/>
      <c r="Q116" s="81"/>
      <c r="R116" s="81"/>
      <c r="S116" s="81"/>
      <c r="T116" s="81"/>
      <c r="U116" s="81"/>
      <c r="V116" s="81"/>
      <c r="W116" s="81"/>
      <c r="X116" s="81"/>
      <c r="Y116" s="81"/>
      <c r="Z116" s="81"/>
    </row>
    <row r="117" spans="1:26" ht="12" customHeight="1">
      <c r="A117" s="79"/>
      <c r="B117" s="79"/>
      <c r="C117" s="81"/>
      <c r="D117" s="81"/>
      <c r="E117" s="81"/>
      <c r="F117" s="82"/>
      <c r="G117" s="83"/>
      <c r="H117" s="83"/>
      <c r="I117" s="81"/>
      <c r="J117" s="84"/>
      <c r="K117" s="84"/>
      <c r="L117" s="84"/>
      <c r="M117" s="81"/>
      <c r="N117" s="81"/>
      <c r="O117" s="81"/>
      <c r="P117" s="81"/>
      <c r="Q117" s="81"/>
      <c r="R117" s="81"/>
      <c r="S117" s="81"/>
      <c r="T117" s="81"/>
      <c r="U117" s="81"/>
      <c r="V117" s="81"/>
      <c r="W117" s="81"/>
      <c r="X117" s="81"/>
      <c r="Y117" s="81"/>
      <c r="Z117" s="81"/>
    </row>
    <row r="118" spans="1:26" ht="12" customHeight="1">
      <c r="A118" s="79"/>
      <c r="B118" s="79"/>
      <c r="C118" s="81"/>
      <c r="D118" s="81"/>
      <c r="E118" s="81"/>
      <c r="F118" s="82"/>
      <c r="G118" s="83"/>
      <c r="H118" s="83"/>
      <c r="I118" s="81"/>
      <c r="J118" s="84"/>
      <c r="K118" s="84"/>
      <c r="L118" s="84"/>
      <c r="M118" s="81"/>
      <c r="N118" s="81"/>
      <c r="O118" s="81"/>
      <c r="P118" s="81"/>
      <c r="Q118" s="81"/>
      <c r="R118" s="81"/>
      <c r="S118" s="81"/>
      <c r="T118" s="81"/>
      <c r="U118" s="81"/>
      <c r="V118" s="81"/>
      <c r="W118" s="81"/>
      <c r="X118" s="81"/>
      <c r="Y118" s="81"/>
      <c r="Z118" s="81"/>
    </row>
    <row r="119" spans="1:26" ht="12" customHeight="1">
      <c r="A119" s="79"/>
      <c r="B119" s="79"/>
      <c r="C119" s="81"/>
      <c r="D119" s="81"/>
      <c r="E119" s="81"/>
      <c r="F119" s="82"/>
      <c r="G119" s="83"/>
      <c r="H119" s="83"/>
      <c r="I119" s="81"/>
      <c r="J119" s="84"/>
      <c r="K119" s="84"/>
      <c r="L119" s="84"/>
      <c r="M119" s="81"/>
      <c r="N119" s="81"/>
      <c r="O119" s="81"/>
      <c r="P119" s="81"/>
      <c r="Q119" s="81"/>
      <c r="R119" s="81"/>
      <c r="S119" s="81"/>
      <c r="T119" s="81"/>
      <c r="U119" s="81"/>
      <c r="V119" s="81"/>
      <c r="W119" s="81"/>
      <c r="X119" s="81"/>
      <c r="Y119" s="81"/>
      <c r="Z119" s="81"/>
    </row>
    <row r="120" spans="1:26" ht="12" customHeight="1">
      <c r="A120" s="79"/>
      <c r="B120" s="79"/>
      <c r="C120" s="81"/>
      <c r="D120" s="81"/>
      <c r="E120" s="81"/>
      <c r="F120" s="82"/>
      <c r="G120" s="83"/>
      <c r="H120" s="83"/>
      <c r="I120" s="81"/>
      <c r="J120" s="84"/>
      <c r="K120" s="84"/>
      <c r="L120" s="84"/>
      <c r="M120" s="81"/>
      <c r="N120" s="81"/>
      <c r="O120" s="81"/>
      <c r="P120" s="81"/>
      <c r="Q120" s="81"/>
      <c r="R120" s="81"/>
      <c r="S120" s="81"/>
      <c r="T120" s="81"/>
      <c r="U120" s="81"/>
      <c r="V120" s="81"/>
      <c r="W120" s="81"/>
      <c r="X120" s="81"/>
      <c r="Y120" s="81"/>
      <c r="Z120" s="81"/>
    </row>
    <row r="121" spans="1:26" ht="12" customHeight="1">
      <c r="A121" s="79"/>
      <c r="B121" s="79"/>
      <c r="C121" s="81"/>
      <c r="D121" s="81"/>
      <c r="E121" s="81"/>
      <c r="F121" s="82"/>
      <c r="G121" s="83"/>
      <c r="H121" s="83"/>
      <c r="I121" s="81"/>
      <c r="J121" s="84"/>
      <c r="K121" s="84"/>
      <c r="L121" s="84"/>
      <c r="M121" s="81"/>
      <c r="N121" s="81"/>
      <c r="O121" s="81"/>
      <c r="P121" s="81"/>
      <c r="Q121" s="81"/>
      <c r="R121" s="81"/>
      <c r="S121" s="81"/>
      <c r="T121" s="81"/>
      <c r="U121" s="81"/>
      <c r="V121" s="81"/>
      <c r="W121" s="81"/>
      <c r="X121" s="81"/>
      <c r="Y121" s="81"/>
      <c r="Z121" s="81"/>
    </row>
    <row r="122" spans="1:26" ht="12" customHeight="1">
      <c r="A122" s="79"/>
      <c r="B122" s="79"/>
      <c r="C122" s="81"/>
      <c r="D122" s="81"/>
      <c r="E122" s="81"/>
      <c r="F122" s="82"/>
      <c r="G122" s="83"/>
      <c r="H122" s="83"/>
      <c r="I122" s="81"/>
      <c r="J122" s="84"/>
      <c r="K122" s="84"/>
      <c r="L122" s="84"/>
      <c r="M122" s="81"/>
      <c r="N122" s="81"/>
      <c r="O122" s="81"/>
      <c r="P122" s="81"/>
      <c r="Q122" s="81"/>
      <c r="R122" s="81"/>
      <c r="S122" s="81"/>
      <c r="T122" s="81"/>
      <c r="U122" s="81"/>
      <c r="V122" s="81"/>
      <c r="W122" s="81"/>
      <c r="X122" s="81"/>
      <c r="Y122" s="81"/>
      <c r="Z122" s="81"/>
    </row>
    <row r="123" spans="1:26" ht="12" customHeight="1">
      <c r="A123" s="79"/>
      <c r="B123" s="79"/>
      <c r="C123" s="81"/>
      <c r="D123" s="81"/>
      <c r="E123" s="81"/>
      <c r="F123" s="82"/>
      <c r="G123" s="83"/>
      <c r="H123" s="83"/>
      <c r="I123" s="81"/>
      <c r="J123" s="84"/>
      <c r="K123" s="84"/>
      <c r="L123" s="84"/>
      <c r="M123" s="81"/>
      <c r="N123" s="81"/>
      <c r="O123" s="81"/>
      <c r="P123" s="81"/>
      <c r="Q123" s="81"/>
      <c r="R123" s="81"/>
      <c r="S123" s="81"/>
      <c r="T123" s="81"/>
      <c r="U123" s="81"/>
      <c r="V123" s="81"/>
      <c r="W123" s="81"/>
      <c r="X123" s="81"/>
      <c r="Y123" s="81"/>
      <c r="Z123" s="81"/>
    </row>
    <row r="124" spans="1:26" ht="12" customHeight="1">
      <c r="A124" s="79"/>
      <c r="B124" s="79"/>
      <c r="C124" s="81"/>
      <c r="D124" s="81"/>
      <c r="E124" s="81"/>
      <c r="F124" s="82"/>
      <c r="G124" s="83"/>
      <c r="H124" s="83"/>
      <c r="I124" s="81"/>
      <c r="J124" s="84"/>
      <c r="K124" s="84"/>
      <c r="L124" s="84"/>
      <c r="M124" s="81"/>
      <c r="N124" s="81"/>
      <c r="O124" s="81"/>
      <c r="P124" s="81"/>
      <c r="Q124" s="81"/>
      <c r="R124" s="81"/>
      <c r="S124" s="81"/>
      <c r="T124" s="81"/>
      <c r="U124" s="81"/>
      <c r="V124" s="81"/>
      <c r="W124" s="81"/>
      <c r="X124" s="81"/>
      <c r="Y124" s="81"/>
      <c r="Z124" s="81"/>
    </row>
    <row r="125" spans="1:26" ht="12" customHeight="1">
      <c r="A125" s="79"/>
      <c r="B125" s="79"/>
      <c r="C125" s="81"/>
      <c r="D125" s="81"/>
      <c r="E125" s="81"/>
      <c r="F125" s="82"/>
      <c r="G125" s="83"/>
      <c r="H125" s="83"/>
      <c r="I125" s="81"/>
      <c r="J125" s="84"/>
      <c r="K125" s="84"/>
      <c r="L125" s="84"/>
      <c r="M125" s="81"/>
      <c r="N125" s="81"/>
      <c r="O125" s="81"/>
      <c r="P125" s="81"/>
      <c r="Q125" s="81"/>
      <c r="R125" s="81"/>
      <c r="S125" s="81"/>
      <c r="T125" s="81"/>
      <c r="U125" s="81"/>
      <c r="V125" s="81"/>
      <c r="W125" s="81"/>
      <c r="X125" s="81"/>
      <c r="Y125" s="81"/>
      <c r="Z125" s="81"/>
    </row>
    <row r="126" spans="1:26" ht="12" customHeight="1">
      <c r="A126" s="79"/>
      <c r="B126" s="79"/>
      <c r="C126" s="81"/>
      <c r="D126" s="81"/>
      <c r="E126" s="81"/>
      <c r="F126" s="82"/>
      <c r="G126" s="83"/>
      <c r="H126" s="83"/>
      <c r="I126" s="81"/>
      <c r="J126" s="84"/>
      <c r="K126" s="84"/>
      <c r="L126" s="84"/>
      <c r="M126" s="81"/>
      <c r="N126" s="81"/>
      <c r="O126" s="81"/>
      <c r="P126" s="81"/>
      <c r="Q126" s="81"/>
      <c r="R126" s="81"/>
      <c r="S126" s="81"/>
      <c r="T126" s="81"/>
      <c r="U126" s="81"/>
      <c r="V126" s="81"/>
      <c r="W126" s="81"/>
      <c r="X126" s="81"/>
      <c r="Y126" s="81"/>
      <c r="Z126" s="81"/>
    </row>
    <row r="127" spans="1:26" ht="12" customHeight="1">
      <c r="A127" s="79"/>
      <c r="B127" s="79"/>
      <c r="C127" s="81"/>
      <c r="D127" s="81"/>
      <c r="E127" s="81"/>
      <c r="F127" s="82"/>
      <c r="G127" s="83"/>
      <c r="H127" s="83"/>
      <c r="I127" s="81"/>
      <c r="J127" s="84"/>
      <c r="K127" s="84"/>
      <c r="L127" s="84"/>
      <c r="M127" s="81"/>
      <c r="N127" s="81"/>
      <c r="O127" s="81"/>
      <c r="P127" s="81"/>
      <c r="Q127" s="81"/>
      <c r="R127" s="81"/>
      <c r="S127" s="81"/>
      <c r="T127" s="81"/>
      <c r="U127" s="81"/>
      <c r="V127" s="81"/>
      <c r="W127" s="81"/>
      <c r="X127" s="81"/>
      <c r="Y127" s="81"/>
      <c r="Z127" s="81"/>
    </row>
    <row r="128" spans="1:26" ht="12" customHeight="1">
      <c r="A128" s="79"/>
      <c r="B128" s="79"/>
      <c r="C128" s="81"/>
      <c r="D128" s="81"/>
      <c r="E128" s="81"/>
      <c r="F128" s="82"/>
      <c r="G128" s="83"/>
      <c r="H128" s="83"/>
      <c r="I128" s="81"/>
      <c r="J128" s="84"/>
      <c r="K128" s="84"/>
      <c r="L128" s="84"/>
      <c r="M128" s="81"/>
      <c r="N128" s="81"/>
      <c r="O128" s="81"/>
      <c r="P128" s="81"/>
      <c r="Q128" s="81"/>
      <c r="R128" s="81"/>
      <c r="S128" s="81"/>
      <c r="T128" s="81"/>
      <c r="U128" s="81"/>
      <c r="V128" s="81"/>
      <c r="W128" s="81"/>
      <c r="X128" s="81"/>
      <c r="Y128" s="81"/>
      <c r="Z128" s="81"/>
    </row>
    <row r="129" spans="1:26" ht="12" customHeight="1">
      <c r="A129" s="79"/>
      <c r="B129" s="79"/>
      <c r="C129" s="81"/>
      <c r="D129" s="81"/>
      <c r="E129" s="81"/>
      <c r="F129" s="82"/>
      <c r="G129" s="83"/>
      <c r="H129" s="83"/>
      <c r="I129" s="81"/>
      <c r="J129" s="84"/>
      <c r="K129" s="84"/>
      <c r="L129" s="84"/>
      <c r="M129" s="81"/>
      <c r="N129" s="81"/>
      <c r="O129" s="81"/>
      <c r="P129" s="81"/>
      <c r="Q129" s="81"/>
      <c r="R129" s="81"/>
      <c r="S129" s="81"/>
      <c r="T129" s="81"/>
      <c r="U129" s="81"/>
      <c r="V129" s="81"/>
      <c r="W129" s="81"/>
      <c r="X129" s="81"/>
      <c r="Y129" s="81"/>
      <c r="Z129" s="81"/>
    </row>
    <row r="130" spans="1:26" ht="12" customHeight="1">
      <c r="A130" s="79"/>
      <c r="B130" s="79"/>
      <c r="C130" s="81"/>
      <c r="D130" s="81"/>
      <c r="E130" s="81"/>
      <c r="F130" s="82"/>
      <c r="G130" s="83"/>
      <c r="H130" s="83"/>
      <c r="I130" s="81"/>
      <c r="J130" s="84"/>
      <c r="K130" s="84"/>
      <c r="L130" s="84"/>
      <c r="M130" s="81"/>
      <c r="N130" s="81"/>
      <c r="O130" s="81"/>
      <c r="P130" s="81"/>
      <c r="Q130" s="81"/>
      <c r="R130" s="81"/>
      <c r="S130" s="81"/>
      <c r="T130" s="81"/>
      <c r="U130" s="81"/>
      <c r="V130" s="81"/>
      <c r="W130" s="81"/>
      <c r="X130" s="81"/>
      <c r="Y130" s="81"/>
      <c r="Z130" s="81"/>
    </row>
    <row r="131" spans="1:26" ht="12" customHeight="1">
      <c r="A131" s="79"/>
      <c r="B131" s="79"/>
      <c r="C131" s="81"/>
      <c r="D131" s="81"/>
      <c r="E131" s="81"/>
      <c r="F131" s="82"/>
      <c r="G131" s="83"/>
      <c r="H131" s="83"/>
      <c r="I131" s="81"/>
      <c r="J131" s="84"/>
      <c r="K131" s="84"/>
      <c r="L131" s="84"/>
      <c r="M131" s="81"/>
      <c r="N131" s="81"/>
      <c r="O131" s="81"/>
      <c r="P131" s="81"/>
      <c r="Q131" s="81"/>
      <c r="R131" s="81"/>
      <c r="S131" s="81"/>
      <c r="T131" s="81"/>
      <c r="U131" s="81"/>
      <c r="V131" s="81"/>
      <c r="W131" s="81"/>
      <c r="X131" s="81"/>
      <c r="Y131" s="81"/>
      <c r="Z131" s="81"/>
    </row>
    <row r="132" spans="1:26" ht="12" customHeight="1">
      <c r="A132" s="79"/>
      <c r="B132" s="79"/>
      <c r="C132" s="81"/>
      <c r="D132" s="81"/>
      <c r="E132" s="81"/>
      <c r="F132" s="82"/>
      <c r="G132" s="83"/>
      <c r="H132" s="83"/>
      <c r="I132" s="81"/>
      <c r="J132" s="84"/>
      <c r="K132" s="84"/>
      <c r="L132" s="84"/>
      <c r="M132" s="81"/>
      <c r="N132" s="81"/>
      <c r="O132" s="81"/>
      <c r="P132" s="81"/>
      <c r="Q132" s="81"/>
      <c r="R132" s="81"/>
      <c r="S132" s="81"/>
      <c r="T132" s="81"/>
      <c r="U132" s="81"/>
      <c r="V132" s="81"/>
      <c r="W132" s="81"/>
      <c r="X132" s="81"/>
      <c r="Y132" s="81"/>
      <c r="Z132" s="81"/>
    </row>
    <row r="133" spans="1:26" ht="12" customHeight="1">
      <c r="A133" s="79"/>
      <c r="B133" s="79"/>
      <c r="C133" s="81"/>
      <c r="D133" s="81"/>
      <c r="E133" s="81"/>
      <c r="F133" s="82"/>
      <c r="G133" s="83"/>
      <c r="H133" s="83"/>
      <c r="I133" s="81"/>
      <c r="J133" s="84"/>
      <c r="K133" s="84"/>
      <c r="L133" s="84"/>
      <c r="M133" s="81"/>
      <c r="N133" s="81"/>
      <c r="O133" s="81"/>
      <c r="P133" s="81"/>
      <c r="Q133" s="81"/>
      <c r="R133" s="81"/>
      <c r="S133" s="81"/>
      <c r="T133" s="81"/>
      <c r="U133" s="81"/>
      <c r="V133" s="81"/>
      <c r="W133" s="81"/>
      <c r="X133" s="81"/>
      <c r="Y133" s="81"/>
      <c r="Z133" s="81"/>
    </row>
    <row r="134" spans="1:26" ht="12" customHeight="1">
      <c r="A134" s="79"/>
      <c r="B134" s="79"/>
      <c r="C134" s="81"/>
      <c r="D134" s="81"/>
      <c r="E134" s="81"/>
      <c r="F134" s="82"/>
      <c r="G134" s="83"/>
      <c r="H134" s="83"/>
      <c r="I134" s="81"/>
      <c r="J134" s="84"/>
      <c r="K134" s="84"/>
      <c r="L134" s="84"/>
      <c r="M134" s="81"/>
      <c r="N134" s="81"/>
      <c r="O134" s="81"/>
      <c r="P134" s="81"/>
      <c r="Q134" s="81"/>
      <c r="R134" s="81"/>
      <c r="S134" s="81"/>
      <c r="T134" s="81"/>
      <c r="U134" s="81"/>
      <c r="V134" s="81"/>
      <c r="W134" s="81"/>
      <c r="X134" s="81"/>
      <c r="Y134" s="81"/>
      <c r="Z134" s="81"/>
    </row>
    <row r="135" spans="1:26" ht="12" customHeight="1">
      <c r="A135" s="79"/>
      <c r="B135" s="79"/>
      <c r="C135" s="81"/>
      <c r="D135" s="81"/>
      <c r="E135" s="81"/>
      <c r="F135" s="82"/>
      <c r="G135" s="83"/>
      <c r="H135" s="83"/>
      <c r="I135" s="81"/>
      <c r="J135" s="84"/>
      <c r="K135" s="84"/>
      <c r="L135" s="84"/>
      <c r="M135" s="81"/>
      <c r="N135" s="81"/>
      <c r="O135" s="81"/>
      <c r="P135" s="81"/>
      <c r="Q135" s="81"/>
      <c r="R135" s="81"/>
      <c r="S135" s="81"/>
      <c r="T135" s="81"/>
      <c r="U135" s="81"/>
      <c r="V135" s="81"/>
      <c r="W135" s="81"/>
      <c r="X135" s="81"/>
      <c r="Y135" s="81"/>
      <c r="Z135" s="81"/>
    </row>
    <row r="136" spans="1:26" ht="12" customHeight="1">
      <c r="A136" s="79"/>
      <c r="B136" s="79"/>
      <c r="C136" s="81"/>
      <c r="D136" s="81"/>
      <c r="E136" s="81"/>
      <c r="F136" s="82"/>
      <c r="G136" s="83"/>
      <c r="H136" s="83"/>
      <c r="I136" s="81"/>
      <c r="J136" s="84"/>
      <c r="K136" s="84"/>
      <c r="L136" s="84"/>
      <c r="M136" s="81"/>
      <c r="N136" s="81"/>
      <c r="O136" s="81"/>
      <c r="P136" s="81"/>
      <c r="Q136" s="81"/>
      <c r="R136" s="81"/>
      <c r="S136" s="81"/>
      <c r="T136" s="81"/>
      <c r="U136" s="81"/>
      <c r="V136" s="81"/>
      <c r="W136" s="81"/>
      <c r="X136" s="81"/>
      <c r="Y136" s="81"/>
      <c r="Z136" s="81"/>
    </row>
    <row r="137" spans="1:26" ht="12" customHeight="1">
      <c r="A137" s="79"/>
      <c r="B137" s="79"/>
      <c r="C137" s="81"/>
      <c r="D137" s="81"/>
      <c r="E137" s="81"/>
      <c r="F137" s="82"/>
      <c r="G137" s="83"/>
      <c r="H137" s="83"/>
      <c r="I137" s="81"/>
      <c r="J137" s="84"/>
      <c r="K137" s="84"/>
      <c r="L137" s="84"/>
      <c r="M137" s="81"/>
      <c r="N137" s="81"/>
      <c r="O137" s="81"/>
      <c r="P137" s="81"/>
      <c r="Q137" s="81"/>
      <c r="R137" s="81"/>
      <c r="S137" s="81"/>
      <c r="T137" s="81"/>
      <c r="U137" s="81"/>
      <c r="V137" s="81"/>
      <c r="W137" s="81"/>
      <c r="X137" s="81"/>
      <c r="Y137" s="81"/>
      <c r="Z137" s="81"/>
    </row>
    <row r="138" spans="1:26" ht="12" customHeight="1">
      <c r="A138" s="79"/>
      <c r="B138" s="79"/>
      <c r="C138" s="81"/>
      <c r="D138" s="81"/>
      <c r="E138" s="81"/>
      <c r="F138" s="82"/>
      <c r="G138" s="83"/>
      <c r="H138" s="83"/>
      <c r="I138" s="81"/>
      <c r="J138" s="84"/>
      <c r="K138" s="84"/>
      <c r="L138" s="84"/>
      <c r="M138" s="81"/>
      <c r="N138" s="81"/>
      <c r="O138" s="81"/>
      <c r="P138" s="81"/>
      <c r="Q138" s="81"/>
      <c r="R138" s="81"/>
      <c r="S138" s="81"/>
      <c r="T138" s="81"/>
      <c r="U138" s="81"/>
      <c r="V138" s="81"/>
      <c r="W138" s="81"/>
      <c r="X138" s="81"/>
      <c r="Y138" s="81"/>
      <c r="Z138" s="81"/>
    </row>
    <row r="139" spans="1:26" ht="12" customHeight="1">
      <c r="A139" s="79"/>
      <c r="B139" s="79"/>
      <c r="C139" s="81"/>
      <c r="D139" s="81"/>
      <c r="E139" s="81"/>
      <c r="F139" s="82"/>
      <c r="G139" s="83"/>
      <c r="H139" s="83"/>
      <c r="I139" s="81"/>
      <c r="J139" s="84"/>
      <c r="K139" s="84"/>
      <c r="L139" s="84"/>
      <c r="M139" s="81"/>
      <c r="N139" s="81"/>
      <c r="O139" s="81"/>
      <c r="P139" s="81"/>
      <c r="Q139" s="81"/>
      <c r="R139" s="81"/>
      <c r="S139" s="81"/>
      <c r="T139" s="81"/>
      <c r="U139" s="81"/>
      <c r="V139" s="81"/>
      <c r="W139" s="81"/>
      <c r="X139" s="81"/>
      <c r="Y139" s="81"/>
      <c r="Z139" s="81"/>
    </row>
    <row r="140" spans="1:26" ht="12" customHeight="1">
      <c r="A140" s="79"/>
      <c r="B140" s="79"/>
      <c r="C140" s="81"/>
      <c r="D140" s="81"/>
      <c r="E140" s="81"/>
      <c r="F140" s="82"/>
      <c r="G140" s="83"/>
      <c r="H140" s="83"/>
      <c r="I140" s="81"/>
      <c r="J140" s="84"/>
      <c r="K140" s="84"/>
      <c r="L140" s="84"/>
      <c r="M140" s="81"/>
      <c r="N140" s="81"/>
      <c r="O140" s="81"/>
      <c r="P140" s="81"/>
      <c r="Q140" s="81"/>
      <c r="R140" s="81"/>
      <c r="S140" s="81"/>
      <c r="T140" s="81"/>
      <c r="U140" s="81"/>
      <c r="V140" s="81"/>
      <c r="W140" s="81"/>
      <c r="X140" s="81"/>
      <c r="Y140" s="81"/>
      <c r="Z140" s="81"/>
    </row>
    <row r="141" spans="1:26" ht="12" customHeight="1">
      <c r="A141" s="79"/>
      <c r="B141" s="79"/>
      <c r="C141" s="81"/>
      <c r="D141" s="81"/>
      <c r="E141" s="81"/>
      <c r="F141" s="82"/>
      <c r="G141" s="83"/>
      <c r="H141" s="83"/>
      <c r="I141" s="81"/>
      <c r="J141" s="84"/>
      <c r="K141" s="84"/>
      <c r="L141" s="84"/>
      <c r="M141" s="81"/>
      <c r="N141" s="81"/>
      <c r="O141" s="81"/>
      <c r="P141" s="81"/>
      <c r="Q141" s="81"/>
      <c r="R141" s="81"/>
      <c r="S141" s="81"/>
      <c r="T141" s="81"/>
      <c r="U141" s="81"/>
      <c r="V141" s="81"/>
      <c r="W141" s="81"/>
      <c r="X141" s="81"/>
      <c r="Y141" s="81"/>
      <c r="Z141" s="81"/>
    </row>
    <row r="142" spans="1:26" ht="12" customHeight="1">
      <c r="A142" s="79"/>
      <c r="B142" s="79"/>
      <c r="C142" s="81"/>
      <c r="D142" s="81"/>
      <c r="E142" s="81"/>
      <c r="F142" s="82"/>
      <c r="G142" s="83"/>
      <c r="H142" s="83"/>
      <c r="I142" s="81"/>
      <c r="J142" s="84"/>
      <c r="K142" s="84"/>
      <c r="L142" s="84"/>
      <c r="M142" s="81"/>
      <c r="N142" s="81"/>
      <c r="O142" s="81"/>
      <c r="P142" s="81"/>
      <c r="Q142" s="81"/>
      <c r="R142" s="81"/>
      <c r="S142" s="81"/>
      <c r="T142" s="81"/>
      <c r="U142" s="81"/>
      <c r="V142" s="81"/>
      <c r="W142" s="81"/>
      <c r="X142" s="81"/>
      <c r="Y142" s="81"/>
      <c r="Z142" s="81"/>
    </row>
    <row r="143" spans="1:26" ht="12" customHeight="1">
      <c r="A143" s="79"/>
      <c r="B143" s="79"/>
      <c r="C143" s="81"/>
      <c r="D143" s="81"/>
      <c r="E143" s="81"/>
      <c r="F143" s="82"/>
      <c r="G143" s="83"/>
      <c r="H143" s="83"/>
      <c r="I143" s="81"/>
      <c r="J143" s="84"/>
      <c r="K143" s="84"/>
      <c r="L143" s="84"/>
      <c r="M143" s="81"/>
      <c r="N143" s="81"/>
      <c r="O143" s="81"/>
      <c r="P143" s="81"/>
      <c r="Q143" s="81"/>
      <c r="R143" s="81"/>
      <c r="S143" s="81"/>
      <c r="T143" s="81"/>
      <c r="U143" s="81"/>
      <c r="V143" s="81"/>
      <c r="W143" s="81"/>
      <c r="X143" s="81"/>
      <c r="Y143" s="81"/>
      <c r="Z143" s="81"/>
    </row>
    <row r="144" spans="1:26" ht="12" customHeight="1">
      <c r="A144" s="79"/>
      <c r="B144" s="79"/>
      <c r="C144" s="81"/>
      <c r="D144" s="81"/>
      <c r="E144" s="81"/>
      <c r="F144" s="82"/>
      <c r="G144" s="83"/>
      <c r="H144" s="83"/>
      <c r="I144" s="81"/>
      <c r="J144" s="84"/>
      <c r="K144" s="84"/>
      <c r="L144" s="84"/>
      <c r="M144" s="81"/>
      <c r="N144" s="81"/>
      <c r="O144" s="81"/>
      <c r="P144" s="81"/>
      <c r="Q144" s="81"/>
      <c r="R144" s="81"/>
      <c r="S144" s="81"/>
      <c r="T144" s="81"/>
      <c r="U144" s="81"/>
      <c r="V144" s="81"/>
      <c r="W144" s="81"/>
      <c r="X144" s="81"/>
      <c r="Y144" s="81"/>
      <c r="Z144" s="81"/>
    </row>
    <row r="145" spans="1:26" ht="12" customHeight="1">
      <c r="A145" s="79"/>
      <c r="B145" s="79"/>
      <c r="C145" s="81"/>
      <c r="D145" s="81"/>
      <c r="E145" s="81"/>
      <c r="F145" s="82"/>
      <c r="G145" s="83"/>
      <c r="H145" s="83"/>
      <c r="I145" s="81"/>
      <c r="J145" s="84"/>
      <c r="K145" s="84"/>
      <c r="L145" s="84"/>
      <c r="M145" s="81"/>
      <c r="N145" s="81"/>
      <c r="O145" s="81"/>
      <c r="P145" s="81"/>
      <c r="Q145" s="81"/>
      <c r="R145" s="81"/>
      <c r="S145" s="81"/>
      <c r="T145" s="81"/>
      <c r="U145" s="81"/>
      <c r="V145" s="81"/>
      <c r="W145" s="81"/>
      <c r="X145" s="81"/>
      <c r="Y145" s="81"/>
      <c r="Z145" s="81"/>
    </row>
    <row r="146" spans="1:26" ht="12" customHeight="1">
      <c r="A146" s="79"/>
      <c r="B146" s="79"/>
      <c r="C146" s="81"/>
      <c r="D146" s="81"/>
      <c r="E146" s="81"/>
      <c r="F146" s="82"/>
      <c r="G146" s="83"/>
      <c r="H146" s="83"/>
      <c r="I146" s="81"/>
      <c r="J146" s="84"/>
      <c r="K146" s="84"/>
      <c r="L146" s="84"/>
      <c r="M146" s="81"/>
      <c r="N146" s="81"/>
      <c r="O146" s="81"/>
      <c r="P146" s="81"/>
      <c r="Q146" s="81"/>
      <c r="R146" s="81"/>
      <c r="S146" s="81"/>
      <c r="T146" s="81"/>
      <c r="U146" s="81"/>
      <c r="V146" s="81"/>
      <c r="W146" s="81"/>
      <c r="X146" s="81"/>
      <c r="Y146" s="81"/>
      <c r="Z146" s="81"/>
    </row>
    <row r="147" spans="1:26" ht="12" customHeight="1">
      <c r="A147" s="79"/>
      <c r="B147" s="79"/>
      <c r="C147" s="81"/>
      <c r="D147" s="81"/>
      <c r="E147" s="81"/>
      <c r="F147" s="82"/>
      <c r="G147" s="83"/>
      <c r="H147" s="83"/>
      <c r="I147" s="81"/>
      <c r="J147" s="84"/>
      <c r="K147" s="84"/>
      <c r="L147" s="84"/>
      <c r="M147" s="81"/>
      <c r="N147" s="81"/>
      <c r="O147" s="81"/>
      <c r="P147" s="81"/>
      <c r="Q147" s="81"/>
      <c r="R147" s="81"/>
      <c r="S147" s="81"/>
      <c r="T147" s="81"/>
      <c r="U147" s="81"/>
      <c r="V147" s="81"/>
      <c r="W147" s="81"/>
      <c r="X147" s="81"/>
      <c r="Y147" s="81"/>
      <c r="Z147" s="81"/>
    </row>
    <row r="148" spans="1:26" ht="12" customHeight="1">
      <c r="A148" s="79"/>
      <c r="B148" s="79"/>
      <c r="C148" s="81"/>
      <c r="D148" s="81"/>
      <c r="E148" s="81"/>
      <c r="F148" s="82"/>
      <c r="G148" s="83"/>
      <c r="H148" s="83"/>
      <c r="I148" s="81"/>
      <c r="J148" s="84"/>
      <c r="K148" s="84"/>
      <c r="L148" s="84"/>
      <c r="M148" s="81"/>
      <c r="N148" s="81"/>
      <c r="O148" s="81"/>
      <c r="P148" s="81"/>
      <c r="Q148" s="81"/>
      <c r="R148" s="81"/>
      <c r="S148" s="81"/>
      <c r="T148" s="81"/>
      <c r="U148" s="81"/>
      <c r="V148" s="81"/>
      <c r="W148" s="81"/>
      <c r="X148" s="81"/>
      <c r="Y148" s="81"/>
      <c r="Z148" s="81"/>
    </row>
    <row r="149" spans="1:26" ht="12" customHeight="1">
      <c r="A149" s="79"/>
      <c r="B149" s="79"/>
      <c r="C149" s="81"/>
      <c r="D149" s="81"/>
      <c r="E149" s="81"/>
      <c r="F149" s="82"/>
      <c r="G149" s="83"/>
      <c r="H149" s="83"/>
      <c r="I149" s="81"/>
      <c r="J149" s="84"/>
      <c r="K149" s="84"/>
      <c r="L149" s="84"/>
      <c r="M149" s="81"/>
      <c r="N149" s="81"/>
      <c r="O149" s="81"/>
      <c r="P149" s="81"/>
      <c r="Q149" s="81"/>
      <c r="R149" s="81"/>
      <c r="S149" s="81"/>
      <c r="T149" s="81"/>
      <c r="U149" s="81"/>
      <c r="V149" s="81"/>
      <c r="W149" s="81"/>
      <c r="X149" s="81"/>
      <c r="Y149" s="81"/>
      <c r="Z149" s="81"/>
    </row>
    <row r="150" spans="1:26" ht="12" customHeight="1">
      <c r="A150" s="79"/>
      <c r="B150" s="79"/>
      <c r="C150" s="81"/>
      <c r="D150" s="81"/>
      <c r="E150" s="81"/>
      <c r="F150" s="82"/>
      <c r="G150" s="83"/>
      <c r="H150" s="83"/>
      <c r="I150" s="81"/>
      <c r="J150" s="84"/>
      <c r="K150" s="84"/>
      <c r="L150" s="84"/>
      <c r="M150" s="81"/>
      <c r="N150" s="81"/>
      <c r="O150" s="81"/>
      <c r="P150" s="81"/>
      <c r="Q150" s="81"/>
      <c r="R150" s="81"/>
      <c r="S150" s="81"/>
      <c r="T150" s="81"/>
      <c r="U150" s="81"/>
      <c r="V150" s="81"/>
      <c r="W150" s="81"/>
      <c r="X150" s="81"/>
      <c r="Y150" s="81"/>
      <c r="Z150" s="81"/>
    </row>
    <row r="151" spans="1:26" ht="12" customHeight="1">
      <c r="A151" s="79"/>
      <c r="B151" s="79"/>
      <c r="C151" s="81"/>
      <c r="D151" s="81"/>
      <c r="E151" s="81"/>
      <c r="F151" s="82"/>
      <c r="G151" s="83"/>
      <c r="H151" s="83"/>
      <c r="I151" s="81"/>
      <c r="J151" s="84"/>
      <c r="K151" s="84"/>
      <c r="L151" s="84"/>
      <c r="M151" s="81"/>
      <c r="N151" s="81"/>
      <c r="O151" s="81"/>
      <c r="P151" s="81"/>
      <c r="Q151" s="81"/>
      <c r="R151" s="81"/>
      <c r="S151" s="81"/>
      <c r="T151" s="81"/>
      <c r="U151" s="81"/>
      <c r="V151" s="81"/>
      <c r="W151" s="81"/>
      <c r="X151" s="81"/>
      <c r="Y151" s="81"/>
      <c r="Z151" s="81"/>
    </row>
    <row r="152" spans="1:26" ht="12" customHeight="1">
      <c r="A152" s="79"/>
      <c r="B152" s="79"/>
      <c r="C152" s="81"/>
      <c r="D152" s="81"/>
      <c r="E152" s="81"/>
      <c r="F152" s="82"/>
      <c r="G152" s="83"/>
      <c r="H152" s="83"/>
      <c r="I152" s="81"/>
      <c r="J152" s="84"/>
      <c r="K152" s="84"/>
      <c r="L152" s="84"/>
      <c r="M152" s="81"/>
      <c r="N152" s="81"/>
      <c r="O152" s="81"/>
      <c r="P152" s="81"/>
      <c r="Q152" s="81"/>
      <c r="R152" s="81"/>
      <c r="S152" s="81"/>
      <c r="T152" s="81"/>
      <c r="U152" s="81"/>
      <c r="V152" s="81"/>
      <c r="W152" s="81"/>
      <c r="X152" s="81"/>
      <c r="Y152" s="81"/>
      <c r="Z152" s="81"/>
    </row>
    <row r="153" spans="1:26" ht="12" customHeight="1">
      <c r="A153" s="79"/>
      <c r="B153" s="79"/>
      <c r="C153" s="81"/>
      <c r="D153" s="81"/>
      <c r="E153" s="81"/>
      <c r="F153" s="82"/>
      <c r="G153" s="83"/>
      <c r="H153" s="83"/>
      <c r="I153" s="81"/>
      <c r="J153" s="84"/>
      <c r="K153" s="84"/>
      <c r="L153" s="84"/>
      <c r="M153" s="81"/>
      <c r="N153" s="81"/>
      <c r="O153" s="81"/>
      <c r="P153" s="81"/>
      <c r="Q153" s="81"/>
      <c r="R153" s="81"/>
      <c r="S153" s="81"/>
      <c r="T153" s="81"/>
      <c r="U153" s="81"/>
      <c r="V153" s="81"/>
      <c r="W153" s="81"/>
      <c r="X153" s="81"/>
      <c r="Y153" s="81"/>
      <c r="Z153" s="81"/>
    </row>
    <row r="154" spans="1:26" ht="12" customHeight="1">
      <c r="A154" s="79"/>
      <c r="B154" s="79"/>
      <c r="C154" s="81"/>
      <c r="D154" s="81"/>
      <c r="E154" s="81"/>
      <c r="F154" s="82"/>
      <c r="G154" s="83"/>
      <c r="H154" s="83"/>
      <c r="I154" s="81"/>
      <c r="J154" s="84"/>
      <c r="K154" s="84"/>
      <c r="L154" s="84"/>
      <c r="M154" s="81"/>
      <c r="N154" s="81"/>
      <c r="O154" s="81"/>
      <c r="P154" s="81"/>
      <c r="Q154" s="81"/>
      <c r="R154" s="81"/>
      <c r="S154" s="81"/>
      <c r="T154" s="81"/>
      <c r="U154" s="81"/>
      <c r="V154" s="81"/>
      <c r="W154" s="81"/>
      <c r="X154" s="81"/>
      <c r="Y154" s="81"/>
      <c r="Z154" s="81"/>
    </row>
    <row r="155" spans="1:26" ht="12" customHeight="1">
      <c r="A155" s="79"/>
      <c r="B155" s="79"/>
      <c r="C155" s="81"/>
      <c r="D155" s="81"/>
      <c r="E155" s="81"/>
      <c r="F155" s="82"/>
      <c r="G155" s="83"/>
      <c r="H155" s="83"/>
      <c r="I155" s="81"/>
      <c r="J155" s="84"/>
      <c r="K155" s="84"/>
      <c r="L155" s="84"/>
      <c r="M155" s="81"/>
      <c r="N155" s="81"/>
      <c r="O155" s="81"/>
      <c r="P155" s="81"/>
      <c r="Q155" s="81"/>
      <c r="R155" s="81"/>
      <c r="S155" s="81"/>
      <c r="T155" s="81"/>
      <c r="U155" s="81"/>
      <c r="V155" s="81"/>
      <c r="W155" s="81"/>
      <c r="X155" s="81"/>
      <c r="Y155" s="81"/>
      <c r="Z155" s="81"/>
    </row>
    <row r="156" spans="1:26" ht="12" customHeight="1">
      <c r="A156" s="79"/>
      <c r="B156" s="79"/>
      <c r="C156" s="81"/>
      <c r="D156" s="81"/>
      <c r="E156" s="81"/>
      <c r="F156" s="82"/>
      <c r="G156" s="83"/>
      <c r="H156" s="83"/>
      <c r="I156" s="81"/>
      <c r="J156" s="84"/>
      <c r="K156" s="84"/>
      <c r="L156" s="84"/>
      <c r="M156" s="81"/>
      <c r="N156" s="81"/>
      <c r="O156" s="81"/>
      <c r="P156" s="81"/>
      <c r="Q156" s="81"/>
      <c r="R156" s="81"/>
      <c r="S156" s="81"/>
      <c r="T156" s="81"/>
      <c r="U156" s="81"/>
      <c r="V156" s="81"/>
      <c r="W156" s="81"/>
      <c r="X156" s="81"/>
      <c r="Y156" s="81"/>
      <c r="Z156" s="81"/>
    </row>
    <row r="157" spans="1:26" ht="12" customHeight="1">
      <c r="A157" s="79"/>
      <c r="B157" s="79"/>
      <c r="C157" s="81"/>
      <c r="D157" s="81"/>
      <c r="E157" s="81"/>
      <c r="F157" s="82"/>
      <c r="G157" s="83"/>
      <c r="H157" s="83"/>
      <c r="I157" s="81"/>
      <c r="J157" s="84"/>
      <c r="K157" s="84"/>
      <c r="L157" s="84"/>
      <c r="M157" s="81"/>
      <c r="N157" s="81"/>
      <c r="O157" s="81"/>
      <c r="P157" s="81"/>
      <c r="Q157" s="81"/>
      <c r="R157" s="81"/>
      <c r="S157" s="81"/>
      <c r="T157" s="81"/>
      <c r="U157" s="81"/>
      <c r="V157" s="81"/>
      <c r="W157" s="81"/>
      <c r="X157" s="81"/>
      <c r="Y157" s="81"/>
      <c r="Z157" s="81"/>
    </row>
    <row r="158" spans="1:26" ht="12" customHeight="1">
      <c r="A158" s="79"/>
      <c r="B158" s="79"/>
      <c r="C158" s="81"/>
      <c r="D158" s="81"/>
      <c r="E158" s="81"/>
      <c r="F158" s="82"/>
      <c r="G158" s="83"/>
      <c r="H158" s="83"/>
      <c r="I158" s="81"/>
      <c r="J158" s="84"/>
      <c r="K158" s="84"/>
      <c r="L158" s="84"/>
      <c r="M158" s="81"/>
      <c r="N158" s="81"/>
      <c r="O158" s="81"/>
      <c r="P158" s="81"/>
      <c r="Q158" s="81"/>
      <c r="R158" s="81"/>
      <c r="S158" s="81"/>
      <c r="T158" s="81"/>
      <c r="U158" s="81"/>
      <c r="V158" s="81"/>
      <c r="W158" s="81"/>
      <c r="X158" s="81"/>
      <c r="Y158" s="81"/>
      <c r="Z158" s="81"/>
    </row>
    <row r="159" spans="1:26" ht="12" customHeight="1">
      <c r="A159" s="79"/>
      <c r="B159" s="79"/>
      <c r="C159" s="81"/>
      <c r="D159" s="81"/>
      <c r="E159" s="81"/>
      <c r="F159" s="82"/>
      <c r="G159" s="83"/>
      <c r="H159" s="83"/>
      <c r="I159" s="81"/>
      <c r="J159" s="84"/>
      <c r="K159" s="84"/>
      <c r="L159" s="84"/>
      <c r="M159" s="81"/>
      <c r="N159" s="81"/>
      <c r="O159" s="81"/>
      <c r="P159" s="81"/>
      <c r="Q159" s="81"/>
      <c r="R159" s="81"/>
      <c r="S159" s="81"/>
      <c r="T159" s="81"/>
      <c r="U159" s="81"/>
      <c r="V159" s="81"/>
      <c r="W159" s="81"/>
      <c r="X159" s="81"/>
      <c r="Y159" s="81"/>
      <c r="Z159" s="81"/>
    </row>
    <row r="160" spans="1:26" ht="12" customHeight="1">
      <c r="A160" s="79"/>
      <c r="B160" s="79"/>
      <c r="C160" s="81"/>
      <c r="D160" s="81"/>
      <c r="E160" s="81"/>
      <c r="F160" s="82"/>
      <c r="G160" s="83"/>
      <c r="H160" s="83"/>
      <c r="I160" s="81"/>
      <c r="J160" s="84"/>
      <c r="K160" s="84"/>
      <c r="L160" s="84"/>
      <c r="M160" s="81"/>
      <c r="N160" s="81"/>
      <c r="O160" s="81"/>
      <c r="P160" s="81"/>
      <c r="Q160" s="81"/>
      <c r="R160" s="81"/>
      <c r="S160" s="81"/>
      <c r="T160" s="81"/>
      <c r="U160" s="81"/>
      <c r="V160" s="81"/>
      <c r="W160" s="81"/>
      <c r="X160" s="81"/>
      <c r="Y160" s="81"/>
      <c r="Z160" s="81"/>
    </row>
    <row r="161" spans="1:26" ht="12" customHeight="1">
      <c r="A161" s="79"/>
      <c r="B161" s="79"/>
      <c r="C161" s="81"/>
      <c r="D161" s="81"/>
      <c r="E161" s="81"/>
      <c r="F161" s="82"/>
      <c r="G161" s="83"/>
      <c r="H161" s="83"/>
      <c r="I161" s="81"/>
      <c r="J161" s="84"/>
      <c r="K161" s="84"/>
      <c r="L161" s="84"/>
      <c r="M161" s="81"/>
      <c r="N161" s="81"/>
      <c r="O161" s="81"/>
      <c r="P161" s="81"/>
      <c r="Q161" s="81"/>
      <c r="R161" s="81"/>
      <c r="S161" s="81"/>
      <c r="T161" s="81"/>
      <c r="U161" s="81"/>
      <c r="V161" s="81"/>
      <c r="W161" s="81"/>
      <c r="X161" s="81"/>
      <c r="Y161" s="81"/>
      <c r="Z161" s="81"/>
    </row>
    <row r="162" spans="1:26" ht="12" customHeight="1">
      <c r="A162" s="79"/>
      <c r="B162" s="79"/>
      <c r="C162" s="81"/>
      <c r="D162" s="81"/>
      <c r="E162" s="81"/>
      <c r="F162" s="82"/>
      <c r="G162" s="83"/>
      <c r="H162" s="83"/>
      <c r="I162" s="81"/>
      <c r="J162" s="84"/>
      <c r="K162" s="84"/>
      <c r="L162" s="84"/>
      <c r="M162" s="81"/>
      <c r="N162" s="81"/>
      <c r="O162" s="81"/>
      <c r="P162" s="81"/>
      <c r="Q162" s="81"/>
      <c r="R162" s="81"/>
      <c r="S162" s="81"/>
      <c r="T162" s="81"/>
      <c r="U162" s="81"/>
      <c r="V162" s="81"/>
      <c r="W162" s="81"/>
      <c r="X162" s="81"/>
      <c r="Y162" s="81"/>
      <c r="Z162" s="81"/>
    </row>
    <row r="163" spans="1:26" ht="12" customHeight="1">
      <c r="A163" s="79"/>
      <c r="B163" s="79"/>
      <c r="C163" s="81"/>
      <c r="D163" s="81"/>
      <c r="E163" s="81"/>
      <c r="F163" s="82"/>
      <c r="G163" s="83"/>
      <c r="H163" s="83"/>
      <c r="I163" s="81"/>
      <c r="J163" s="84"/>
      <c r="K163" s="84"/>
      <c r="L163" s="84"/>
      <c r="M163" s="81"/>
      <c r="N163" s="81"/>
      <c r="O163" s="81"/>
      <c r="P163" s="81"/>
      <c r="Q163" s="81"/>
      <c r="R163" s="81"/>
      <c r="S163" s="81"/>
      <c r="T163" s="81"/>
      <c r="U163" s="81"/>
      <c r="V163" s="81"/>
      <c r="W163" s="81"/>
      <c r="X163" s="81"/>
      <c r="Y163" s="81"/>
      <c r="Z163" s="81"/>
    </row>
    <row r="164" spans="1:26" ht="12" customHeight="1">
      <c r="A164" s="79"/>
      <c r="B164" s="79"/>
      <c r="C164" s="81"/>
      <c r="D164" s="81"/>
      <c r="E164" s="81"/>
      <c r="F164" s="82"/>
      <c r="G164" s="83"/>
      <c r="H164" s="83"/>
      <c r="I164" s="81"/>
      <c r="J164" s="84"/>
      <c r="K164" s="84"/>
      <c r="L164" s="84"/>
      <c r="M164" s="81"/>
      <c r="N164" s="81"/>
      <c r="O164" s="81"/>
      <c r="P164" s="81"/>
      <c r="Q164" s="81"/>
      <c r="R164" s="81"/>
      <c r="S164" s="81"/>
      <c r="T164" s="81"/>
      <c r="U164" s="81"/>
      <c r="V164" s="81"/>
      <c r="W164" s="81"/>
      <c r="X164" s="81"/>
      <c r="Y164" s="81"/>
      <c r="Z164" s="81"/>
    </row>
    <row r="165" spans="1:26" ht="12" customHeight="1">
      <c r="A165" s="79"/>
      <c r="B165" s="79"/>
      <c r="C165" s="81"/>
      <c r="D165" s="81"/>
      <c r="E165" s="81"/>
      <c r="F165" s="82"/>
      <c r="G165" s="83"/>
      <c r="H165" s="83"/>
      <c r="I165" s="81"/>
      <c r="J165" s="84"/>
      <c r="K165" s="84"/>
      <c r="L165" s="84"/>
      <c r="M165" s="81"/>
      <c r="N165" s="81"/>
      <c r="O165" s="81"/>
      <c r="P165" s="81"/>
      <c r="Q165" s="81"/>
      <c r="R165" s="81"/>
      <c r="S165" s="81"/>
      <c r="T165" s="81"/>
      <c r="U165" s="81"/>
      <c r="V165" s="81"/>
      <c r="W165" s="81"/>
      <c r="X165" s="81"/>
      <c r="Y165" s="81"/>
      <c r="Z165" s="81"/>
    </row>
    <row r="166" spans="1:26" ht="12" customHeight="1">
      <c r="A166" s="79"/>
      <c r="B166" s="79"/>
      <c r="C166" s="81"/>
      <c r="D166" s="81"/>
      <c r="E166" s="81"/>
      <c r="F166" s="82"/>
      <c r="G166" s="83"/>
      <c r="H166" s="83"/>
      <c r="I166" s="81"/>
      <c r="J166" s="84"/>
      <c r="K166" s="84"/>
      <c r="L166" s="84"/>
      <c r="M166" s="81"/>
      <c r="N166" s="81"/>
      <c r="O166" s="81"/>
      <c r="P166" s="81"/>
      <c r="Q166" s="81"/>
      <c r="R166" s="81"/>
      <c r="S166" s="81"/>
      <c r="T166" s="81"/>
      <c r="U166" s="81"/>
      <c r="V166" s="81"/>
      <c r="W166" s="81"/>
      <c r="X166" s="81"/>
      <c r="Y166" s="81"/>
      <c r="Z166" s="81"/>
    </row>
    <row r="167" spans="1:26" ht="12" customHeight="1">
      <c r="A167" s="79"/>
      <c r="B167" s="79"/>
      <c r="C167" s="81"/>
      <c r="D167" s="81"/>
      <c r="E167" s="81"/>
      <c r="F167" s="82"/>
      <c r="G167" s="83"/>
      <c r="H167" s="83"/>
      <c r="I167" s="81"/>
      <c r="J167" s="84"/>
      <c r="K167" s="84"/>
      <c r="L167" s="84"/>
      <c r="M167" s="81"/>
      <c r="N167" s="81"/>
      <c r="O167" s="81"/>
      <c r="P167" s="81"/>
      <c r="Q167" s="81"/>
      <c r="R167" s="81"/>
      <c r="S167" s="81"/>
      <c r="T167" s="81"/>
      <c r="U167" s="81"/>
      <c r="V167" s="81"/>
      <c r="W167" s="81"/>
      <c r="X167" s="81"/>
      <c r="Y167" s="81"/>
      <c r="Z167" s="81"/>
    </row>
    <row r="168" spans="1:26" ht="12" customHeight="1">
      <c r="A168" s="79"/>
      <c r="B168" s="79"/>
      <c r="C168" s="81"/>
      <c r="D168" s="81"/>
      <c r="E168" s="81"/>
      <c r="F168" s="82"/>
      <c r="G168" s="83"/>
      <c r="H168" s="83"/>
      <c r="I168" s="81"/>
      <c r="J168" s="84"/>
      <c r="K168" s="84"/>
      <c r="L168" s="84"/>
      <c r="M168" s="81"/>
      <c r="N168" s="81"/>
      <c r="O168" s="81"/>
      <c r="P168" s="81"/>
      <c r="Q168" s="81"/>
      <c r="R168" s="81"/>
      <c r="S168" s="81"/>
      <c r="T168" s="81"/>
      <c r="U168" s="81"/>
      <c r="V168" s="81"/>
      <c r="W168" s="81"/>
      <c r="X168" s="81"/>
      <c r="Y168" s="81"/>
      <c r="Z168" s="81"/>
    </row>
    <row r="169" spans="1:26" ht="12" customHeight="1">
      <c r="A169" s="79"/>
      <c r="B169" s="79"/>
      <c r="C169" s="81"/>
      <c r="D169" s="81"/>
      <c r="E169" s="81"/>
      <c r="F169" s="82"/>
      <c r="G169" s="83"/>
      <c r="H169" s="83"/>
      <c r="I169" s="81"/>
      <c r="J169" s="84"/>
      <c r="K169" s="84"/>
      <c r="L169" s="84"/>
      <c r="M169" s="81"/>
      <c r="N169" s="81"/>
      <c r="O169" s="81"/>
      <c r="P169" s="81"/>
      <c r="Q169" s="81"/>
      <c r="R169" s="81"/>
      <c r="S169" s="81"/>
      <c r="T169" s="81"/>
      <c r="U169" s="81"/>
      <c r="V169" s="81"/>
      <c r="W169" s="81"/>
      <c r="X169" s="81"/>
      <c r="Y169" s="81"/>
      <c r="Z169" s="81"/>
    </row>
    <row r="170" spans="1:26" ht="12" customHeight="1">
      <c r="A170" s="79"/>
      <c r="B170" s="79"/>
      <c r="C170" s="81"/>
      <c r="D170" s="81"/>
      <c r="E170" s="81"/>
      <c r="F170" s="82"/>
      <c r="G170" s="83"/>
      <c r="H170" s="83"/>
      <c r="I170" s="81"/>
      <c r="J170" s="84"/>
      <c r="K170" s="84"/>
      <c r="L170" s="84"/>
      <c r="M170" s="81"/>
      <c r="N170" s="81"/>
      <c r="O170" s="81"/>
      <c r="P170" s="81"/>
      <c r="Q170" s="81"/>
      <c r="R170" s="81"/>
      <c r="S170" s="81"/>
      <c r="T170" s="81"/>
      <c r="U170" s="81"/>
      <c r="V170" s="81"/>
      <c r="W170" s="81"/>
      <c r="X170" s="81"/>
      <c r="Y170" s="81"/>
      <c r="Z170" s="81"/>
    </row>
    <row r="171" spans="1:26" ht="12" customHeight="1">
      <c r="A171" s="79"/>
      <c r="B171" s="79"/>
      <c r="C171" s="81"/>
      <c r="D171" s="81"/>
      <c r="E171" s="81"/>
      <c r="F171" s="82"/>
      <c r="G171" s="83"/>
      <c r="H171" s="83"/>
      <c r="I171" s="81"/>
      <c r="J171" s="84"/>
      <c r="K171" s="84"/>
      <c r="L171" s="84"/>
      <c r="M171" s="81"/>
      <c r="N171" s="81"/>
      <c r="O171" s="81"/>
      <c r="P171" s="81"/>
      <c r="Q171" s="81"/>
      <c r="R171" s="81"/>
      <c r="S171" s="81"/>
      <c r="T171" s="81"/>
      <c r="U171" s="81"/>
      <c r="V171" s="81"/>
      <c r="W171" s="81"/>
      <c r="X171" s="81"/>
      <c r="Y171" s="81"/>
      <c r="Z171" s="81"/>
    </row>
    <row r="172" spans="1:26" ht="12" customHeight="1">
      <c r="A172" s="79"/>
      <c r="B172" s="79"/>
      <c r="C172" s="81"/>
      <c r="D172" s="81"/>
      <c r="E172" s="81"/>
      <c r="F172" s="82"/>
      <c r="G172" s="83"/>
      <c r="H172" s="83"/>
      <c r="I172" s="81"/>
      <c r="J172" s="84"/>
      <c r="K172" s="84"/>
      <c r="L172" s="84"/>
      <c r="M172" s="81"/>
      <c r="N172" s="81"/>
      <c r="O172" s="81"/>
      <c r="P172" s="81"/>
      <c r="Q172" s="81"/>
      <c r="R172" s="81"/>
      <c r="S172" s="81"/>
      <c r="T172" s="81"/>
      <c r="U172" s="81"/>
      <c r="V172" s="81"/>
      <c r="W172" s="81"/>
      <c r="X172" s="81"/>
      <c r="Y172" s="81"/>
      <c r="Z172" s="81"/>
    </row>
    <row r="173" spans="1:26" ht="12" customHeight="1">
      <c r="A173" s="79"/>
      <c r="B173" s="79"/>
      <c r="C173" s="81"/>
      <c r="D173" s="81"/>
      <c r="E173" s="81"/>
      <c r="F173" s="82"/>
      <c r="G173" s="83"/>
      <c r="H173" s="83"/>
      <c r="I173" s="81"/>
      <c r="J173" s="84"/>
      <c r="K173" s="84"/>
      <c r="L173" s="84"/>
      <c r="M173" s="81"/>
      <c r="N173" s="81"/>
      <c r="O173" s="81"/>
      <c r="P173" s="81"/>
      <c r="Q173" s="81"/>
      <c r="R173" s="81"/>
      <c r="S173" s="81"/>
      <c r="T173" s="81"/>
      <c r="U173" s="81"/>
      <c r="V173" s="81"/>
      <c r="W173" s="81"/>
      <c r="X173" s="81"/>
      <c r="Y173" s="81"/>
      <c r="Z173" s="81"/>
    </row>
    <row r="174" spans="1:26" ht="12" customHeight="1">
      <c r="A174" s="79"/>
      <c r="B174" s="79"/>
      <c r="C174" s="81"/>
      <c r="D174" s="81"/>
      <c r="E174" s="81"/>
      <c r="F174" s="82"/>
      <c r="G174" s="83"/>
      <c r="H174" s="83"/>
      <c r="I174" s="81"/>
      <c r="J174" s="84"/>
      <c r="K174" s="84"/>
      <c r="L174" s="84"/>
      <c r="M174" s="81"/>
      <c r="N174" s="81"/>
      <c r="O174" s="81"/>
      <c r="P174" s="81"/>
      <c r="Q174" s="81"/>
      <c r="R174" s="81"/>
      <c r="S174" s="81"/>
      <c r="T174" s="81"/>
      <c r="U174" s="81"/>
      <c r="V174" s="81"/>
      <c r="W174" s="81"/>
      <c r="X174" s="81"/>
      <c r="Y174" s="81"/>
      <c r="Z174" s="81"/>
    </row>
    <row r="175" spans="1:26" ht="12" customHeight="1">
      <c r="A175" s="79"/>
      <c r="B175" s="79"/>
      <c r="C175" s="81"/>
      <c r="D175" s="81"/>
      <c r="E175" s="81"/>
      <c r="F175" s="82"/>
      <c r="G175" s="83"/>
      <c r="H175" s="83"/>
      <c r="I175" s="81"/>
      <c r="J175" s="84"/>
      <c r="K175" s="84"/>
      <c r="L175" s="84"/>
      <c r="M175" s="81"/>
      <c r="N175" s="81"/>
      <c r="O175" s="81"/>
      <c r="P175" s="81"/>
      <c r="Q175" s="81"/>
      <c r="R175" s="81"/>
      <c r="S175" s="81"/>
      <c r="T175" s="81"/>
      <c r="U175" s="81"/>
      <c r="V175" s="81"/>
      <c r="W175" s="81"/>
      <c r="X175" s="81"/>
      <c r="Y175" s="81"/>
      <c r="Z175" s="81"/>
    </row>
    <row r="176" spans="1:26" ht="12" customHeight="1">
      <c r="A176" s="79"/>
      <c r="B176" s="79"/>
      <c r="C176" s="81"/>
      <c r="D176" s="81"/>
      <c r="E176" s="81"/>
      <c r="F176" s="82"/>
      <c r="G176" s="83"/>
      <c r="H176" s="83"/>
      <c r="I176" s="81"/>
      <c r="J176" s="84"/>
      <c r="K176" s="84"/>
      <c r="L176" s="84"/>
      <c r="M176" s="81"/>
      <c r="N176" s="81"/>
      <c r="O176" s="81"/>
      <c r="P176" s="81"/>
      <c r="Q176" s="81"/>
      <c r="R176" s="81"/>
      <c r="S176" s="81"/>
      <c r="T176" s="81"/>
      <c r="U176" s="81"/>
      <c r="V176" s="81"/>
      <c r="W176" s="81"/>
      <c r="X176" s="81"/>
      <c r="Y176" s="81"/>
      <c r="Z176" s="81"/>
    </row>
    <row r="177" spans="1:26" ht="12" customHeight="1">
      <c r="A177" s="79"/>
      <c r="B177" s="79"/>
      <c r="C177" s="81"/>
      <c r="D177" s="81"/>
      <c r="E177" s="81"/>
      <c r="F177" s="82"/>
      <c r="G177" s="83"/>
      <c r="H177" s="83"/>
      <c r="I177" s="81"/>
      <c r="J177" s="84"/>
      <c r="K177" s="84"/>
      <c r="L177" s="84"/>
      <c r="M177" s="81"/>
      <c r="N177" s="81"/>
      <c r="O177" s="81"/>
      <c r="P177" s="81"/>
      <c r="Q177" s="81"/>
      <c r="R177" s="81"/>
      <c r="S177" s="81"/>
      <c r="T177" s="81"/>
      <c r="U177" s="81"/>
      <c r="V177" s="81"/>
      <c r="W177" s="81"/>
      <c r="X177" s="81"/>
      <c r="Y177" s="81"/>
      <c r="Z177" s="81"/>
    </row>
    <row r="178" spans="1:26" ht="12" customHeight="1">
      <c r="A178" s="79"/>
      <c r="B178" s="79"/>
      <c r="C178" s="81"/>
      <c r="D178" s="81"/>
      <c r="E178" s="81"/>
      <c r="F178" s="82"/>
      <c r="G178" s="83"/>
      <c r="H178" s="83"/>
      <c r="I178" s="81"/>
      <c r="J178" s="84"/>
      <c r="K178" s="84"/>
      <c r="L178" s="84"/>
      <c r="M178" s="81"/>
      <c r="N178" s="81"/>
      <c r="O178" s="81"/>
      <c r="P178" s="81"/>
      <c r="Q178" s="81"/>
      <c r="R178" s="81"/>
      <c r="S178" s="81"/>
      <c r="T178" s="81"/>
      <c r="U178" s="81"/>
      <c r="V178" s="81"/>
      <c r="W178" s="81"/>
      <c r="X178" s="81"/>
      <c r="Y178" s="81"/>
      <c r="Z178" s="81"/>
    </row>
    <row r="179" spans="1:26" ht="12" customHeight="1">
      <c r="A179" s="79"/>
      <c r="B179" s="79"/>
      <c r="C179" s="81"/>
      <c r="D179" s="81"/>
      <c r="E179" s="81"/>
      <c r="F179" s="82"/>
      <c r="G179" s="83"/>
      <c r="H179" s="83"/>
      <c r="I179" s="81"/>
      <c r="J179" s="84"/>
      <c r="K179" s="84"/>
      <c r="L179" s="84"/>
      <c r="M179" s="81"/>
      <c r="N179" s="81"/>
      <c r="O179" s="81"/>
      <c r="P179" s="81"/>
      <c r="Q179" s="81"/>
      <c r="R179" s="81"/>
      <c r="S179" s="81"/>
      <c r="T179" s="81"/>
      <c r="U179" s="81"/>
      <c r="V179" s="81"/>
      <c r="W179" s="81"/>
      <c r="X179" s="81"/>
      <c r="Y179" s="81"/>
      <c r="Z179" s="81"/>
    </row>
    <row r="180" spans="1:26" ht="12" customHeight="1">
      <c r="A180" s="79"/>
      <c r="B180" s="79"/>
      <c r="C180" s="81"/>
      <c r="D180" s="81"/>
      <c r="E180" s="81"/>
      <c r="F180" s="82"/>
      <c r="G180" s="83"/>
      <c r="H180" s="83"/>
      <c r="I180" s="81"/>
      <c r="J180" s="84"/>
      <c r="K180" s="84"/>
      <c r="L180" s="84"/>
      <c r="M180" s="81"/>
      <c r="N180" s="81"/>
      <c r="O180" s="81"/>
      <c r="P180" s="81"/>
      <c r="Q180" s="81"/>
      <c r="R180" s="81"/>
      <c r="S180" s="81"/>
      <c r="T180" s="81"/>
      <c r="U180" s="81"/>
      <c r="V180" s="81"/>
      <c r="W180" s="81"/>
      <c r="X180" s="81"/>
      <c r="Y180" s="81"/>
      <c r="Z180" s="81"/>
    </row>
    <row r="181" spans="1:26" ht="12" customHeight="1">
      <c r="A181" s="79"/>
      <c r="B181" s="79"/>
      <c r="C181" s="81"/>
      <c r="D181" s="81"/>
      <c r="E181" s="81"/>
      <c r="F181" s="82"/>
      <c r="G181" s="83"/>
      <c r="H181" s="83"/>
      <c r="I181" s="81"/>
      <c r="J181" s="84"/>
      <c r="K181" s="84"/>
      <c r="L181" s="84"/>
      <c r="M181" s="81"/>
      <c r="N181" s="81"/>
      <c r="O181" s="81"/>
      <c r="P181" s="81"/>
      <c r="Q181" s="81"/>
      <c r="R181" s="81"/>
      <c r="S181" s="81"/>
      <c r="T181" s="81"/>
      <c r="U181" s="81"/>
      <c r="V181" s="81"/>
      <c r="W181" s="81"/>
      <c r="X181" s="81"/>
      <c r="Y181" s="81"/>
      <c r="Z181" s="81"/>
    </row>
    <row r="182" spans="1:26" ht="12" customHeight="1">
      <c r="A182" s="79"/>
      <c r="B182" s="79"/>
      <c r="C182" s="81"/>
      <c r="D182" s="81"/>
      <c r="E182" s="81"/>
      <c r="F182" s="82"/>
      <c r="G182" s="83"/>
      <c r="H182" s="83"/>
      <c r="I182" s="81"/>
      <c r="J182" s="84"/>
      <c r="K182" s="84"/>
      <c r="L182" s="84"/>
      <c r="M182" s="81"/>
      <c r="N182" s="81"/>
      <c r="O182" s="81"/>
      <c r="P182" s="81"/>
      <c r="Q182" s="81"/>
      <c r="R182" s="81"/>
      <c r="S182" s="81"/>
      <c r="T182" s="81"/>
      <c r="U182" s="81"/>
      <c r="V182" s="81"/>
      <c r="W182" s="81"/>
      <c r="X182" s="81"/>
      <c r="Y182" s="81"/>
      <c r="Z182" s="81"/>
    </row>
    <row r="183" spans="1:26" ht="12" customHeight="1">
      <c r="A183" s="79"/>
      <c r="B183" s="79"/>
      <c r="C183" s="81"/>
      <c r="D183" s="81"/>
      <c r="E183" s="81"/>
      <c r="F183" s="82"/>
      <c r="G183" s="83"/>
      <c r="H183" s="83"/>
      <c r="I183" s="81"/>
      <c r="J183" s="84"/>
      <c r="K183" s="84"/>
      <c r="L183" s="84"/>
      <c r="M183" s="81"/>
      <c r="N183" s="81"/>
      <c r="O183" s="81"/>
      <c r="P183" s="81"/>
      <c r="Q183" s="81"/>
      <c r="R183" s="81"/>
      <c r="S183" s="81"/>
      <c r="T183" s="81"/>
      <c r="U183" s="81"/>
      <c r="V183" s="81"/>
      <c r="W183" s="81"/>
      <c r="X183" s="81"/>
      <c r="Y183" s="81"/>
      <c r="Z183" s="81"/>
    </row>
    <row r="184" spans="1:26" ht="12" customHeight="1">
      <c r="A184" s="79"/>
      <c r="B184" s="79"/>
      <c r="C184" s="81"/>
      <c r="D184" s="81"/>
      <c r="E184" s="81"/>
      <c r="F184" s="82"/>
      <c r="G184" s="83"/>
      <c r="H184" s="83"/>
      <c r="I184" s="81"/>
      <c r="J184" s="84"/>
      <c r="K184" s="84"/>
      <c r="L184" s="84"/>
      <c r="M184" s="81"/>
      <c r="N184" s="81"/>
      <c r="O184" s="81"/>
      <c r="P184" s="81"/>
      <c r="Q184" s="81"/>
      <c r="R184" s="81"/>
      <c r="S184" s="81"/>
      <c r="T184" s="81"/>
      <c r="U184" s="81"/>
      <c r="V184" s="81"/>
      <c r="W184" s="81"/>
      <c r="X184" s="81"/>
      <c r="Y184" s="81"/>
      <c r="Z184" s="81"/>
    </row>
    <row r="185" spans="1:26" ht="12" customHeight="1">
      <c r="A185" s="79"/>
      <c r="B185" s="79"/>
      <c r="C185" s="81"/>
      <c r="D185" s="81"/>
      <c r="E185" s="81"/>
      <c r="F185" s="82"/>
      <c r="G185" s="83"/>
      <c r="H185" s="83"/>
      <c r="I185" s="81"/>
      <c r="J185" s="84"/>
      <c r="K185" s="84"/>
      <c r="L185" s="84"/>
      <c r="M185" s="81"/>
      <c r="N185" s="81"/>
      <c r="O185" s="81"/>
      <c r="P185" s="81"/>
      <c r="Q185" s="81"/>
      <c r="R185" s="81"/>
      <c r="S185" s="81"/>
      <c r="T185" s="81"/>
      <c r="U185" s="81"/>
      <c r="V185" s="81"/>
      <c r="W185" s="81"/>
      <c r="X185" s="81"/>
      <c r="Y185" s="81"/>
      <c r="Z185" s="81"/>
    </row>
    <row r="186" spans="1:26" ht="12" customHeight="1">
      <c r="A186" s="79"/>
      <c r="B186" s="79"/>
      <c r="C186" s="81"/>
      <c r="D186" s="81"/>
      <c r="E186" s="81"/>
      <c r="F186" s="82"/>
      <c r="G186" s="83"/>
      <c r="H186" s="83"/>
      <c r="I186" s="81"/>
      <c r="J186" s="84"/>
      <c r="K186" s="84"/>
      <c r="L186" s="84"/>
      <c r="M186" s="81"/>
      <c r="N186" s="81"/>
      <c r="O186" s="81"/>
      <c r="P186" s="81"/>
      <c r="Q186" s="81"/>
      <c r="R186" s="81"/>
      <c r="S186" s="81"/>
      <c r="T186" s="81"/>
      <c r="U186" s="81"/>
      <c r="V186" s="81"/>
      <c r="W186" s="81"/>
      <c r="X186" s="81"/>
      <c r="Y186" s="81"/>
      <c r="Z186" s="81"/>
    </row>
    <row r="187" spans="1:26" ht="12" customHeight="1">
      <c r="A187" s="79"/>
      <c r="B187" s="79"/>
      <c r="C187" s="81"/>
      <c r="D187" s="81"/>
      <c r="E187" s="81"/>
      <c r="F187" s="82"/>
      <c r="G187" s="83"/>
      <c r="H187" s="83"/>
      <c r="I187" s="81"/>
      <c r="J187" s="84"/>
      <c r="K187" s="84"/>
      <c r="L187" s="84"/>
      <c r="M187" s="81"/>
      <c r="N187" s="81"/>
      <c r="O187" s="81"/>
      <c r="P187" s="81"/>
      <c r="Q187" s="81"/>
      <c r="R187" s="81"/>
      <c r="S187" s="81"/>
      <c r="T187" s="81"/>
      <c r="U187" s="81"/>
      <c r="V187" s="81"/>
      <c r="W187" s="81"/>
      <c r="X187" s="81"/>
      <c r="Y187" s="81"/>
      <c r="Z187" s="81"/>
    </row>
    <row r="188" spans="1:26" ht="12" customHeight="1">
      <c r="A188" s="79"/>
      <c r="B188" s="79"/>
      <c r="C188" s="81"/>
      <c r="D188" s="81"/>
      <c r="E188" s="81"/>
      <c r="F188" s="82"/>
      <c r="G188" s="83"/>
      <c r="H188" s="83"/>
      <c r="I188" s="81"/>
      <c r="J188" s="84"/>
      <c r="K188" s="84"/>
      <c r="L188" s="84"/>
      <c r="M188" s="81"/>
      <c r="N188" s="81"/>
      <c r="O188" s="81"/>
      <c r="P188" s="81"/>
      <c r="Q188" s="81"/>
      <c r="R188" s="81"/>
      <c r="S188" s="81"/>
      <c r="T188" s="81"/>
      <c r="U188" s="81"/>
      <c r="V188" s="81"/>
      <c r="W188" s="81"/>
      <c r="X188" s="81"/>
      <c r="Y188" s="81"/>
      <c r="Z188" s="81"/>
    </row>
    <row r="189" spans="1:26" ht="12" customHeight="1">
      <c r="A189" s="79"/>
      <c r="B189" s="79"/>
      <c r="C189" s="81"/>
      <c r="D189" s="81"/>
      <c r="E189" s="81"/>
      <c r="F189" s="82"/>
      <c r="G189" s="83"/>
      <c r="H189" s="83"/>
      <c r="I189" s="81"/>
      <c r="J189" s="84"/>
      <c r="K189" s="84"/>
      <c r="L189" s="84"/>
      <c r="M189" s="81"/>
      <c r="N189" s="81"/>
      <c r="O189" s="81"/>
      <c r="P189" s="81"/>
      <c r="Q189" s="81"/>
      <c r="R189" s="81"/>
      <c r="S189" s="81"/>
      <c r="T189" s="81"/>
      <c r="U189" s="81"/>
      <c r="V189" s="81"/>
      <c r="W189" s="81"/>
      <c r="X189" s="81"/>
      <c r="Y189" s="81"/>
      <c r="Z189" s="81"/>
    </row>
    <row r="190" spans="1:26" ht="12" customHeight="1">
      <c r="A190" s="79"/>
      <c r="B190" s="79"/>
      <c r="C190" s="81"/>
      <c r="D190" s="81"/>
      <c r="E190" s="81"/>
      <c r="F190" s="82"/>
      <c r="G190" s="83"/>
      <c r="H190" s="83"/>
      <c r="I190" s="81"/>
      <c r="J190" s="84"/>
      <c r="K190" s="84"/>
      <c r="L190" s="84"/>
      <c r="M190" s="81"/>
      <c r="N190" s="81"/>
      <c r="O190" s="81"/>
      <c r="P190" s="81"/>
      <c r="Q190" s="81"/>
      <c r="R190" s="81"/>
      <c r="S190" s="81"/>
      <c r="T190" s="81"/>
      <c r="U190" s="81"/>
      <c r="V190" s="81"/>
      <c r="W190" s="81"/>
      <c r="X190" s="81"/>
      <c r="Y190" s="81"/>
      <c r="Z190" s="81"/>
    </row>
    <row r="191" spans="1:26" ht="12" customHeight="1">
      <c r="A191" s="79"/>
      <c r="B191" s="79"/>
      <c r="C191" s="81"/>
      <c r="D191" s="81"/>
      <c r="E191" s="81"/>
      <c r="F191" s="82"/>
      <c r="G191" s="83"/>
      <c r="H191" s="83"/>
      <c r="I191" s="81"/>
      <c r="J191" s="84"/>
      <c r="K191" s="84"/>
      <c r="L191" s="84"/>
      <c r="M191" s="81"/>
      <c r="N191" s="81"/>
      <c r="O191" s="81"/>
      <c r="P191" s="81"/>
      <c r="Q191" s="81"/>
      <c r="R191" s="81"/>
      <c r="S191" s="81"/>
      <c r="T191" s="81"/>
      <c r="U191" s="81"/>
      <c r="V191" s="81"/>
      <c r="W191" s="81"/>
      <c r="X191" s="81"/>
      <c r="Y191" s="81"/>
      <c r="Z191" s="81"/>
    </row>
    <row r="192" spans="1:26" ht="12" customHeight="1">
      <c r="A192" s="79"/>
      <c r="B192" s="79"/>
      <c r="C192" s="81"/>
      <c r="D192" s="81"/>
      <c r="E192" s="81"/>
      <c r="F192" s="82"/>
      <c r="G192" s="83"/>
      <c r="H192" s="83"/>
      <c r="I192" s="81"/>
      <c r="J192" s="84"/>
      <c r="K192" s="84"/>
      <c r="L192" s="84"/>
      <c r="M192" s="81"/>
      <c r="N192" s="81"/>
      <c r="O192" s="81"/>
      <c r="P192" s="81"/>
      <c r="Q192" s="81"/>
      <c r="R192" s="81"/>
      <c r="S192" s="81"/>
      <c r="T192" s="81"/>
      <c r="U192" s="81"/>
      <c r="V192" s="81"/>
      <c r="W192" s="81"/>
      <c r="X192" s="81"/>
      <c r="Y192" s="81"/>
      <c r="Z192" s="81"/>
    </row>
    <row r="193" spans="1:26" ht="12" customHeight="1">
      <c r="A193" s="79"/>
      <c r="B193" s="79"/>
      <c r="C193" s="81"/>
      <c r="D193" s="81"/>
      <c r="E193" s="81"/>
      <c r="F193" s="82"/>
      <c r="G193" s="83"/>
      <c r="H193" s="83"/>
      <c r="I193" s="81"/>
      <c r="J193" s="84"/>
      <c r="K193" s="84"/>
      <c r="L193" s="84"/>
      <c r="M193" s="81"/>
      <c r="N193" s="81"/>
      <c r="O193" s="81"/>
      <c r="P193" s="81"/>
      <c r="Q193" s="81"/>
      <c r="R193" s="81"/>
      <c r="S193" s="81"/>
      <c r="T193" s="81"/>
      <c r="U193" s="81"/>
      <c r="V193" s="81"/>
      <c r="W193" s="81"/>
      <c r="X193" s="81"/>
      <c r="Y193" s="81"/>
      <c r="Z193" s="81"/>
    </row>
    <row r="194" spans="1:26" ht="12" customHeight="1">
      <c r="A194" s="79"/>
      <c r="B194" s="79"/>
      <c r="C194" s="81"/>
      <c r="D194" s="81"/>
      <c r="E194" s="81"/>
      <c r="F194" s="82"/>
      <c r="G194" s="83"/>
      <c r="H194" s="83"/>
      <c r="I194" s="81"/>
      <c r="J194" s="84"/>
      <c r="K194" s="84"/>
      <c r="L194" s="84"/>
      <c r="M194" s="81"/>
      <c r="N194" s="81"/>
      <c r="O194" s="81"/>
      <c r="P194" s="81"/>
      <c r="Q194" s="81"/>
      <c r="R194" s="81"/>
      <c r="S194" s="81"/>
      <c r="T194" s="81"/>
      <c r="U194" s="81"/>
      <c r="V194" s="81"/>
      <c r="W194" s="81"/>
      <c r="X194" s="81"/>
      <c r="Y194" s="81"/>
      <c r="Z194" s="81"/>
    </row>
    <row r="195" spans="1:26" ht="12" customHeight="1">
      <c r="A195" s="79"/>
      <c r="B195" s="79"/>
      <c r="C195" s="81"/>
      <c r="D195" s="81"/>
      <c r="E195" s="81"/>
      <c r="F195" s="82"/>
      <c r="G195" s="83"/>
      <c r="H195" s="83"/>
      <c r="I195" s="81"/>
      <c r="J195" s="84"/>
      <c r="K195" s="84"/>
      <c r="L195" s="84"/>
      <c r="M195" s="81"/>
      <c r="N195" s="81"/>
      <c r="O195" s="81"/>
      <c r="P195" s="81"/>
      <c r="Q195" s="81"/>
      <c r="R195" s="81"/>
      <c r="S195" s="81"/>
      <c r="T195" s="81"/>
      <c r="U195" s="81"/>
      <c r="V195" s="81"/>
      <c r="W195" s="81"/>
      <c r="X195" s="81"/>
      <c r="Y195" s="81"/>
      <c r="Z195" s="81"/>
    </row>
    <row r="196" spans="1:26" ht="12" customHeight="1">
      <c r="A196" s="79"/>
      <c r="B196" s="79"/>
      <c r="C196" s="81"/>
      <c r="D196" s="81"/>
      <c r="E196" s="81"/>
      <c r="F196" s="82"/>
      <c r="G196" s="83"/>
      <c r="H196" s="83"/>
      <c r="I196" s="81"/>
      <c r="J196" s="84"/>
      <c r="K196" s="84"/>
      <c r="L196" s="84"/>
      <c r="M196" s="81"/>
      <c r="N196" s="81"/>
      <c r="O196" s="81"/>
      <c r="P196" s="81"/>
      <c r="Q196" s="81"/>
      <c r="R196" s="81"/>
      <c r="S196" s="81"/>
      <c r="T196" s="81"/>
      <c r="U196" s="81"/>
      <c r="V196" s="81"/>
      <c r="W196" s="81"/>
      <c r="X196" s="81"/>
      <c r="Y196" s="81"/>
      <c r="Z196" s="81"/>
    </row>
    <row r="197" spans="1:26" ht="12" customHeight="1">
      <c r="A197" s="79"/>
      <c r="B197" s="79"/>
      <c r="C197" s="81"/>
      <c r="D197" s="81"/>
      <c r="E197" s="81"/>
      <c r="F197" s="82"/>
      <c r="G197" s="83"/>
      <c r="H197" s="83"/>
      <c r="I197" s="81"/>
      <c r="J197" s="84"/>
      <c r="K197" s="84"/>
      <c r="L197" s="84"/>
      <c r="M197" s="81"/>
      <c r="N197" s="81"/>
      <c r="O197" s="81"/>
      <c r="P197" s="81"/>
      <c r="Q197" s="81"/>
      <c r="R197" s="81"/>
      <c r="S197" s="81"/>
      <c r="T197" s="81"/>
      <c r="U197" s="81"/>
      <c r="V197" s="81"/>
      <c r="W197" s="81"/>
      <c r="X197" s="81"/>
      <c r="Y197" s="81"/>
      <c r="Z197" s="81"/>
    </row>
    <row r="198" spans="1:26" ht="12" customHeight="1">
      <c r="A198" s="79"/>
      <c r="B198" s="79"/>
      <c r="C198" s="81"/>
      <c r="D198" s="81"/>
      <c r="E198" s="81"/>
      <c r="F198" s="82"/>
      <c r="G198" s="83"/>
      <c r="H198" s="83"/>
      <c r="I198" s="81"/>
      <c r="J198" s="84"/>
      <c r="K198" s="84"/>
      <c r="L198" s="84"/>
      <c r="M198" s="81"/>
      <c r="N198" s="81"/>
      <c r="O198" s="81"/>
      <c r="P198" s="81"/>
      <c r="Q198" s="81"/>
      <c r="R198" s="81"/>
      <c r="S198" s="81"/>
      <c r="T198" s="81"/>
      <c r="U198" s="81"/>
      <c r="V198" s="81"/>
      <c r="W198" s="81"/>
      <c r="X198" s="81"/>
      <c r="Y198" s="81"/>
      <c r="Z198" s="81"/>
    </row>
    <row r="199" spans="1:26" ht="12" customHeight="1">
      <c r="A199" s="79"/>
      <c r="B199" s="79"/>
      <c r="C199" s="81"/>
      <c r="D199" s="81"/>
      <c r="E199" s="81"/>
      <c r="F199" s="82"/>
      <c r="G199" s="83"/>
      <c r="H199" s="83"/>
      <c r="I199" s="81"/>
      <c r="J199" s="84"/>
      <c r="K199" s="84"/>
      <c r="L199" s="84"/>
      <c r="M199" s="81"/>
      <c r="N199" s="81"/>
      <c r="O199" s="81"/>
      <c r="P199" s="81"/>
      <c r="Q199" s="81"/>
      <c r="R199" s="81"/>
      <c r="S199" s="81"/>
      <c r="T199" s="81"/>
      <c r="U199" s="81"/>
      <c r="V199" s="81"/>
      <c r="W199" s="81"/>
      <c r="X199" s="81"/>
      <c r="Y199" s="81"/>
      <c r="Z199" s="81"/>
    </row>
    <row r="200" spans="1:26" ht="12" customHeight="1">
      <c r="A200" s="79"/>
      <c r="B200" s="79"/>
      <c r="C200" s="81"/>
      <c r="D200" s="81"/>
      <c r="E200" s="81"/>
      <c r="F200" s="82"/>
      <c r="G200" s="83"/>
      <c r="H200" s="83"/>
      <c r="I200" s="81"/>
      <c r="J200" s="84"/>
      <c r="K200" s="84"/>
      <c r="L200" s="84"/>
      <c r="M200" s="81"/>
      <c r="N200" s="81"/>
      <c r="O200" s="81"/>
      <c r="P200" s="81"/>
      <c r="Q200" s="81"/>
      <c r="R200" s="81"/>
      <c r="S200" s="81"/>
      <c r="T200" s="81"/>
      <c r="U200" s="81"/>
      <c r="V200" s="81"/>
      <c r="W200" s="81"/>
      <c r="X200" s="81"/>
      <c r="Y200" s="81"/>
      <c r="Z200" s="81"/>
    </row>
    <row r="201" spans="1:26" ht="12" customHeight="1">
      <c r="A201" s="79"/>
      <c r="B201" s="79"/>
      <c r="C201" s="81"/>
      <c r="D201" s="81"/>
      <c r="E201" s="81"/>
      <c r="F201" s="82"/>
      <c r="G201" s="83"/>
      <c r="H201" s="83"/>
      <c r="I201" s="81"/>
      <c r="J201" s="84"/>
      <c r="K201" s="84"/>
      <c r="L201" s="84"/>
      <c r="M201" s="81"/>
      <c r="N201" s="81"/>
      <c r="O201" s="81"/>
      <c r="P201" s="81"/>
      <c r="Q201" s="81"/>
      <c r="R201" s="81"/>
      <c r="S201" s="81"/>
      <c r="T201" s="81"/>
      <c r="U201" s="81"/>
      <c r="V201" s="81"/>
      <c r="W201" s="81"/>
      <c r="X201" s="81"/>
      <c r="Y201" s="81"/>
      <c r="Z201" s="81"/>
    </row>
    <row r="202" spans="1:26" ht="12" customHeight="1">
      <c r="A202" s="79"/>
      <c r="B202" s="79"/>
      <c r="C202" s="81"/>
      <c r="D202" s="81"/>
      <c r="E202" s="81"/>
      <c r="F202" s="82"/>
      <c r="G202" s="83"/>
      <c r="H202" s="83"/>
      <c r="I202" s="81"/>
      <c r="J202" s="84"/>
      <c r="K202" s="84"/>
      <c r="L202" s="84"/>
      <c r="M202" s="81"/>
      <c r="N202" s="81"/>
      <c r="O202" s="81"/>
      <c r="P202" s="81"/>
      <c r="Q202" s="81"/>
      <c r="R202" s="81"/>
      <c r="S202" s="81"/>
      <c r="T202" s="81"/>
      <c r="U202" s="81"/>
      <c r="V202" s="81"/>
      <c r="W202" s="81"/>
      <c r="X202" s="81"/>
      <c r="Y202" s="81"/>
      <c r="Z202" s="81"/>
    </row>
    <row r="203" spans="1:26" ht="12" customHeight="1">
      <c r="A203" s="79"/>
      <c r="B203" s="79"/>
      <c r="C203" s="81"/>
      <c r="D203" s="81"/>
      <c r="E203" s="81"/>
      <c r="F203" s="82"/>
      <c r="G203" s="83"/>
      <c r="H203" s="83"/>
      <c r="I203" s="81"/>
      <c r="J203" s="84"/>
      <c r="K203" s="84"/>
      <c r="L203" s="84"/>
      <c r="M203" s="81"/>
      <c r="N203" s="81"/>
      <c r="O203" s="81"/>
      <c r="P203" s="81"/>
      <c r="Q203" s="81"/>
      <c r="R203" s="81"/>
      <c r="S203" s="81"/>
      <c r="T203" s="81"/>
      <c r="U203" s="81"/>
      <c r="V203" s="81"/>
      <c r="W203" s="81"/>
      <c r="X203" s="81"/>
      <c r="Y203" s="81"/>
      <c r="Z203" s="81"/>
    </row>
    <row r="204" spans="1:26" ht="12" customHeight="1">
      <c r="A204" s="79"/>
      <c r="B204" s="79"/>
      <c r="C204" s="81"/>
      <c r="D204" s="81"/>
      <c r="E204" s="81"/>
      <c r="F204" s="82"/>
      <c r="G204" s="83"/>
      <c r="H204" s="83"/>
      <c r="I204" s="81"/>
      <c r="J204" s="84"/>
      <c r="K204" s="84"/>
      <c r="L204" s="84"/>
      <c r="M204" s="81"/>
      <c r="N204" s="81"/>
      <c r="O204" s="81"/>
      <c r="P204" s="81"/>
      <c r="Q204" s="81"/>
      <c r="R204" s="81"/>
      <c r="S204" s="81"/>
      <c r="T204" s="81"/>
      <c r="U204" s="81"/>
      <c r="V204" s="81"/>
      <c r="W204" s="81"/>
      <c r="X204" s="81"/>
      <c r="Y204" s="81"/>
      <c r="Z204" s="81"/>
    </row>
    <row r="205" spans="1:26" ht="12" customHeight="1">
      <c r="A205" s="79"/>
      <c r="B205" s="79"/>
      <c r="C205" s="81"/>
      <c r="D205" s="81"/>
      <c r="E205" s="81"/>
      <c r="F205" s="82"/>
      <c r="G205" s="83"/>
      <c r="H205" s="83"/>
      <c r="I205" s="81"/>
      <c r="J205" s="84"/>
      <c r="K205" s="84"/>
      <c r="L205" s="84"/>
      <c r="M205" s="81"/>
      <c r="N205" s="81"/>
      <c r="O205" s="81"/>
      <c r="P205" s="81"/>
      <c r="Q205" s="81"/>
      <c r="R205" s="81"/>
      <c r="S205" s="81"/>
      <c r="T205" s="81"/>
      <c r="U205" s="81"/>
      <c r="V205" s="81"/>
      <c r="W205" s="81"/>
      <c r="X205" s="81"/>
      <c r="Y205" s="81"/>
      <c r="Z205" s="81"/>
    </row>
    <row r="206" spans="1:26" ht="12" customHeight="1">
      <c r="A206" s="79"/>
      <c r="B206" s="79"/>
      <c r="C206" s="81"/>
      <c r="D206" s="81"/>
      <c r="E206" s="81"/>
      <c r="F206" s="82"/>
      <c r="G206" s="83"/>
      <c r="H206" s="83"/>
      <c r="I206" s="81"/>
      <c r="J206" s="84"/>
      <c r="K206" s="84"/>
      <c r="L206" s="84"/>
      <c r="M206" s="81"/>
      <c r="N206" s="81"/>
      <c r="O206" s="81"/>
      <c r="P206" s="81"/>
      <c r="Q206" s="81"/>
      <c r="R206" s="81"/>
      <c r="S206" s="81"/>
      <c r="T206" s="81"/>
      <c r="U206" s="81"/>
      <c r="V206" s="81"/>
      <c r="W206" s="81"/>
      <c r="X206" s="81"/>
      <c r="Y206" s="81"/>
      <c r="Z206" s="81"/>
    </row>
    <row r="207" spans="1:26" ht="12" customHeight="1">
      <c r="A207" s="79"/>
      <c r="B207" s="79"/>
      <c r="C207" s="81"/>
      <c r="D207" s="81"/>
      <c r="E207" s="81"/>
      <c r="F207" s="82"/>
      <c r="G207" s="83"/>
      <c r="H207" s="83"/>
      <c r="I207" s="81"/>
      <c r="J207" s="84"/>
      <c r="K207" s="84"/>
      <c r="L207" s="84"/>
      <c r="M207" s="81"/>
      <c r="N207" s="81"/>
      <c r="O207" s="81"/>
      <c r="P207" s="81"/>
      <c r="Q207" s="81"/>
      <c r="R207" s="81"/>
      <c r="S207" s="81"/>
      <c r="T207" s="81"/>
      <c r="U207" s="81"/>
      <c r="V207" s="81"/>
      <c r="W207" s="81"/>
      <c r="X207" s="81"/>
      <c r="Y207" s="81"/>
      <c r="Z207" s="81"/>
    </row>
    <row r="208" spans="1:26" ht="12" customHeight="1">
      <c r="A208" s="79"/>
      <c r="B208" s="79"/>
      <c r="C208" s="81"/>
      <c r="D208" s="81"/>
      <c r="E208" s="81"/>
      <c r="F208" s="82"/>
      <c r="G208" s="83"/>
      <c r="H208" s="83"/>
      <c r="I208" s="81"/>
      <c r="J208" s="84"/>
      <c r="K208" s="84"/>
      <c r="L208" s="84"/>
      <c r="M208" s="81"/>
      <c r="N208" s="81"/>
      <c r="O208" s="81"/>
      <c r="P208" s="81"/>
      <c r="Q208" s="81"/>
      <c r="R208" s="81"/>
      <c r="S208" s="81"/>
      <c r="T208" s="81"/>
      <c r="U208" s="81"/>
      <c r="V208" s="81"/>
      <c r="W208" s="81"/>
      <c r="X208" s="81"/>
      <c r="Y208" s="81"/>
      <c r="Z208" s="81"/>
    </row>
    <row r="209" spans="1:26" ht="12" customHeight="1">
      <c r="A209" s="79"/>
      <c r="B209" s="79"/>
      <c r="C209" s="81"/>
      <c r="D209" s="81"/>
      <c r="E209" s="81"/>
      <c r="F209" s="82"/>
      <c r="G209" s="83"/>
      <c r="H209" s="83"/>
      <c r="I209" s="81"/>
      <c r="J209" s="84"/>
      <c r="K209" s="84"/>
      <c r="L209" s="84"/>
      <c r="M209" s="81"/>
      <c r="N209" s="81"/>
      <c r="O209" s="81"/>
      <c r="P209" s="81"/>
      <c r="Q209" s="81"/>
      <c r="R209" s="81"/>
      <c r="S209" s="81"/>
      <c r="T209" s="81"/>
      <c r="U209" s="81"/>
      <c r="V209" s="81"/>
      <c r="W209" s="81"/>
      <c r="X209" s="81"/>
      <c r="Y209" s="81"/>
      <c r="Z209" s="81"/>
    </row>
    <row r="210" spans="1:26" ht="12" customHeight="1">
      <c r="A210" s="79"/>
      <c r="B210" s="79"/>
      <c r="C210" s="81"/>
      <c r="D210" s="81"/>
      <c r="E210" s="81"/>
      <c r="F210" s="82"/>
      <c r="G210" s="83"/>
      <c r="H210" s="83"/>
      <c r="I210" s="81"/>
      <c r="J210" s="84"/>
      <c r="K210" s="84"/>
      <c r="L210" s="84"/>
      <c r="M210" s="81"/>
      <c r="N210" s="81"/>
      <c r="O210" s="81"/>
      <c r="P210" s="81"/>
      <c r="Q210" s="81"/>
      <c r="R210" s="81"/>
      <c r="S210" s="81"/>
      <c r="T210" s="81"/>
      <c r="U210" s="81"/>
      <c r="V210" s="81"/>
      <c r="W210" s="81"/>
      <c r="X210" s="81"/>
      <c r="Y210" s="81"/>
      <c r="Z210" s="81"/>
    </row>
    <row r="211" spans="1:26" ht="12" customHeight="1">
      <c r="A211" s="79"/>
      <c r="B211" s="79"/>
      <c r="C211" s="81"/>
      <c r="D211" s="81"/>
      <c r="E211" s="81"/>
      <c r="F211" s="82"/>
      <c r="G211" s="83"/>
      <c r="H211" s="83"/>
      <c r="I211" s="81"/>
      <c r="J211" s="84"/>
      <c r="K211" s="84"/>
      <c r="L211" s="84"/>
      <c r="M211" s="81"/>
      <c r="N211" s="81"/>
      <c r="O211" s="81"/>
      <c r="P211" s="81"/>
      <c r="Q211" s="81"/>
      <c r="R211" s="81"/>
      <c r="S211" s="81"/>
      <c r="T211" s="81"/>
      <c r="U211" s="81"/>
      <c r="V211" s="81"/>
      <c r="W211" s="81"/>
      <c r="X211" s="81"/>
      <c r="Y211" s="81"/>
      <c r="Z211" s="81"/>
    </row>
    <row r="212" spans="1:26" ht="12" customHeight="1">
      <c r="A212" s="79"/>
      <c r="B212" s="79"/>
      <c r="C212" s="81"/>
      <c r="D212" s="81"/>
      <c r="E212" s="81"/>
      <c r="F212" s="82"/>
      <c r="G212" s="83"/>
      <c r="H212" s="83"/>
      <c r="I212" s="81"/>
      <c r="J212" s="84"/>
      <c r="K212" s="84"/>
      <c r="L212" s="84"/>
      <c r="M212" s="81"/>
      <c r="N212" s="81"/>
      <c r="O212" s="81"/>
      <c r="P212" s="81"/>
      <c r="Q212" s="81"/>
      <c r="R212" s="81"/>
      <c r="S212" s="81"/>
      <c r="T212" s="81"/>
      <c r="U212" s="81"/>
      <c r="V212" s="81"/>
      <c r="W212" s="81"/>
      <c r="X212" s="81"/>
      <c r="Y212" s="81"/>
      <c r="Z212" s="81"/>
    </row>
    <row r="213" spans="1:26" ht="12" customHeight="1">
      <c r="A213" s="79"/>
      <c r="B213" s="79"/>
      <c r="C213" s="81"/>
      <c r="D213" s="81"/>
      <c r="E213" s="81"/>
      <c r="F213" s="82"/>
      <c r="G213" s="83"/>
      <c r="H213" s="83"/>
      <c r="I213" s="81"/>
      <c r="J213" s="84"/>
      <c r="K213" s="84"/>
      <c r="L213" s="84"/>
      <c r="M213" s="81"/>
      <c r="N213" s="81"/>
      <c r="O213" s="81"/>
      <c r="P213" s="81"/>
      <c r="Q213" s="81"/>
      <c r="R213" s="81"/>
      <c r="S213" s="81"/>
      <c r="T213" s="81"/>
      <c r="U213" s="81"/>
      <c r="V213" s="81"/>
      <c r="W213" s="81"/>
      <c r="X213" s="81"/>
      <c r="Y213" s="81"/>
      <c r="Z213" s="81"/>
    </row>
    <row r="214" spans="1:26" ht="12" customHeight="1">
      <c r="A214" s="79"/>
      <c r="B214" s="79"/>
      <c r="C214" s="81"/>
      <c r="D214" s="81"/>
      <c r="E214" s="81"/>
      <c r="F214" s="82"/>
      <c r="G214" s="83"/>
      <c r="H214" s="83"/>
      <c r="I214" s="81"/>
      <c r="J214" s="84"/>
      <c r="K214" s="84"/>
      <c r="L214" s="84"/>
      <c r="M214" s="81"/>
      <c r="N214" s="81"/>
      <c r="O214" s="81"/>
      <c r="P214" s="81"/>
      <c r="Q214" s="81"/>
      <c r="R214" s="81"/>
      <c r="S214" s="81"/>
      <c r="T214" s="81"/>
      <c r="U214" s="81"/>
      <c r="V214" s="81"/>
      <c r="W214" s="81"/>
      <c r="X214" s="81"/>
      <c r="Y214" s="81"/>
      <c r="Z214" s="81"/>
    </row>
    <row r="215" spans="1:26" ht="12" customHeight="1">
      <c r="A215" s="79"/>
      <c r="B215" s="79"/>
      <c r="C215" s="81"/>
      <c r="D215" s="81"/>
      <c r="E215" s="81"/>
      <c r="F215" s="82"/>
      <c r="G215" s="83"/>
      <c r="H215" s="83"/>
      <c r="I215" s="81"/>
      <c r="J215" s="84"/>
      <c r="K215" s="84"/>
      <c r="L215" s="84"/>
      <c r="M215" s="81"/>
      <c r="N215" s="81"/>
      <c r="O215" s="81"/>
      <c r="P215" s="81"/>
      <c r="Q215" s="81"/>
      <c r="R215" s="81"/>
      <c r="S215" s="81"/>
      <c r="T215" s="81"/>
      <c r="U215" s="81"/>
      <c r="V215" s="81"/>
      <c r="W215" s="81"/>
      <c r="X215" s="81"/>
      <c r="Y215" s="81"/>
      <c r="Z215" s="81"/>
    </row>
    <row r="216" spans="1:26" ht="12" customHeight="1">
      <c r="A216" s="79"/>
      <c r="B216" s="79"/>
      <c r="C216" s="81"/>
      <c r="D216" s="81"/>
      <c r="E216" s="81"/>
      <c r="F216" s="82"/>
      <c r="G216" s="83"/>
      <c r="H216" s="83"/>
      <c r="I216" s="81"/>
      <c r="J216" s="84"/>
      <c r="K216" s="84"/>
      <c r="L216" s="84"/>
      <c r="M216" s="81"/>
      <c r="N216" s="81"/>
      <c r="O216" s="81"/>
      <c r="P216" s="81"/>
      <c r="Q216" s="81"/>
      <c r="R216" s="81"/>
      <c r="S216" s="81"/>
      <c r="T216" s="81"/>
      <c r="U216" s="81"/>
      <c r="V216" s="81"/>
      <c r="W216" s="81"/>
      <c r="X216" s="81"/>
      <c r="Y216" s="81"/>
      <c r="Z216" s="81"/>
    </row>
    <row r="217" spans="1:26" ht="12" customHeight="1">
      <c r="A217" s="79"/>
      <c r="B217" s="79"/>
      <c r="C217" s="81"/>
      <c r="D217" s="81"/>
      <c r="E217" s="81"/>
      <c r="F217" s="82"/>
      <c r="G217" s="83"/>
      <c r="H217" s="83"/>
      <c r="I217" s="81"/>
      <c r="J217" s="84"/>
      <c r="K217" s="84"/>
      <c r="L217" s="84"/>
      <c r="M217" s="81"/>
      <c r="N217" s="81"/>
      <c r="O217" s="81"/>
      <c r="P217" s="81"/>
      <c r="Q217" s="81"/>
      <c r="R217" s="81"/>
      <c r="S217" s="81"/>
      <c r="T217" s="81"/>
      <c r="U217" s="81"/>
      <c r="V217" s="81"/>
      <c r="W217" s="81"/>
      <c r="X217" s="81"/>
      <c r="Y217" s="81"/>
      <c r="Z217" s="81"/>
    </row>
    <row r="218" spans="1:26" ht="12" customHeight="1">
      <c r="A218" s="79"/>
      <c r="B218" s="79"/>
      <c r="C218" s="81"/>
      <c r="D218" s="81"/>
      <c r="E218" s="81"/>
      <c r="F218" s="82"/>
      <c r="G218" s="83"/>
      <c r="H218" s="83"/>
      <c r="I218" s="81"/>
      <c r="J218" s="84"/>
      <c r="K218" s="84"/>
      <c r="L218" s="84"/>
      <c r="M218" s="81"/>
      <c r="N218" s="81"/>
      <c r="O218" s="81"/>
      <c r="P218" s="81"/>
      <c r="Q218" s="81"/>
      <c r="R218" s="81"/>
      <c r="S218" s="81"/>
      <c r="T218" s="81"/>
      <c r="U218" s="81"/>
      <c r="V218" s="81"/>
      <c r="W218" s="81"/>
      <c r="X218" s="81"/>
      <c r="Y218" s="81"/>
      <c r="Z218" s="81"/>
    </row>
    <row r="219" spans="1:26" ht="12" customHeight="1">
      <c r="A219" s="79"/>
      <c r="B219" s="79"/>
      <c r="C219" s="81"/>
      <c r="D219" s="81"/>
      <c r="E219" s="81"/>
      <c r="F219" s="82"/>
      <c r="G219" s="83"/>
      <c r="H219" s="83"/>
      <c r="I219" s="81"/>
      <c r="J219" s="84"/>
      <c r="K219" s="84"/>
      <c r="L219" s="84"/>
      <c r="M219" s="81"/>
      <c r="N219" s="81"/>
      <c r="O219" s="81"/>
      <c r="P219" s="81"/>
      <c r="Q219" s="81"/>
      <c r="R219" s="81"/>
      <c r="S219" s="81"/>
      <c r="T219" s="81"/>
      <c r="U219" s="81"/>
      <c r="V219" s="81"/>
      <c r="W219" s="81"/>
      <c r="X219" s="81"/>
      <c r="Y219" s="81"/>
      <c r="Z219" s="81"/>
    </row>
    <row r="220" spans="1:26" ht="12" customHeight="1">
      <c r="A220" s="79"/>
      <c r="B220" s="79"/>
      <c r="C220" s="81"/>
      <c r="D220" s="81"/>
      <c r="E220" s="81"/>
      <c r="F220" s="82"/>
      <c r="G220" s="83"/>
      <c r="H220" s="83"/>
      <c r="I220" s="81"/>
      <c r="J220" s="84"/>
      <c r="K220" s="84"/>
      <c r="L220" s="84"/>
      <c r="M220" s="81"/>
      <c r="N220" s="81"/>
      <c r="O220" s="81"/>
      <c r="P220" s="81"/>
      <c r="Q220" s="81"/>
      <c r="R220" s="81"/>
      <c r="S220" s="81"/>
      <c r="T220" s="81"/>
      <c r="U220" s="81"/>
      <c r="V220" s="81"/>
      <c r="W220" s="81"/>
      <c r="X220" s="81"/>
      <c r="Y220" s="81"/>
      <c r="Z220" s="81"/>
    </row>
    <row r="221" spans="1:26" ht="12" customHeight="1">
      <c r="A221" s="79"/>
      <c r="B221" s="79"/>
      <c r="C221" s="81"/>
      <c r="D221" s="81"/>
      <c r="E221" s="81"/>
      <c r="F221" s="82"/>
      <c r="G221" s="83"/>
      <c r="H221" s="83"/>
      <c r="I221" s="81"/>
      <c r="J221" s="84"/>
      <c r="K221" s="84"/>
      <c r="L221" s="84"/>
      <c r="M221" s="81"/>
      <c r="N221" s="81"/>
      <c r="O221" s="81"/>
      <c r="P221" s="81"/>
      <c r="Q221" s="81"/>
      <c r="R221" s="81"/>
      <c r="S221" s="81"/>
      <c r="T221" s="81"/>
      <c r="U221" s="81"/>
      <c r="V221" s="81"/>
      <c r="W221" s="81"/>
      <c r="X221" s="81"/>
      <c r="Y221" s="81"/>
      <c r="Z221" s="81"/>
    </row>
    <row r="222" spans="1:26" ht="12" customHeight="1">
      <c r="A222" s="79"/>
      <c r="B222" s="79"/>
      <c r="C222" s="81"/>
      <c r="D222" s="81"/>
      <c r="E222" s="81"/>
      <c r="F222" s="82"/>
      <c r="G222" s="83"/>
      <c r="H222" s="83"/>
      <c r="I222" s="81"/>
      <c r="J222" s="84"/>
      <c r="K222" s="84"/>
      <c r="L222" s="84"/>
      <c r="M222" s="81"/>
      <c r="N222" s="81"/>
      <c r="O222" s="81"/>
      <c r="P222" s="81"/>
      <c r="Q222" s="81"/>
      <c r="R222" s="81"/>
      <c r="S222" s="81"/>
      <c r="T222" s="81"/>
      <c r="U222" s="81"/>
      <c r="V222" s="81"/>
      <c r="W222" s="81"/>
      <c r="X222" s="81"/>
      <c r="Y222" s="81"/>
      <c r="Z222" s="81"/>
    </row>
    <row r="223" spans="1:26" ht="12" customHeight="1">
      <c r="A223" s="79"/>
      <c r="B223" s="79"/>
      <c r="C223" s="81"/>
      <c r="D223" s="81"/>
      <c r="E223" s="81"/>
      <c r="F223" s="82"/>
      <c r="G223" s="83"/>
      <c r="H223" s="83"/>
      <c r="I223" s="81"/>
      <c r="J223" s="84"/>
      <c r="K223" s="84"/>
      <c r="L223" s="84"/>
      <c r="M223" s="81"/>
      <c r="N223" s="81"/>
      <c r="O223" s="81"/>
      <c r="P223" s="81"/>
      <c r="Q223" s="81"/>
      <c r="R223" s="81"/>
      <c r="S223" s="81"/>
      <c r="T223" s="81"/>
      <c r="U223" s="81"/>
      <c r="V223" s="81"/>
      <c r="W223" s="81"/>
      <c r="X223" s="81"/>
      <c r="Y223" s="81"/>
      <c r="Z223" s="81"/>
    </row>
    <row r="224" spans="1:26" ht="12" customHeight="1">
      <c r="A224" s="79"/>
      <c r="B224" s="79"/>
      <c r="C224" s="81"/>
      <c r="D224" s="81"/>
      <c r="E224" s="81"/>
      <c r="F224" s="82"/>
      <c r="G224" s="83"/>
      <c r="H224" s="83"/>
      <c r="I224" s="81"/>
      <c r="J224" s="84"/>
      <c r="K224" s="84"/>
      <c r="L224" s="84"/>
      <c r="M224" s="81"/>
      <c r="N224" s="81"/>
      <c r="O224" s="81"/>
      <c r="P224" s="81"/>
      <c r="Q224" s="81"/>
      <c r="R224" s="81"/>
      <c r="S224" s="81"/>
      <c r="T224" s="81"/>
      <c r="U224" s="81"/>
      <c r="V224" s="81"/>
      <c r="W224" s="81"/>
      <c r="X224" s="81"/>
      <c r="Y224" s="81"/>
      <c r="Z224" s="81"/>
    </row>
    <row r="225" spans="1:26" ht="12" customHeight="1">
      <c r="A225" s="79"/>
      <c r="B225" s="79"/>
      <c r="C225" s="81"/>
      <c r="D225" s="81"/>
      <c r="E225" s="81"/>
      <c r="F225" s="82"/>
      <c r="G225" s="83"/>
      <c r="H225" s="83"/>
      <c r="I225" s="81"/>
      <c r="J225" s="84"/>
      <c r="K225" s="84"/>
      <c r="L225" s="84"/>
      <c r="M225" s="81"/>
      <c r="N225" s="81"/>
      <c r="O225" s="81"/>
      <c r="P225" s="81"/>
      <c r="Q225" s="81"/>
      <c r="R225" s="81"/>
      <c r="S225" s="81"/>
      <c r="T225" s="81"/>
      <c r="U225" s="81"/>
      <c r="V225" s="81"/>
      <c r="W225" s="81"/>
      <c r="X225" s="81"/>
      <c r="Y225" s="81"/>
      <c r="Z225" s="81"/>
    </row>
    <row r="226" spans="1:26" ht="12" customHeight="1">
      <c r="A226" s="79"/>
      <c r="B226" s="79"/>
      <c r="C226" s="81"/>
      <c r="D226" s="81"/>
      <c r="E226" s="81"/>
      <c r="F226" s="82"/>
      <c r="G226" s="83"/>
      <c r="H226" s="83"/>
      <c r="I226" s="81"/>
      <c r="J226" s="84"/>
      <c r="K226" s="84"/>
      <c r="L226" s="84"/>
      <c r="M226" s="81"/>
      <c r="N226" s="81"/>
      <c r="O226" s="81"/>
      <c r="P226" s="81"/>
      <c r="Q226" s="81"/>
      <c r="R226" s="81"/>
      <c r="S226" s="81"/>
      <c r="T226" s="81"/>
      <c r="U226" s="81"/>
      <c r="V226" s="81"/>
      <c r="W226" s="81"/>
      <c r="X226" s="81"/>
      <c r="Y226" s="81"/>
      <c r="Z226" s="81"/>
    </row>
    <row r="227" spans="1:26" ht="12" customHeight="1">
      <c r="A227" s="79"/>
      <c r="B227" s="79"/>
      <c r="C227" s="81"/>
      <c r="D227" s="81"/>
      <c r="E227" s="81"/>
      <c r="F227" s="82"/>
      <c r="G227" s="83"/>
      <c r="H227" s="83"/>
      <c r="I227" s="81"/>
      <c r="J227" s="84"/>
      <c r="K227" s="84"/>
      <c r="L227" s="84"/>
      <c r="M227" s="81"/>
      <c r="N227" s="81"/>
      <c r="O227" s="81"/>
      <c r="P227" s="81"/>
      <c r="Q227" s="81"/>
      <c r="R227" s="81"/>
      <c r="S227" s="81"/>
      <c r="T227" s="81"/>
      <c r="U227" s="81"/>
      <c r="V227" s="81"/>
      <c r="W227" s="81"/>
      <c r="X227" s="81"/>
      <c r="Y227" s="81"/>
      <c r="Z227" s="81"/>
    </row>
    <row r="228" spans="1:26" ht="12" customHeight="1">
      <c r="A228" s="79"/>
      <c r="B228" s="79"/>
      <c r="C228" s="81"/>
      <c r="D228" s="81"/>
      <c r="E228" s="81"/>
      <c r="F228" s="82"/>
      <c r="G228" s="83"/>
      <c r="H228" s="83"/>
      <c r="I228" s="81"/>
      <c r="J228" s="84"/>
      <c r="K228" s="84"/>
      <c r="L228" s="84"/>
      <c r="M228" s="81"/>
      <c r="N228" s="81"/>
      <c r="O228" s="81"/>
      <c r="P228" s="81"/>
      <c r="Q228" s="81"/>
      <c r="R228" s="81"/>
      <c r="S228" s="81"/>
      <c r="T228" s="81"/>
      <c r="U228" s="81"/>
      <c r="V228" s="81"/>
      <c r="W228" s="81"/>
      <c r="X228" s="81"/>
      <c r="Y228" s="81"/>
      <c r="Z228" s="81"/>
    </row>
    <row r="229" spans="1:26" ht="12" customHeight="1">
      <c r="A229" s="79"/>
      <c r="B229" s="79"/>
      <c r="C229" s="81"/>
      <c r="D229" s="81"/>
      <c r="E229" s="81"/>
      <c r="F229" s="82"/>
      <c r="G229" s="83"/>
      <c r="H229" s="83"/>
      <c r="I229" s="81"/>
      <c r="J229" s="84"/>
      <c r="K229" s="84"/>
      <c r="L229" s="84"/>
      <c r="M229" s="81"/>
      <c r="N229" s="81"/>
      <c r="O229" s="81"/>
      <c r="P229" s="81"/>
      <c r="Q229" s="81"/>
      <c r="R229" s="81"/>
      <c r="S229" s="81"/>
      <c r="T229" s="81"/>
      <c r="U229" s="81"/>
      <c r="V229" s="81"/>
      <c r="W229" s="81"/>
      <c r="X229" s="81"/>
      <c r="Y229" s="81"/>
      <c r="Z229" s="81"/>
    </row>
    <row r="230" spans="1:26" ht="12" customHeight="1">
      <c r="A230" s="79"/>
      <c r="B230" s="79"/>
      <c r="C230" s="81"/>
      <c r="D230" s="81"/>
      <c r="E230" s="81"/>
      <c r="F230" s="82"/>
      <c r="G230" s="83"/>
      <c r="H230" s="83"/>
      <c r="I230" s="81"/>
      <c r="J230" s="84"/>
      <c r="K230" s="84"/>
      <c r="L230" s="84"/>
      <c r="M230" s="81"/>
      <c r="N230" s="81"/>
      <c r="O230" s="81"/>
      <c r="P230" s="81"/>
      <c r="Q230" s="81"/>
      <c r="R230" s="81"/>
      <c r="S230" s="81"/>
      <c r="T230" s="81"/>
      <c r="U230" s="81"/>
      <c r="V230" s="81"/>
      <c r="W230" s="81"/>
      <c r="X230" s="81"/>
      <c r="Y230" s="81"/>
      <c r="Z230" s="81"/>
    </row>
    <row r="231" spans="1:26" ht="12" customHeight="1">
      <c r="A231" s="79"/>
      <c r="B231" s="79"/>
      <c r="C231" s="81"/>
      <c r="D231" s="81"/>
      <c r="E231" s="81"/>
      <c r="F231" s="82"/>
      <c r="G231" s="83"/>
      <c r="H231" s="83"/>
      <c r="I231" s="81"/>
      <c r="J231" s="84"/>
      <c r="K231" s="84"/>
      <c r="L231" s="84"/>
      <c r="M231" s="81"/>
      <c r="N231" s="81"/>
      <c r="O231" s="81"/>
      <c r="P231" s="81"/>
      <c r="Q231" s="81"/>
      <c r="R231" s="81"/>
      <c r="S231" s="81"/>
      <c r="T231" s="81"/>
      <c r="U231" s="81"/>
      <c r="V231" s="81"/>
      <c r="W231" s="81"/>
      <c r="X231" s="81"/>
      <c r="Y231" s="81"/>
      <c r="Z231" s="81"/>
    </row>
    <row r="232" spans="1:26" ht="12" customHeight="1">
      <c r="A232" s="79"/>
      <c r="B232" s="79"/>
      <c r="C232" s="81"/>
      <c r="D232" s="81"/>
      <c r="E232" s="81"/>
      <c r="F232" s="82"/>
      <c r="G232" s="83"/>
      <c r="H232" s="83"/>
      <c r="I232" s="81"/>
      <c r="J232" s="84"/>
      <c r="K232" s="84"/>
      <c r="L232" s="84"/>
      <c r="M232" s="81"/>
      <c r="N232" s="81"/>
      <c r="O232" s="81"/>
      <c r="P232" s="81"/>
      <c r="Q232" s="81"/>
      <c r="R232" s="81"/>
      <c r="S232" s="81"/>
      <c r="T232" s="81"/>
      <c r="U232" s="81"/>
      <c r="V232" s="81"/>
      <c r="W232" s="81"/>
      <c r="X232" s="81"/>
      <c r="Y232" s="81"/>
      <c r="Z232" s="81"/>
    </row>
    <row r="233" spans="1:26" ht="12" customHeight="1">
      <c r="A233" s="79"/>
      <c r="B233" s="79"/>
      <c r="C233" s="81"/>
      <c r="D233" s="81"/>
      <c r="E233" s="81"/>
      <c r="F233" s="82"/>
      <c r="G233" s="83"/>
      <c r="H233" s="83"/>
      <c r="I233" s="81"/>
      <c r="J233" s="84"/>
      <c r="K233" s="84"/>
      <c r="L233" s="84"/>
      <c r="M233" s="81"/>
      <c r="N233" s="81"/>
      <c r="O233" s="81"/>
      <c r="P233" s="81"/>
      <c r="Q233" s="81"/>
      <c r="R233" s="81"/>
      <c r="S233" s="81"/>
      <c r="T233" s="81"/>
      <c r="U233" s="81"/>
      <c r="V233" s="81"/>
      <c r="W233" s="81"/>
      <c r="X233" s="81"/>
      <c r="Y233" s="81"/>
      <c r="Z233" s="81"/>
    </row>
    <row r="234" spans="1:26" ht="12" customHeight="1">
      <c r="A234" s="79"/>
      <c r="B234" s="79"/>
      <c r="C234" s="81"/>
      <c r="D234" s="81"/>
      <c r="E234" s="81"/>
      <c r="F234" s="82"/>
      <c r="G234" s="83"/>
      <c r="H234" s="83"/>
      <c r="I234" s="81"/>
      <c r="J234" s="84"/>
      <c r="K234" s="84"/>
      <c r="L234" s="84"/>
      <c r="M234" s="81"/>
      <c r="N234" s="81"/>
      <c r="O234" s="81"/>
      <c r="P234" s="81"/>
      <c r="Q234" s="81"/>
      <c r="R234" s="81"/>
      <c r="S234" s="81"/>
      <c r="T234" s="81"/>
      <c r="U234" s="81"/>
      <c r="V234" s="81"/>
      <c r="W234" s="81"/>
      <c r="X234" s="81"/>
      <c r="Y234" s="81"/>
      <c r="Z234" s="81"/>
    </row>
    <row r="235" spans="1:26" ht="12" customHeight="1">
      <c r="A235" s="79"/>
      <c r="B235" s="79"/>
      <c r="C235" s="81"/>
      <c r="D235" s="81"/>
      <c r="E235" s="81"/>
      <c r="F235" s="82"/>
      <c r="G235" s="83"/>
      <c r="H235" s="83"/>
      <c r="I235" s="81"/>
      <c r="J235" s="84"/>
      <c r="K235" s="84"/>
      <c r="L235" s="84"/>
      <c r="M235" s="81"/>
      <c r="N235" s="81"/>
      <c r="O235" s="81"/>
      <c r="P235" s="81"/>
      <c r="Q235" s="81"/>
      <c r="R235" s="81"/>
      <c r="S235" s="81"/>
      <c r="T235" s="81"/>
      <c r="U235" s="81"/>
      <c r="V235" s="81"/>
      <c r="W235" s="81"/>
      <c r="X235" s="81"/>
      <c r="Y235" s="81"/>
      <c r="Z235" s="81"/>
    </row>
    <row r="236" spans="1:26" ht="12" customHeight="1">
      <c r="A236" s="79"/>
      <c r="B236" s="79"/>
      <c r="C236" s="81"/>
      <c r="D236" s="81"/>
      <c r="E236" s="81"/>
      <c r="F236" s="82"/>
      <c r="G236" s="83"/>
      <c r="H236" s="83"/>
      <c r="I236" s="81"/>
      <c r="J236" s="84"/>
      <c r="K236" s="84"/>
      <c r="L236" s="84"/>
      <c r="M236" s="81"/>
      <c r="N236" s="81"/>
      <c r="O236" s="81"/>
      <c r="P236" s="81"/>
      <c r="Q236" s="81"/>
      <c r="R236" s="81"/>
      <c r="S236" s="81"/>
      <c r="T236" s="81"/>
      <c r="U236" s="81"/>
      <c r="V236" s="81"/>
      <c r="W236" s="81"/>
      <c r="X236" s="81"/>
      <c r="Y236" s="81"/>
      <c r="Z236" s="81"/>
    </row>
    <row r="237" spans="1:26" ht="12" customHeight="1">
      <c r="A237" s="79"/>
      <c r="B237" s="79"/>
      <c r="C237" s="81"/>
      <c r="D237" s="81"/>
      <c r="E237" s="81"/>
      <c r="F237" s="82"/>
      <c r="G237" s="83"/>
      <c r="H237" s="83"/>
      <c r="I237" s="81"/>
      <c r="J237" s="84"/>
      <c r="K237" s="84"/>
      <c r="L237" s="84"/>
      <c r="M237" s="81"/>
      <c r="N237" s="81"/>
      <c r="O237" s="81"/>
      <c r="P237" s="81"/>
      <c r="Q237" s="81"/>
      <c r="R237" s="81"/>
      <c r="S237" s="81"/>
      <c r="T237" s="81"/>
      <c r="U237" s="81"/>
      <c r="V237" s="81"/>
      <c r="W237" s="81"/>
      <c r="X237" s="81"/>
      <c r="Y237" s="81"/>
      <c r="Z237" s="81"/>
    </row>
    <row r="238" spans="1:26" ht="12" customHeight="1">
      <c r="A238" s="79"/>
      <c r="B238" s="79"/>
      <c r="C238" s="81"/>
      <c r="D238" s="81"/>
      <c r="E238" s="81"/>
      <c r="F238" s="82"/>
      <c r="G238" s="83"/>
      <c r="H238" s="83"/>
      <c r="I238" s="81"/>
      <c r="J238" s="84"/>
      <c r="K238" s="84"/>
      <c r="L238" s="84"/>
      <c r="M238" s="81"/>
      <c r="N238" s="81"/>
      <c r="O238" s="81"/>
      <c r="P238" s="81"/>
      <c r="Q238" s="81"/>
      <c r="R238" s="81"/>
      <c r="S238" s="81"/>
      <c r="T238" s="81"/>
      <c r="U238" s="81"/>
      <c r="V238" s="81"/>
      <c r="W238" s="81"/>
      <c r="X238" s="81"/>
      <c r="Y238" s="81"/>
      <c r="Z238" s="81"/>
    </row>
    <row r="239" spans="1:26" ht="12" customHeight="1">
      <c r="A239" s="79"/>
      <c r="B239" s="79"/>
      <c r="C239" s="81"/>
      <c r="D239" s="81"/>
      <c r="E239" s="81"/>
      <c r="F239" s="82"/>
      <c r="G239" s="83"/>
      <c r="H239" s="83"/>
      <c r="I239" s="81"/>
      <c r="J239" s="84"/>
      <c r="K239" s="84"/>
      <c r="L239" s="84"/>
      <c r="M239" s="81"/>
      <c r="N239" s="81"/>
      <c r="O239" s="81"/>
      <c r="P239" s="81"/>
      <c r="Q239" s="81"/>
      <c r="R239" s="81"/>
      <c r="S239" s="81"/>
      <c r="T239" s="81"/>
      <c r="U239" s="81"/>
      <c r="V239" s="81"/>
      <c r="W239" s="81"/>
      <c r="X239" s="81"/>
      <c r="Y239" s="81"/>
      <c r="Z239" s="81"/>
    </row>
    <row r="240" spans="1:26" ht="12" customHeight="1">
      <c r="A240" s="79"/>
      <c r="B240" s="79"/>
      <c r="C240" s="81"/>
      <c r="D240" s="81"/>
      <c r="E240" s="81"/>
      <c r="F240" s="82"/>
      <c r="G240" s="83"/>
      <c r="H240" s="83"/>
      <c r="I240" s="81"/>
      <c r="J240" s="84"/>
      <c r="K240" s="84"/>
      <c r="L240" s="84"/>
      <c r="M240" s="81"/>
      <c r="N240" s="81"/>
      <c r="O240" s="81"/>
      <c r="P240" s="81"/>
      <c r="Q240" s="81"/>
      <c r="R240" s="81"/>
      <c r="S240" s="81"/>
      <c r="T240" s="81"/>
      <c r="U240" s="81"/>
      <c r="V240" s="81"/>
      <c r="W240" s="81"/>
      <c r="X240" s="81"/>
      <c r="Y240" s="81"/>
      <c r="Z240" s="81"/>
    </row>
    <row r="241" spans="1:26" ht="12" customHeight="1">
      <c r="A241" s="79"/>
      <c r="B241" s="79"/>
      <c r="C241" s="81"/>
      <c r="D241" s="81"/>
      <c r="E241" s="81"/>
      <c r="F241" s="82"/>
      <c r="G241" s="83"/>
      <c r="H241" s="83"/>
      <c r="I241" s="81"/>
      <c r="J241" s="84"/>
      <c r="K241" s="84"/>
      <c r="L241" s="84"/>
      <c r="M241" s="81"/>
      <c r="N241" s="81"/>
      <c r="O241" s="81"/>
      <c r="P241" s="81"/>
      <c r="Q241" s="81"/>
      <c r="R241" s="81"/>
      <c r="S241" s="81"/>
      <c r="T241" s="81"/>
      <c r="U241" s="81"/>
      <c r="V241" s="81"/>
      <c r="W241" s="81"/>
      <c r="X241" s="81"/>
      <c r="Y241" s="81"/>
      <c r="Z241" s="81"/>
    </row>
    <row r="242" spans="1:26" ht="12" customHeight="1">
      <c r="A242" s="79"/>
      <c r="B242" s="79"/>
      <c r="C242" s="81"/>
      <c r="D242" s="81"/>
      <c r="E242" s="81"/>
      <c r="F242" s="82"/>
      <c r="G242" s="83"/>
      <c r="H242" s="83"/>
      <c r="I242" s="81"/>
      <c r="J242" s="84"/>
      <c r="K242" s="84"/>
      <c r="L242" s="84"/>
      <c r="M242" s="81"/>
      <c r="N242" s="81"/>
      <c r="O242" s="81"/>
      <c r="P242" s="81"/>
      <c r="Q242" s="81"/>
      <c r="R242" s="81"/>
      <c r="S242" s="81"/>
      <c r="T242" s="81"/>
      <c r="U242" s="81"/>
      <c r="V242" s="81"/>
      <c r="W242" s="81"/>
      <c r="X242" s="81"/>
      <c r="Y242" s="81"/>
      <c r="Z242" s="81"/>
    </row>
    <row r="243" spans="1:26" ht="12" customHeight="1">
      <c r="A243" s="79"/>
      <c r="B243" s="79"/>
      <c r="C243" s="81"/>
      <c r="D243" s="81"/>
      <c r="E243" s="81"/>
      <c r="F243" s="82"/>
      <c r="G243" s="83"/>
      <c r="H243" s="83"/>
      <c r="I243" s="81"/>
      <c r="J243" s="84"/>
      <c r="K243" s="84"/>
      <c r="L243" s="84"/>
      <c r="M243" s="81"/>
      <c r="N243" s="81"/>
      <c r="O243" s="81"/>
      <c r="P243" s="81"/>
      <c r="Q243" s="81"/>
      <c r="R243" s="81"/>
      <c r="S243" s="81"/>
      <c r="T243" s="81"/>
      <c r="U243" s="81"/>
      <c r="V243" s="81"/>
      <c r="W243" s="81"/>
      <c r="X243" s="81"/>
      <c r="Y243" s="81"/>
      <c r="Z243" s="81"/>
    </row>
    <row r="244" spans="1:26" ht="12" customHeight="1">
      <c r="A244" s="79"/>
      <c r="B244" s="79"/>
      <c r="C244" s="81"/>
      <c r="D244" s="81"/>
      <c r="E244" s="81"/>
      <c r="F244" s="82"/>
      <c r="G244" s="83"/>
      <c r="H244" s="83"/>
      <c r="I244" s="81"/>
      <c r="J244" s="84"/>
      <c r="K244" s="84"/>
      <c r="L244" s="84"/>
      <c r="M244" s="81"/>
      <c r="N244" s="81"/>
      <c r="O244" s="81"/>
      <c r="P244" s="81"/>
      <c r="Q244" s="81"/>
      <c r="R244" s="81"/>
      <c r="S244" s="81"/>
      <c r="T244" s="81"/>
      <c r="U244" s="81"/>
      <c r="V244" s="81"/>
      <c r="W244" s="81"/>
      <c r="X244" s="81"/>
      <c r="Y244" s="81"/>
      <c r="Z244" s="81"/>
    </row>
    <row r="245" spans="1:26" ht="12" customHeight="1">
      <c r="A245" s="79"/>
      <c r="B245" s="79"/>
      <c r="C245" s="81"/>
      <c r="D245" s="81"/>
      <c r="E245" s="81"/>
      <c r="F245" s="82"/>
      <c r="G245" s="83"/>
      <c r="H245" s="83"/>
      <c r="I245" s="81"/>
      <c r="J245" s="84"/>
      <c r="K245" s="84"/>
      <c r="L245" s="84"/>
      <c r="M245" s="81"/>
      <c r="N245" s="81"/>
      <c r="O245" s="81"/>
      <c r="P245" s="81"/>
      <c r="Q245" s="81"/>
      <c r="R245" s="81"/>
      <c r="S245" s="81"/>
      <c r="T245" s="81"/>
      <c r="U245" s="81"/>
      <c r="V245" s="81"/>
      <c r="W245" s="81"/>
      <c r="X245" s="81"/>
      <c r="Y245" s="81"/>
      <c r="Z245" s="81"/>
    </row>
    <row r="246" spans="1:26" ht="12" customHeight="1">
      <c r="A246" s="79"/>
      <c r="B246" s="79"/>
      <c r="C246" s="81"/>
      <c r="D246" s="81"/>
      <c r="E246" s="81"/>
      <c r="F246" s="82"/>
      <c r="G246" s="83"/>
      <c r="H246" s="83"/>
      <c r="I246" s="81"/>
      <c r="J246" s="84"/>
      <c r="K246" s="84"/>
      <c r="L246" s="84"/>
      <c r="M246" s="81"/>
      <c r="N246" s="81"/>
      <c r="O246" s="81"/>
      <c r="P246" s="81"/>
      <c r="Q246" s="81"/>
      <c r="R246" s="81"/>
      <c r="S246" s="81"/>
      <c r="T246" s="81"/>
      <c r="U246" s="81"/>
      <c r="V246" s="81"/>
      <c r="W246" s="81"/>
      <c r="X246" s="81"/>
      <c r="Y246" s="81"/>
      <c r="Z246" s="81"/>
    </row>
    <row r="247" spans="1:26" ht="12" customHeight="1">
      <c r="A247" s="79"/>
      <c r="B247" s="79"/>
      <c r="C247" s="81"/>
      <c r="D247" s="81"/>
      <c r="E247" s="81"/>
      <c r="F247" s="82"/>
      <c r="G247" s="83"/>
      <c r="H247" s="83"/>
      <c r="I247" s="81"/>
      <c r="J247" s="84"/>
      <c r="K247" s="84"/>
      <c r="L247" s="84"/>
      <c r="M247" s="81"/>
      <c r="N247" s="81"/>
      <c r="O247" s="81"/>
      <c r="P247" s="81"/>
      <c r="Q247" s="81"/>
      <c r="R247" s="81"/>
      <c r="S247" s="81"/>
      <c r="T247" s="81"/>
      <c r="U247" s="81"/>
      <c r="V247" s="81"/>
      <c r="W247" s="81"/>
      <c r="X247" s="81"/>
      <c r="Y247" s="81"/>
      <c r="Z247" s="81"/>
    </row>
    <row r="248" spans="1:26" ht="12" customHeight="1">
      <c r="A248" s="79"/>
      <c r="B248" s="79"/>
      <c r="C248" s="81"/>
      <c r="D248" s="81"/>
      <c r="E248" s="81"/>
      <c r="F248" s="82"/>
      <c r="G248" s="83"/>
      <c r="H248" s="83"/>
      <c r="I248" s="81"/>
      <c r="J248" s="84"/>
      <c r="K248" s="84"/>
      <c r="L248" s="84"/>
      <c r="M248" s="81"/>
      <c r="N248" s="81"/>
      <c r="O248" s="81"/>
      <c r="P248" s="81"/>
      <c r="Q248" s="81"/>
      <c r="R248" s="81"/>
      <c r="S248" s="81"/>
      <c r="T248" s="81"/>
      <c r="U248" s="81"/>
      <c r="V248" s="81"/>
      <c r="W248" s="81"/>
      <c r="X248" s="81"/>
      <c r="Y248" s="81"/>
      <c r="Z248" s="81"/>
    </row>
    <row r="249" spans="1:26" ht="12" customHeight="1">
      <c r="A249" s="79"/>
      <c r="B249" s="79"/>
      <c r="C249" s="81"/>
      <c r="D249" s="81"/>
      <c r="E249" s="81"/>
      <c r="F249" s="82"/>
      <c r="G249" s="83"/>
      <c r="H249" s="83"/>
      <c r="I249" s="81"/>
      <c r="J249" s="84"/>
      <c r="K249" s="84"/>
      <c r="L249" s="84"/>
      <c r="M249" s="81"/>
      <c r="N249" s="81"/>
      <c r="O249" s="81"/>
      <c r="P249" s="81"/>
      <c r="Q249" s="81"/>
      <c r="R249" s="81"/>
      <c r="S249" s="81"/>
      <c r="T249" s="81"/>
      <c r="U249" s="81"/>
      <c r="V249" s="81"/>
      <c r="W249" s="81"/>
      <c r="X249" s="81"/>
      <c r="Y249" s="81"/>
      <c r="Z249" s="81"/>
    </row>
    <row r="250" spans="1:26" ht="12" customHeight="1">
      <c r="A250" s="79"/>
      <c r="B250" s="79"/>
      <c r="C250" s="81"/>
      <c r="D250" s="81"/>
      <c r="E250" s="81"/>
      <c r="F250" s="82"/>
      <c r="G250" s="83"/>
      <c r="H250" s="83"/>
      <c r="I250" s="81"/>
      <c r="J250" s="84"/>
      <c r="K250" s="84"/>
      <c r="L250" s="84"/>
      <c r="M250" s="81"/>
      <c r="N250" s="81"/>
      <c r="O250" s="81"/>
      <c r="P250" s="81"/>
      <c r="Q250" s="81"/>
      <c r="R250" s="81"/>
      <c r="S250" s="81"/>
      <c r="T250" s="81"/>
      <c r="U250" s="81"/>
      <c r="V250" s="81"/>
      <c r="W250" s="81"/>
      <c r="X250" s="81"/>
      <c r="Y250" s="81"/>
      <c r="Z250" s="81"/>
    </row>
    <row r="251" spans="1:26" ht="12" customHeight="1">
      <c r="A251" s="79"/>
      <c r="B251" s="79"/>
      <c r="C251" s="81"/>
      <c r="D251" s="81"/>
      <c r="E251" s="81"/>
      <c r="F251" s="82"/>
      <c r="G251" s="83"/>
      <c r="H251" s="83"/>
      <c r="I251" s="81"/>
      <c r="J251" s="84"/>
      <c r="K251" s="84"/>
      <c r="L251" s="84"/>
      <c r="M251" s="81"/>
      <c r="N251" s="81"/>
      <c r="O251" s="81"/>
      <c r="P251" s="81"/>
      <c r="Q251" s="81"/>
      <c r="R251" s="81"/>
      <c r="S251" s="81"/>
      <c r="T251" s="81"/>
      <c r="U251" s="81"/>
      <c r="V251" s="81"/>
      <c r="W251" s="81"/>
      <c r="X251" s="81"/>
      <c r="Y251" s="81"/>
      <c r="Z251" s="81"/>
    </row>
    <row r="252" spans="1:26" ht="12" customHeight="1">
      <c r="A252" s="79"/>
      <c r="B252" s="79"/>
      <c r="C252" s="81"/>
      <c r="D252" s="81"/>
      <c r="E252" s="81"/>
      <c r="F252" s="82"/>
      <c r="G252" s="83"/>
      <c r="H252" s="83"/>
      <c r="I252" s="81"/>
      <c r="J252" s="84"/>
      <c r="K252" s="84"/>
      <c r="L252" s="84"/>
      <c r="M252" s="81"/>
      <c r="N252" s="81"/>
      <c r="O252" s="81"/>
      <c r="P252" s="81"/>
      <c r="Q252" s="81"/>
      <c r="R252" s="81"/>
      <c r="S252" s="81"/>
      <c r="T252" s="81"/>
      <c r="U252" s="81"/>
      <c r="V252" s="81"/>
      <c r="W252" s="81"/>
      <c r="X252" s="81"/>
      <c r="Y252" s="81"/>
      <c r="Z252" s="81"/>
    </row>
    <row r="253" spans="1:26" ht="12" customHeight="1">
      <c r="A253" s="79"/>
      <c r="B253" s="79"/>
      <c r="C253" s="81"/>
      <c r="D253" s="81"/>
      <c r="E253" s="81"/>
      <c r="F253" s="82"/>
      <c r="G253" s="83"/>
      <c r="H253" s="83"/>
      <c r="I253" s="81"/>
      <c r="J253" s="84"/>
      <c r="K253" s="84"/>
      <c r="L253" s="84"/>
      <c r="M253" s="81"/>
      <c r="N253" s="81"/>
      <c r="O253" s="81"/>
      <c r="P253" s="81"/>
      <c r="Q253" s="81"/>
      <c r="R253" s="81"/>
      <c r="S253" s="81"/>
      <c r="T253" s="81"/>
      <c r="U253" s="81"/>
      <c r="V253" s="81"/>
      <c r="W253" s="81"/>
      <c r="X253" s="81"/>
      <c r="Y253" s="81"/>
      <c r="Z253" s="81"/>
    </row>
    <row r="254" spans="1:26" ht="12" customHeight="1">
      <c r="A254" s="79"/>
      <c r="B254" s="79"/>
      <c r="C254" s="81"/>
      <c r="D254" s="81"/>
      <c r="E254" s="81"/>
      <c r="F254" s="82"/>
      <c r="G254" s="83"/>
      <c r="H254" s="83"/>
      <c r="I254" s="81"/>
      <c r="J254" s="84"/>
      <c r="K254" s="84"/>
      <c r="L254" s="84"/>
      <c r="M254" s="81"/>
      <c r="N254" s="81"/>
      <c r="O254" s="81"/>
      <c r="P254" s="81"/>
      <c r="Q254" s="81"/>
      <c r="R254" s="81"/>
      <c r="S254" s="81"/>
      <c r="T254" s="81"/>
      <c r="U254" s="81"/>
      <c r="V254" s="81"/>
      <c r="W254" s="81"/>
      <c r="X254" s="81"/>
      <c r="Y254" s="81"/>
      <c r="Z254" s="81"/>
    </row>
    <row r="255" spans="1:26" ht="12" customHeight="1">
      <c r="A255" s="79"/>
      <c r="B255" s="79"/>
      <c r="C255" s="81"/>
      <c r="D255" s="81"/>
      <c r="E255" s="81"/>
      <c r="F255" s="82"/>
      <c r="G255" s="83"/>
      <c r="H255" s="83"/>
      <c r="I255" s="81"/>
      <c r="J255" s="84"/>
      <c r="K255" s="84"/>
      <c r="L255" s="84"/>
      <c r="M255" s="81"/>
      <c r="N255" s="81"/>
      <c r="O255" s="81"/>
      <c r="P255" s="81"/>
      <c r="Q255" s="81"/>
      <c r="R255" s="81"/>
      <c r="S255" s="81"/>
      <c r="T255" s="81"/>
      <c r="U255" s="81"/>
      <c r="V255" s="81"/>
      <c r="W255" s="81"/>
      <c r="X255" s="81"/>
      <c r="Y255" s="81"/>
      <c r="Z255" s="81"/>
    </row>
    <row r="256" spans="1:26" ht="12" customHeight="1">
      <c r="A256" s="79"/>
      <c r="B256" s="79"/>
      <c r="C256" s="81"/>
      <c r="D256" s="81"/>
      <c r="E256" s="81"/>
      <c r="F256" s="82"/>
      <c r="G256" s="83"/>
      <c r="H256" s="83"/>
      <c r="I256" s="81"/>
      <c r="J256" s="84"/>
      <c r="K256" s="84"/>
      <c r="L256" s="84"/>
      <c r="M256" s="81"/>
      <c r="N256" s="81"/>
      <c r="O256" s="81"/>
      <c r="P256" s="81"/>
      <c r="Q256" s="81"/>
      <c r="R256" s="81"/>
      <c r="S256" s="81"/>
      <c r="T256" s="81"/>
      <c r="U256" s="81"/>
      <c r="V256" s="81"/>
      <c r="W256" s="81"/>
      <c r="X256" s="81"/>
      <c r="Y256" s="81"/>
      <c r="Z256" s="81"/>
    </row>
    <row r="257" spans="1:26" ht="12" customHeight="1">
      <c r="A257" s="79"/>
      <c r="B257" s="79"/>
      <c r="C257" s="81"/>
      <c r="D257" s="81"/>
      <c r="E257" s="81"/>
      <c r="F257" s="82"/>
      <c r="G257" s="83"/>
      <c r="H257" s="83"/>
      <c r="I257" s="81"/>
      <c r="J257" s="84"/>
      <c r="K257" s="84"/>
      <c r="L257" s="84"/>
      <c r="M257" s="81"/>
      <c r="N257" s="81"/>
      <c r="O257" s="81"/>
      <c r="P257" s="81"/>
      <c r="Q257" s="81"/>
      <c r="R257" s="81"/>
      <c r="S257" s="81"/>
      <c r="T257" s="81"/>
      <c r="U257" s="81"/>
      <c r="V257" s="81"/>
      <c r="W257" s="81"/>
      <c r="X257" s="81"/>
      <c r="Y257" s="81"/>
      <c r="Z257" s="81"/>
    </row>
    <row r="258" spans="1:26" ht="12" customHeight="1">
      <c r="A258" s="79"/>
      <c r="B258" s="79"/>
      <c r="C258" s="81"/>
      <c r="D258" s="81"/>
      <c r="E258" s="81"/>
      <c r="F258" s="82"/>
      <c r="G258" s="83"/>
      <c r="H258" s="83"/>
      <c r="I258" s="81"/>
      <c r="J258" s="84"/>
      <c r="K258" s="84"/>
      <c r="L258" s="84"/>
      <c r="M258" s="81"/>
      <c r="N258" s="81"/>
      <c r="O258" s="81"/>
      <c r="P258" s="81"/>
      <c r="Q258" s="81"/>
      <c r="R258" s="81"/>
      <c r="S258" s="81"/>
      <c r="T258" s="81"/>
      <c r="U258" s="81"/>
      <c r="V258" s="81"/>
      <c r="W258" s="81"/>
      <c r="X258" s="81"/>
      <c r="Y258" s="81"/>
      <c r="Z258" s="81"/>
    </row>
    <row r="259" spans="1:26" ht="12" customHeight="1">
      <c r="A259" s="79"/>
      <c r="B259" s="79"/>
      <c r="C259" s="81"/>
      <c r="D259" s="81"/>
      <c r="E259" s="81"/>
      <c r="F259" s="82"/>
      <c r="G259" s="83"/>
      <c r="H259" s="83"/>
      <c r="I259" s="81"/>
      <c r="J259" s="84"/>
      <c r="K259" s="84"/>
      <c r="L259" s="84"/>
      <c r="M259" s="81"/>
      <c r="N259" s="81"/>
      <c r="O259" s="81"/>
      <c r="P259" s="81"/>
      <c r="Q259" s="81"/>
      <c r="R259" s="81"/>
      <c r="S259" s="81"/>
      <c r="T259" s="81"/>
      <c r="U259" s="81"/>
      <c r="V259" s="81"/>
      <c r="W259" s="81"/>
      <c r="X259" s="81"/>
      <c r="Y259" s="81"/>
      <c r="Z259" s="81"/>
    </row>
    <row r="260" spans="1:26" ht="12" customHeight="1">
      <c r="A260" s="79"/>
      <c r="B260" s="79"/>
      <c r="C260" s="81"/>
      <c r="D260" s="81"/>
      <c r="E260" s="81"/>
      <c r="F260" s="82"/>
      <c r="G260" s="83"/>
      <c r="H260" s="83"/>
      <c r="I260" s="81"/>
      <c r="J260" s="84"/>
      <c r="K260" s="84"/>
      <c r="L260" s="84"/>
      <c r="M260" s="81"/>
      <c r="N260" s="81"/>
      <c r="O260" s="81"/>
      <c r="P260" s="81"/>
      <c r="Q260" s="81"/>
      <c r="R260" s="81"/>
      <c r="S260" s="81"/>
      <c r="T260" s="81"/>
      <c r="U260" s="81"/>
      <c r="V260" s="81"/>
      <c r="W260" s="81"/>
      <c r="X260" s="81"/>
      <c r="Y260" s="81"/>
      <c r="Z260" s="81"/>
    </row>
    <row r="261" spans="1:26" ht="12" customHeight="1">
      <c r="A261" s="79"/>
      <c r="B261" s="79"/>
      <c r="C261" s="81"/>
      <c r="D261" s="81"/>
      <c r="E261" s="81"/>
      <c r="F261" s="82"/>
      <c r="G261" s="83"/>
      <c r="H261" s="83"/>
      <c r="I261" s="81"/>
      <c r="J261" s="84"/>
      <c r="K261" s="84"/>
      <c r="L261" s="84"/>
      <c r="M261" s="81"/>
      <c r="N261" s="81"/>
      <c r="O261" s="81"/>
      <c r="P261" s="81"/>
      <c r="Q261" s="81"/>
      <c r="R261" s="81"/>
      <c r="S261" s="81"/>
      <c r="T261" s="81"/>
      <c r="U261" s="81"/>
      <c r="V261" s="81"/>
      <c r="W261" s="81"/>
      <c r="X261" s="81"/>
      <c r="Y261" s="81"/>
      <c r="Z261" s="81"/>
    </row>
    <row r="262" spans="1:26" ht="12" customHeight="1">
      <c r="A262" s="79"/>
      <c r="B262" s="79"/>
      <c r="C262" s="81"/>
      <c r="D262" s="81"/>
      <c r="E262" s="81"/>
      <c r="F262" s="82"/>
      <c r="G262" s="83"/>
      <c r="H262" s="83"/>
      <c r="I262" s="81"/>
      <c r="J262" s="84"/>
      <c r="K262" s="84"/>
      <c r="L262" s="84"/>
      <c r="M262" s="81"/>
      <c r="N262" s="81"/>
      <c r="O262" s="81"/>
      <c r="P262" s="81"/>
      <c r="Q262" s="81"/>
      <c r="R262" s="81"/>
      <c r="S262" s="81"/>
      <c r="T262" s="81"/>
      <c r="U262" s="81"/>
      <c r="V262" s="81"/>
      <c r="W262" s="81"/>
      <c r="X262" s="81"/>
      <c r="Y262" s="81"/>
      <c r="Z262" s="81"/>
    </row>
    <row r="263" spans="1:26" ht="12" customHeight="1">
      <c r="A263" s="79"/>
      <c r="B263" s="79"/>
      <c r="C263" s="81"/>
      <c r="D263" s="81"/>
      <c r="E263" s="81"/>
      <c r="F263" s="82"/>
      <c r="G263" s="83"/>
      <c r="H263" s="83"/>
      <c r="I263" s="81"/>
      <c r="J263" s="84"/>
      <c r="K263" s="84"/>
      <c r="L263" s="84"/>
      <c r="M263" s="81"/>
      <c r="N263" s="81"/>
      <c r="O263" s="81"/>
      <c r="P263" s="81"/>
      <c r="Q263" s="81"/>
      <c r="R263" s="81"/>
      <c r="S263" s="81"/>
      <c r="T263" s="81"/>
      <c r="U263" s="81"/>
      <c r="V263" s="81"/>
      <c r="W263" s="81"/>
      <c r="X263" s="81"/>
      <c r="Y263" s="81"/>
      <c r="Z263" s="81"/>
    </row>
    <row r="264" spans="1:26" ht="12" customHeight="1">
      <c r="A264" s="79"/>
      <c r="B264" s="79"/>
      <c r="C264" s="81"/>
      <c r="D264" s="81"/>
      <c r="E264" s="81"/>
      <c r="F264" s="82"/>
      <c r="G264" s="83"/>
      <c r="H264" s="83"/>
      <c r="I264" s="81"/>
      <c r="J264" s="84"/>
      <c r="K264" s="84"/>
      <c r="L264" s="84"/>
      <c r="M264" s="81"/>
      <c r="N264" s="81"/>
      <c r="O264" s="81"/>
      <c r="P264" s="81"/>
      <c r="Q264" s="81"/>
      <c r="R264" s="81"/>
      <c r="S264" s="81"/>
      <c r="T264" s="81"/>
      <c r="U264" s="81"/>
      <c r="V264" s="81"/>
      <c r="W264" s="81"/>
      <c r="X264" s="81"/>
      <c r="Y264" s="81"/>
      <c r="Z264" s="81"/>
    </row>
    <row r="265" spans="1:26" ht="12" customHeight="1">
      <c r="A265" s="79"/>
      <c r="B265" s="79"/>
      <c r="C265" s="81"/>
      <c r="D265" s="81"/>
      <c r="E265" s="81"/>
      <c r="F265" s="82"/>
      <c r="G265" s="83"/>
      <c r="H265" s="83"/>
      <c r="I265" s="81"/>
      <c r="J265" s="84"/>
      <c r="K265" s="84"/>
      <c r="L265" s="84"/>
      <c r="M265" s="81"/>
      <c r="N265" s="81"/>
      <c r="O265" s="81"/>
      <c r="P265" s="81"/>
      <c r="Q265" s="81"/>
      <c r="R265" s="81"/>
      <c r="S265" s="81"/>
      <c r="T265" s="81"/>
      <c r="U265" s="81"/>
      <c r="V265" s="81"/>
      <c r="W265" s="81"/>
      <c r="X265" s="81"/>
      <c r="Y265" s="81"/>
      <c r="Z265" s="81"/>
    </row>
    <row r="266" spans="1:26" ht="12" customHeight="1">
      <c r="A266" s="79"/>
      <c r="B266" s="79"/>
      <c r="C266" s="81"/>
      <c r="D266" s="81"/>
      <c r="E266" s="81"/>
      <c r="F266" s="82"/>
      <c r="G266" s="83"/>
      <c r="H266" s="83"/>
      <c r="I266" s="81"/>
      <c r="J266" s="84"/>
      <c r="K266" s="84"/>
      <c r="L266" s="84"/>
      <c r="M266" s="81"/>
      <c r="N266" s="81"/>
      <c r="O266" s="81"/>
      <c r="P266" s="81"/>
      <c r="Q266" s="81"/>
      <c r="R266" s="81"/>
      <c r="S266" s="81"/>
      <c r="T266" s="81"/>
      <c r="U266" s="81"/>
      <c r="V266" s="81"/>
      <c r="W266" s="81"/>
      <c r="X266" s="81"/>
      <c r="Y266" s="81"/>
      <c r="Z266" s="81"/>
    </row>
    <row r="267" spans="1:26" ht="12" customHeight="1">
      <c r="A267" s="79"/>
      <c r="B267" s="79"/>
      <c r="C267" s="81"/>
      <c r="D267" s="81"/>
      <c r="E267" s="81"/>
      <c r="F267" s="82"/>
      <c r="G267" s="83"/>
      <c r="H267" s="83"/>
      <c r="I267" s="81"/>
      <c r="J267" s="84"/>
      <c r="K267" s="84"/>
      <c r="L267" s="84"/>
      <c r="M267" s="81"/>
      <c r="N267" s="81"/>
      <c r="O267" s="81"/>
      <c r="P267" s="81"/>
      <c r="Q267" s="81"/>
      <c r="R267" s="81"/>
      <c r="S267" s="81"/>
      <c r="T267" s="81"/>
      <c r="U267" s="81"/>
      <c r="V267" s="81"/>
      <c r="W267" s="81"/>
      <c r="X267" s="81"/>
      <c r="Y267" s="81"/>
      <c r="Z267" s="81"/>
    </row>
    <row r="268" spans="1:26" ht="12" customHeight="1">
      <c r="A268" s="79"/>
      <c r="B268" s="79"/>
      <c r="C268" s="81"/>
      <c r="D268" s="81"/>
      <c r="E268" s="81"/>
      <c r="F268" s="82"/>
      <c r="G268" s="83"/>
      <c r="H268" s="83"/>
      <c r="I268" s="81"/>
      <c r="J268" s="84"/>
      <c r="K268" s="84"/>
      <c r="L268" s="84"/>
      <c r="M268" s="81"/>
      <c r="N268" s="81"/>
      <c r="O268" s="81"/>
      <c r="P268" s="81"/>
      <c r="Q268" s="81"/>
      <c r="R268" s="81"/>
      <c r="S268" s="81"/>
      <c r="T268" s="81"/>
      <c r="U268" s="81"/>
      <c r="V268" s="81"/>
      <c r="W268" s="81"/>
      <c r="X268" s="81"/>
      <c r="Y268" s="81"/>
      <c r="Z268" s="81"/>
    </row>
    <row r="269" spans="1:26" ht="12" customHeight="1">
      <c r="A269" s="79"/>
      <c r="B269" s="79"/>
      <c r="C269" s="81"/>
      <c r="D269" s="81"/>
      <c r="E269" s="81"/>
      <c r="F269" s="82"/>
      <c r="G269" s="83"/>
      <c r="H269" s="83"/>
      <c r="I269" s="81"/>
      <c r="J269" s="84"/>
      <c r="K269" s="84"/>
      <c r="L269" s="84"/>
      <c r="M269" s="81"/>
      <c r="N269" s="81"/>
      <c r="O269" s="81"/>
      <c r="P269" s="81"/>
      <c r="Q269" s="81"/>
      <c r="R269" s="81"/>
      <c r="S269" s="81"/>
      <c r="T269" s="81"/>
      <c r="U269" s="81"/>
      <c r="V269" s="81"/>
      <c r="W269" s="81"/>
      <c r="X269" s="81"/>
      <c r="Y269" s="81"/>
      <c r="Z269" s="81"/>
    </row>
    <row r="270" spans="1:26" ht="12" customHeight="1">
      <c r="A270" s="79"/>
      <c r="B270" s="79"/>
      <c r="C270" s="81"/>
      <c r="D270" s="81"/>
      <c r="E270" s="81"/>
      <c r="F270" s="82"/>
      <c r="G270" s="83"/>
      <c r="H270" s="83"/>
      <c r="I270" s="81"/>
      <c r="J270" s="84"/>
      <c r="K270" s="84"/>
      <c r="L270" s="84"/>
      <c r="M270" s="81"/>
      <c r="N270" s="81"/>
      <c r="O270" s="81"/>
      <c r="P270" s="81"/>
      <c r="Q270" s="81"/>
      <c r="R270" s="81"/>
      <c r="S270" s="81"/>
      <c r="T270" s="81"/>
      <c r="U270" s="81"/>
      <c r="V270" s="81"/>
      <c r="W270" s="81"/>
      <c r="X270" s="81"/>
      <c r="Y270" s="81"/>
      <c r="Z270" s="81"/>
    </row>
    <row r="271" spans="1:26" ht="12" customHeight="1">
      <c r="A271" s="79"/>
      <c r="B271" s="79"/>
      <c r="C271" s="81"/>
      <c r="D271" s="81"/>
      <c r="E271" s="81"/>
      <c r="F271" s="82"/>
      <c r="G271" s="83"/>
      <c r="H271" s="83"/>
      <c r="I271" s="81"/>
      <c r="J271" s="84"/>
      <c r="K271" s="84"/>
      <c r="L271" s="84"/>
      <c r="M271" s="81"/>
      <c r="N271" s="81"/>
      <c r="O271" s="81"/>
      <c r="P271" s="81"/>
      <c r="Q271" s="81"/>
      <c r="R271" s="81"/>
      <c r="S271" s="81"/>
      <c r="T271" s="81"/>
      <c r="U271" s="81"/>
      <c r="V271" s="81"/>
      <c r="W271" s="81"/>
      <c r="X271" s="81"/>
      <c r="Y271" s="81"/>
      <c r="Z271" s="81"/>
    </row>
    <row r="272" spans="1:26" ht="12" customHeight="1">
      <c r="A272" s="79"/>
      <c r="B272" s="79"/>
      <c r="C272" s="81"/>
      <c r="D272" s="81"/>
      <c r="E272" s="81"/>
      <c r="F272" s="82"/>
      <c r="G272" s="83"/>
      <c r="H272" s="83"/>
      <c r="I272" s="81"/>
      <c r="J272" s="84"/>
      <c r="K272" s="84"/>
      <c r="L272" s="84"/>
      <c r="M272" s="81"/>
      <c r="N272" s="81"/>
      <c r="O272" s="81"/>
      <c r="P272" s="81"/>
      <c r="Q272" s="81"/>
      <c r="R272" s="81"/>
      <c r="S272" s="81"/>
      <c r="T272" s="81"/>
      <c r="U272" s="81"/>
      <c r="V272" s="81"/>
      <c r="W272" s="81"/>
      <c r="X272" s="81"/>
      <c r="Y272" s="81"/>
      <c r="Z272" s="81"/>
    </row>
    <row r="273" spans="1:26" ht="12" customHeight="1">
      <c r="A273" s="79"/>
      <c r="B273" s="79"/>
      <c r="C273" s="81"/>
      <c r="D273" s="81"/>
      <c r="E273" s="81"/>
      <c r="F273" s="82"/>
      <c r="G273" s="83"/>
      <c r="H273" s="83"/>
      <c r="I273" s="81"/>
      <c r="J273" s="84"/>
      <c r="K273" s="84"/>
      <c r="L273" s="84"/>
      <c r="M273" s="81"/>
      <c r="N273" s="81"/>
      <c r="O273" s="81"/>
      <c r="P273" s="81"/>
      <c r="Q273" s="81"/>
      <c r="R273" s="81"/>
      <c r="S273" s="81"/>
      <c r="T273" s="81"/>
      <c r="U273" s="81"/>
      <c r="V273" s="81"/>
      <c r="W273" s="81"/>
      <c r="X273" s="81"/>
      <c r="Y273" s="81"/>
      <c r="Z273" s="81"/>
    </row>
    <row r="274" spans="1:26" ht="12" customHeight="1">
      <c r="A274" s="79"/>
      <c r="B274" s="79"/>
      <c r="C274" s="81"/>
      <c r="D274" s="81"/>
      <c r="E274" s="81"/>
      <c r="F274" s="82"/>
      <c r="G274" s="83"/>
      <c r="H274" s="83"/>
      <c r="I274" s="81"/>
      <c r="J274" s="84"/>
      <c r="K274" s="84"/>
      <c r="L274" s="84"/>
      <c r="M274" s="81"/>
      <c r="N274" s="81"/>
      <c r="O274" s="81"/>
      <c r="P274" s="81"/>
      <c r="Q274" s="81"/>
      <c r="R274" s="81"/>
      <c r="S274" s="81"/>
      <c r="T274" s="81"/>
      <c r="U274" s="81"/>
      <c r="V274" s="81"/>
      <c r="W274" s="81"/>
      <c r="X274" s="81"/>
      <c r="Y274" s="81"/>
      <c r="Z274" s="81"/>
    </row>
    <row r="275" spans="1:26" ht="12" customHeight="1">
      <c r="A275" s="79"/>
      <c r="B275" s="79"/>
      <c r="C275" s="81"/>
      <c r="D275" s="81"/>
      <c r="E275" s="81"/>
      <c r="F275" s="82"/>
      <c r="G275" s="83"/>
      <c r="H275" s="83"/>
      <c r="I275" s="81"/>
      <c r="J275" s="84"/>
      <c r="K275" s="84"/>
      <c r="L275" s="84"/>
      <c r="M275" s="81"/>
      <c r="N275" s="81"/>
      <c r="O275" s="81"/>
      <c r="P275" s="81"/>
      <c r="Q275" s="81"/>
      <c r="R275" s="81"/>
      <c r="S275" s="81"/>
      <c r="T275" s="81"/>
      <c r="U275" s="81"/>
      <c r="V275" s="81"/>
      <c r="W275" s="81"/>
      <c r="X275" s="81"/>
      <c r="Y275" s="81"/>
      <c r="Z275" s="81"/>
    </row>
    <row r="276" spans="1:26" ht="12" customHeight="1">
      <c r="A276" s="79"/>
      <c r="B276" s="79"/>
      <c r="C276" s="81"/>
      <c r="D276" s="81"/>
      <c r="E276" s="81"/>
      <c r="F276" s="82"/>
      <c r="G276" s="83"/>
      <c r="H276" s="83"/>
      <c r="I276" s="81"/>
      <c r="J276" s="84"/>
      <c r="K276" s="84"/>
      <c r="L276" s="84"/>
      <c r="M276" s="81"/>
      <c r="N276" s="81"/>
      <c r="O276" s="81"/>
      <c r="P276" s="81"/>
      <c r="Q276" s="81"/>
      <c r="R276" s="81"/>
      <c r="S276" s="81"/>
      <c r="T276" s="81"/>
      <c r="U276" s="81"/>
      <c r="V276" s="81"/>
      <c r="W276" s="81"/>
      <c r="X276" s="81"/>
      <c r="Y276" s="81"/>
      <c r="Z276" s="81"/>
    </row>
    <row r="277" spans="1:26" ht="12" customHeight="1">
      <c r="A277" s="79"/>
      <c r="B277" s="79"/>
      <c r="C277" s="81"/>
      <c r="D277" s="81"/>
      <c r="E277" s="81"/>
      <c r="F277" s="82"/>
      <c r="G277" s="83"/>
      <c r="H277" s="83"/>
      <c r="I277" s="81"/>
      <c r="J277" s="84"/>
      <c r="K277" s="84"/>
      <c r="L277" s="84"/>
      <c r="M277" s="81"/>
      <c r="N277" s="81"/>
      <c r="O277" s="81"/>
      <c r="P277" s="81"/>
      <c r="Q277" s="81"/>
      <c r="R277" s="81"/>
      <c r="S277" s="81"/>
      <c r="T277" s="81"/>
      <c r="U277" s="81"/>
      <c r="V277" s="81"/>
      <c r="W277" s="81"/>
      <c r="X277" s="81"/>
      <c r="Y277" s="81"/>
      <c r="Z277" s="81"/>
    </row>
    <row r="278" spans="1:26" ht="12" customHeight="1">
      <c r="A278" s="79"/>
      <c r="B278" s="79"/>
      <c r="C278" s="81"/>
      <c r="D278" s="81"/>
      <c r="E278" s="81"/>
      <c r="F278" s="82"/>
      <c r="G278" s="83"/>
      <c r="H278" s="83"/>
      <c r="I278" s="81"/>
      <c r="J278" s="84"/>
      <c r="K278" s="84"/>
      <c r="L278" s="84"/>
      <c r="M278" s="81"/>
      <c r="N278" s="81"/>
      <c r="O278" s="81"/>
      <c r="P278" s="81"/>
      <c r="Q278" s="81"/>
      <c r="R278" s="81"/>
      <c r="S278" s="81"/>
      <c r="T278" s="81"/>
      <c r="U278" s="81"/>
      <c r="V278" s="81"/>
      <c r="W278" s="81"/>
      <c r="X278" s="81"/>
      <c r="Y278" s="81"/>
      <c r="Z278" s="81"/>
    </row>
    <row r="279" spans="1:26" ht="12" customHeight="1">
      <c r="A279" s="79"/>
      <c r="B279" s="79"/>
      <c r="C279" s="81"/>
      <c r="D279" s="81"/>
      <c r="E279" s="81"/>
      <c r="F279" s="82"/>
      <c r="G279" s="83"/>
      <c r="H279" s="83"/>
      <c r="I279" s="81"/>
      <c r="J279" s="84"/>
      <c r="K279" s="84"/>
      <c r="L279" s="84"/>
      <c r="M279" s="81"/>
      <c r="N279" s="81"/>
      <c r="O279" s="81"/>
      <c r="P279" s="81"/>
      <c r="Q279" s="81"/>
      <c r="R279" s="81"/>
      <c r="S279" s="81"/>
      <c r="T279" s="81"/>
      <c r="U279" s="81"/>
      <c r="V279" s="81"/>
      <c r="W279" s="81"/>
      <c r="X279" s="81"/>
      <c r="Y279" s="81"/>
      <c r="Z279" s="81"/>
    </row>
    <row r="280" spans="1:26" ht="12" customHeight="1">
      <c r="A280" s="79"/>
      <c r="B280" s="79"/>
      <c r="C280" s="81"/>
      <c r="D280" s="81"/>
      <c r="E280" s="81"/>
      <c r="F280" s="82"/>
      <c r="G280" s="83"/>
      <c r="H280" s="83"/>
      <c r="I280" s="81"/>
      <c r="J280" s="84"/>
      <c r="K280" s="84"/>
      <c r="L280" s="84"/>
      <c r="M280" s="81"/>
      <c r="N280" s="81"/>
      <c r="O280" s="81"/>
      <c r="P280" s="81"/>
      <c r="Q280" s="81"/>
      <c r="R280" s="81"/>
      <c r="S280" s="81"/>
      <c r="T280" s="81"/>
      <c r="U280" s="81"/>
      <c r="V280" s="81"/>
      <c r="W280" s="81"/>
      <c r="X280" s="81"/>
      <c r="Y280" s="81"/>
      <c r="Z280" s="81"/>
    </row>
    <row r="281" spans="1:26" ht="12" customHeight="1">
      <c r="A281" s="79"/>
      <c r="B281" s="79"/>
      <c r="C281" s="81"/>
      <c r="D281" s="81"/>
      <c r="E281" s="81"/>
      <c r="F281" s="82"/>
      <c r="G281" s="83"/>
      <c r="H281" s="83"/>
      <c r="I281" s="81"/>
      <c r="J281" s="84"/>
      <c r="K281" s="84"/>
      <c r="L281" s="84"/>
      <c r="M281" s="81"/>
      <c r="N281" s="81"/>
      <c r="O281" s="81"/>
      <c r="P281" s="81"/>
      <c r="Q281" s="81"/>
      <c r="R281" s="81"/>
      <c r="S281" s="81"/>
      <c r="T281" s="81"/>
      <c r="U281" s="81"/>
      <c r="V281" s="81"/>
      <c r="W281" s="81"/>
      <c r="X281" s="81"/>
      <c r="Y281" s="81"/>
      <c r="Z281" s="81"/>
    </row>
    <row r="282" spans="1:26" ht="12" customHeight="1">
      <c r="A282" s="79"/>
      <c r="B282" s="79"/>
      <c r="C282" s="81"/>
      <c r="D282" s="81"/>
      <c r="E282" s="81"/>
      <c r="F282" s="82"/>
      <c r="G282" s="83"/>
      <c r="H282" s="83"/>
      <c r="I282" s="81"/>
      <c r="J282" s="84"/>
      <c r="K282" s="84"/>
      <c r="L282" s="84"/>
      <c r="M282" s="81"/>
      <c r="N282" s="81"/>
      <c r="O282" s="81"/>
      <c r="P282" s="81"/>
      <c r="Q282" s="81"/>
      <c r="R282" s="81"/>
      <c r="S282" s="81"/>
      <c r="T282" s="81"/>
      <c r="U282" s="81"/>
      <c r="V282" s="81"/>
      <c r="W282" s="81"/>
      <c r="X282" s="81"/>
      <c r="Y282" s="81"/>
      <c r="Z282" s="81"/>
    </row>
    <row r="283" spans="1:26" ht="12" customHeight="1">
      <c r="A283" s="79"/>
      <c r="B283" s="79"/>
      <c r="C283" s="81"/>
      <c r="D283" s="81"/>
      <c r="E283" s="81"/>
      <c r="F283" s="82"/>
      <c r="G283" s="83"/>
      <c r="H283" s="83"/>
      <c r="I283" s="81"/>
      <c r="J283" s="84"/>
      <c r="K283" s="84"/>
      <c r="L283" s="84"/>
      <c r="M283" s="81"/>
      <c r="N283" s="81"/>
      <c r="O283" s="81"/>
      <c r="P283" s="81"/>
      <c r="Q283" s="81"/>
      <c r="R283" s="81"/>
      <c r="S283" s="81"/>
      <c r="T283" s="81"/>
      <c r="U283" s="81"/>
      <c r="V283" s="81"/>
      <c r="W283" s="81"/>
      <c r="X283" s="81"/>
      <c r="Y283" s="81"/>
      <c r="Z283" s="81"/>
    </row>
    <row r="284" spans="1:26" ht="12" customHeight="1">
      <c r="A284" s="79"/>
      <c r="B284" s="79"/>
      <c r="C284" s="81"/>
      <c r="D284" s="81"/>
      <c r="E284" s="81"/>
      <c r="F284" s="82"/>
      <c r="G284" s="83"/>
      <c r="H284" s="83"/>
      <c r="I284" s="81"/>
      <c r="J284" s="84"/>
      <c r="K284" s="84"/>
      <c r="L284" s="84"/>
      <c r="M284" s="81"/>
      <c r="N284" s="81"/>
      <c r="O284" s="81"/>
      <c r="P284" s="81"/>
      <c r="Q284" s="81"/>
      <c r="R284" s="81"/>
      <c r="S284" s="81"/>
      <c r="T284" s="81"/>
      <c r="U284" s="81"/>
      <c r="V284" s="81"/>
      <c r="W284" s="81"/>
      <c r="X284" s="81"/>
      <c r="Y284" s="81"/>
      <c r="Z284" s="81"/>
    </row>
    <row r="285" spans="1:26" ht="12" customHeight="1">
      <c r="A285" s="79"/>
      <c r="B285" s="79"/>
      <c r="C285" s="81"/>
      <c r="D285" s="81"/>
      <c r="E285" s="81"/>
      <c r="F285" s="82"/>
      <c r="G285" s="83"/>
      <c r="H285" s="83"/>
      <c r="I285" s="81"/>
      <c r="J285" s="84"/>
      <c r="K285" s="84"/>
      <c r="L285" s="84"/>
      <c r="M285" s="81"/>
      <c r="N285" s="81"/>
      <c r="O285" s="81"/>
      <c r="P285" s="81"/>
      <c r="Q285" s="81"/>
      <c r="R285" s="81"/>
      <c r="S285" s="81"/>
      <c r="T285" s="81"/>
      <c r="U285" s="81"/>
      <c r="V285" s="81"/>
      <c r="W285" s="81"/>
      <c r="X285" s="81"/>
      <c r="Y285" s="81"/>
      <c r="Z285" s="81"/>
    </row>
    <row r="286" spans="1:26" ht="12" customHeight="1">
      <c r="A286" s="79"/>
      <c r="B286" s="79"/>
      <c r="C286" s="81"/>
      <c r="D286" s="81"/>
      <c r="E286" s="81"/>
      <c r="F286" s="82"/>
      <c r="G286" s="83"/>
      <c r="H286" s="83"/>
      <c r="I286" s="81"/>
      <c r="J286" s="84"/>
      <c r="K286" s="84"/>
      <c r="L286" s="84"/>
      <c r="M286" s="81"/>
      <c r="N286" s="81"/>
      <c r="O286" s="81"/>
      <c r="P286" s="81"/>
      <c r="Q286" s="81"/>
      <c r="R286" s="81"/>
      <c r="S286" s="81"/>
      <c r="T286" s="81"/>
      <c r="U286" s="81"/>
      <c r="V286" s="81"/>
      <c r="W286" s="81"/>
      <c r="X286" s="81"/>
      <c r="Y286" s="81"/>
      <c r="Z286" s="81"/>
    </row>
    <row r="287" spans="1:26" ht="12" customHeight="1">
      <c r="A287" s="79"/>
      <c r="B287" s="79"/>
      <c r="C287" s="81"/>
      <c r="D287" s="81"/>
      <c r="E287" s="81"/>
      <c r="F287" s="82"/>
      <c r="G287" s="83"/>
      <c r="H287" s="83"/>
      <c r="I287" s="81"/>
      <c r="J287" s="84"/>
      <c r="K287" s="84"/>
      <c r="L287" s="84"/>
      <c r="M287" s="81"/>
      <c r="N287" s="81"/>
      <c r="O287" s="81"/>
      <c r="P287" s="81"/>
      <c r="Q287" s="81"/>
      <c r="R287" s="81"/>
      <c r="S287" s="81"/>
      <c r="T287" s="81"/>
      <c r="U287" s="81"/>
      <c r="V287" s="81"/>
      <c r="W287" s="81"/>
      <c r="X287" s="81"/>
      <c r="Y287" s="81"/>
      <c r="Z287" s="81"/>
    </row>
    <row r="288" spans="1:26" ht="12" customHeight="1">
      <c r="A288" s="79"/>
      <c r="B288" s="79"/>
      <c r="C288" s="81"/>
      <c r="D288" s="81"/>
      <c r="E288" s="81"/>
      <c r="F288" s="82"/>
      <c r="G288" s="83"/>
      <c r="H288" s="83"/>
      <c r="I288" s="81"/>
      <c r="J288" s="84"/>
      <c r="K288" s="84"/>
      <c r="L288" s="84"/>
      <c r="M288" s="81"/>
      <c r="N288" s="81"/>
      <c r="O288" s="81"/>
      <c r="P288" s="81"/>
      <c r="Q288" s="81"/>
      <c r="R288" s="81"/>
      <c r="S288" s="81"/>
      <c r="T288" s="81"/>
      <c r="U288" s="81"/>
      <c r="V288" s="81"/>
      <c r="W288" s="81"/>
      <c r="X288" s="81"/>
      <c r="Y288" s="81"/>
      <c r="Z288" s="81"/>
    </row>
    <row r="289" spans="1:26" ht="12" customHeight="1">
      <c r="A289" s="79"/>
      <c r="B289" s="79"/>
      <c r="C289" s="81"/>
      <c r="D289" s="81"/>
      <c r="E289" s="81"/>
      <c r="F289" s="82"/>
      <c r="G289" s="83"/>
      <c r="H289" s="83"/>
      <c r="I289" s="81"/>
      <c r="J289" s="84"/>
      <c r="K289" s="84"/>
      <c r="L289" s="84"/>
      <c r="M289" s="81"/>
      <c r="N289" s="81"/>
      <c r="O289" s="81"/>
      <c r="P289" s="81"/>
      <c r="Q289" s="81"/>
      <c r="R289" s="81"/>
      <c r="S289" s="81"/>
      <c r="T289" s="81"/>
      <c r="U289" s="81"/>
      <c r="V289" s="81"/>
      <c r="W289" s="81"/>
      <c r="X289" s="81"/>
      <c r="Y289" s="81"/>
      <c r="Z289" s="81"/>
    </row>
    <row r="290" spans="1:26" ht="12" customHeight="1">
      <c r="A290" s="79"/>
      <c r="B290" s="79"/>
      <c r="C290" s="81"/>
      <c r="D290" s="81"/>
      <c r="E290" s="81"/>
      <c r="F290" s="82"/>
      <c r="G290" s="83"/>
      <c r="H290" s="83"/>
      <c r="I290" s="81"/>
      <c r="J290" s="84"/>
      <c r="K290" s="84"/>
      <c r="L290" s="84"/>
      <c r="M290" s="81"/>
      <c r="N290" s="81"/>
      <c r="O290" s="81"/>
      <c r="P290" s="81"/>
      <c r="Q290" s="81"/>
      <c r="R290" s="81"/>
      <c r="S290" s="81"/>
      <c r="T290" s="81"/>
      <c r="U290" s="81"/>
      <c r="V290" s="81"/>
      <c r="W290" s="81"/>
      <c r="X290" s="81"/>
      <c r="Y290" s="81"/>
      <c r="Z290" s="81"/>
    </row>
    <row r="291" spans="1:26" ht="12" customHeight="1">
      <c r="A291" s="79"/>
      <c r="B291" s="79"/>
      <c r="C291" s="81"/>
      <c r="D291" s="81"/>
      <c r="E291" s="81"/>
      <c r="F291" s="82"/>
      <c r="G291" s="83"/>
      <c r="H291" s="83"/>
      <c r="I291" s="81"/>
      <c r="J291" s="84"/>
      <c r="K291" s="84"/>
      <c r="L291" s="84"/>
      <c r="M291" s="81"/>
      <c r="N291" s="81"/>
      <c r="O291" s="81"/>
      <c r="P291" s="81"/>
      <c r="Q291" s="81"/>
      <c r="R291" s="81"/>
      <c r="S291" s="81"/>
      <c r="T291" s="81"/>
      <c r="U291" s="81"/>
      <c r="V291" s="81"/>
      <c r="W291" s="81"/>
      <c r="X291" s="81"/>
      <c r="Y291" s="81"/>
      <c r="Z291" s="81"/>
    </row>
    <row r="292" spans="1:26" ht="12" customHeight="1">
      <c r="A292" s="79"/>
      <c r="B292" s="79"/>
      <c r="C292" s="81"/>
      <c r="D292" s="81"/>
      <c r="E292" s="81"/>
      <c r="F292" s="82"/>
      <c r="G292" s="83"/>
      <c r="H292" s="83"/>
      <c r="I292" s="81"/>
      <c r="J292" s="84"/>
      <c r="K292" s="84"/>
      <c r="L292" s="84"/>
      <c r="M292" s="81"/>
      <c r="N292" s="81"/>
      <c r="O292" s="81"/>
      <c r="P292" s="81"/>
      <c r="Q292" s="81"/>
      <c r="R292" s="81"/>
      <c r="S292" s="81"/>
      <c r="T292" s="81"/>
      <c r="U292" s="81"/>
      <c r="V292" s="81"/>
      <c r="W292" s="81"/>
      <c r="X292" s="81"/>
      <c r="Y292" s="81"/>
      <c r="Z292" s="81"/>
    </row>
    <row r="293" spans="1:26" ht="12" customHeight="1">
      <c r="A293" s="79"/>
      <c r="B293" s="79"/>
      <c r="C293" s="81"/>
      <c r="D293" s="81"/>
      <c r="E293" s="81"/>
      <c r="F293" s="82"/>
      <c r="G293" s="83"/>
      <c r="H293" s="83"/>
      <c r="I293" s="81"/>
      <c r="J293" s="84"/>
      <c r="K293" s="84"/>
      <c r="L293" s="84"/>
      <c r="M293" s="81"/>
      <c r="N293" s="81"/>
      <c r="O293" s="81"/>
      <c r="P293" s="81"/>
      <c r="Q293" s="81"/>
      <c r="R293" s="81"/>
      <c r="S293" s="81"/>
      <c r="T293" s="81"/>
      <c r="U293" s="81"/>
      <c r="V293" s="81"/>
      <c r="W293" s="81"/>
      <c r="X293" s="81"/>
      <c r="Y293" s="81"/>
      <c r="Z293" s="81"/>
    </row>
    <row r="294" spans="1:26" ht="12" customHeight="1">
      <c r="A294" s="79"/>
      <c r="B294" s="79"/>
      <c r="C294" s="81"/>
      <c r="D294" s="81"/>
      <c r="E294" s="81"/>
      <c r="F294" s="82"/>
      <c r="G294" s="83"/>
      <c r="H294" s="83"/>
      <c r="I294" s="81"/>
      <c r="J294" s="84"/>
      <c r="K294" s="84"/>
      <c r="L294" s="84"/>
      <c r="M294" s="81"/>
      <c r="N294" s="81"/>
      <c r="O294" s="81"/>
      <c r="P294" s="81"/>
      <c r="Q294" s="81"/>
      <c r="R294" s="81"/>
      <c r="S294" s="81"/>
      <c r="T294" s="81"/>
      <c r="U294" s="81"/>
      <c r="V294" s="81"/>
      <c r="W294" s="81"/>
      <c r="X294" s="81"/>
      <c r="Y294" s="81"/>
      <c r="Z294" s="81"/>
    </row>
    <row r="295" spans="1:26" ht="12" customHeight="1">
      <c r="A295" s="79"/>
      <c r="B295" s="79"/>
      <c r="C295" s="81"/>
      <c r="D295" s="81"/>
      <c r="E295" s="81"/>
      <c r="F295" s="82"/>
      <c r="G295" s="83"/>
      <c r="H295" s="83"/>
      <c r="I295" s="81"/>
      <c r="J295" s="84"/>
      <c r="K295" s="84"/>
      <c r="L295" s="84"/>
      <c r="M295" s="81"/>
      <c r="N295" s="81"/>
      <c r="O295" s="81"/>
      <c r="P295" s="81"/>
      <c r="Q295" s="81"/>
      <c r="R295" s="81"/>
      <c r="S295" s="81"/>
      <c r="T295" s="81"/>
      <c r="U295" s="81"/>
      <c r="V295" s="81"/>
      <c r="W295" s="81"/>
      <c r="X295" s="81"/>
      <c r="Y295" s="81"/>
      <c r="Z295" s="81"/>
    </row>
    <row r="296" spans="1:26" ht="12" customHeight="1">
      <c r="A296" s="79"/>
      <c r="B296" s="79"/>
      <c r="C296" s="81"/>
      <c r="D296" s="81"/>
      <c r="E296" s="81"/>
      <c r="F296" s="82"/>
      <c r="G296" s="83"/>
      <c r="H296" s="83"/>
      <c r="I296" s="81"/>
      <c r="J296" s="84"/>
      <c r="K296" s="84"/>
      <c r="L296" s="84"/>
      <c r="M296" s="81"/>
      <c r="N296" s="81"/>
      <c r="O296" s="81"/>
      <c r="P296" s="81"/>
      <c r="Q296" s="81"/>
      <c r="R296" s="81"/>
      <c r="S296" s="81"/>
      <c r="T296" s="81"/>
      <c r="U296" s="81"/>
      <c r="V296" s="81"/>
      <c r="W296" s="81"/>
      <c r="X296" s="81"/>
      <c r="Y296" s="81"/>
      <c r="Z296" s="81"/>
    </row>
    <row r="297" spans="1:26" ht="12" customHeight="1">
      <c r="A297" s="79"/>
      <c r="B297" s="79"/>
      <c r="C297" s="81"/>
      <c r="D297" s="81"/>
      <c r="E297" s="81"/>
      <c r="F297" s="82"/>
      <c r="G297" s="83"/>
      <c r="H297" s="83"/>
      <c r="I297" s="81"/>
      <c r="J297" s="84"/>
      <c r="K297" s="84"/>
      <c r="L297" s="84"/>
      <c r="M297" s="81"/>
      <c r="N297" s="81"/>
      <c r="O297" s="81"/>
      <c r="P297" s="81"/>
      <c r="Q297" s="81"/>
      <c r="R297" s="81"/>
      <c r="S297" s="81"/>
      <c r="T297" s="81"/>
      <c r="U297" s="81"/>
      <c r="V297" s="81"/>
      <c r="W297" s="81"/>
      <c r="X297" s="81"/>
      <c r="Y297" s="81"/>
      <c r="Z297" s="81"/>
    </row>
    <row r="298" spans="1:26" ht="12" customHeight="1">
      <c r="A298" s="79"/>
      <c r="B298" s="79"/>
      <c r="C298" s="81"/>
      <c r="D298" s="81"/>
      <c r="E298" s="81"/>
      <c r="F298" s="82"/>
      <c r="G298" s="83"/>
      <c r="H298" s="83"/>
      <c r="I298" s="81"/>
      <c r="J298" s="84"/>
      <c r="K298" s="84"/>
      <c r="L298" s="84"/>
      <c r="M298" s="81"/>
      <c r="N298" s="81"/>
      <c r="O298" s="81"/>
      <c r="P298" s="81"/>
      <c r="Q298" s="81"/>
      <c r="R298" s="81"/>
      <c r="S298" s="81"/>
      <c r="T298" s="81"/>
      <c r="U298" s="81"/>
      <c r="V298" s="81"/>
      <c r="W298" s="81"/>
      <c r="X298" s="81"/>
      <c r="Y298" s="81"/>
      <c r="Z298" s="81"/>
    </row>
    <row r="299" spans="1:26" ht="12" customHeight="1">
      <c r="A299" s="79"/>
      <c r="B299" s="79"/>
      <c r="C299" s="81"/>
      <c r="D299" s="81"/>
      <c r="E299" s="81"/>
      <c r="F299" s="82"/>
      <c r="G299" s="83"/>
      <c r="H299" s="83"/>
      <c r="I299" s="81"/>
      <c r="J299" s="84"/>
      <c r="K299" s="84"/>
      <c r="L299" s="84"/>
      <c r="M299" s="81"/>
      <c r="N299" s="81"/>
      <c r="O299" s="81"/>
      <c r="P299" s="81"/>
      <c r="Q299" s="81"/>
      <c r="R299" s="81"/>
      <c r="S299" s="81"/>
      <c r="T299" s="81"/>
      <c r="U299" s="81"/>
      <c r="V299" s="81"/>
      <c r="W299" s="81"/>
      <c r="X299" s="81"/>
      <c r="Y299" s="81"/>
      <c r="Z299" s="81"/>
    </row>
    <row r="300" spans="1:26" ht="12" customHeight="1">
      <c r="A300" s="79"/>
      <c r="B300" s="79"/>
      <c r="C300" s="81"/>
      <c r="D300" s="81"/>
      <c r="E300" s="81"/>
      <c r="F300" s="82"/>
      <c r="G300" s="83"/>
      <c r="H300" s="83"/>
      <c r="I300" s="81"/>
      <c r="J300" s="84"/>
      <c r="K300" s="84"/>
      <c r="L300" s="84"/>
      <c r="M300" s="81"/>
      <c r="N300" s="81"/>
      <c r="O300" s="81"/>
      <c r="P300" s="81"/>
      <c r="Q300" s="81"/>
      <c r="R300" s="81"/>
      <c r="S300" s="81"/>
      <c r="T300" s="81"/>
      <c r="U300" s="81"/>
      <c r="V300" s="81"/>
      <c r="W300" s="81"/>
      <c r="X300" s="81"/>
      <c r="Y300" s="81"/>
      <c r="Z300" s="81"/>
    </row>
    <row r="301" spans="1:26" ht="12" customHeight="1">
      <c r="A301" s="79"/>
      <c r="B301" s="79"/>
      <c r="C301" s="81"/>
      <c r="D301" s="81"/>
      <c r="E301" s="81"/>
      <c r="F301" s="82"/>
      <c r="G301" s="83"/>
      <c r="H301" s="83"/>
      <c r="I301" s="81"/>
      <c r="J301" s="84"/>
      <c r="K301" s="84"/>
      <c r="L301" s="84"/>
      <c r="M301" s="81"/>
      <c r="N301" s="81"/>
      <c r="O301" s="81"/>
      <c r="P301" s="81"/>
      <c r="Q301" s="81"/>
      <c r="R301" s="81"/>
      <c r="S301" s="81"/>
      <c r="T301" s="81"/>
      <c r="U301" s="81"/>
      <c r="V301" s="81"/>
      <c r="W301" s="81"/>
      <c r="X301" s="81"/>
      <c r="Y301" s="81"/>
      <c r="Z301" s="81"/>
    </row>
    <row r="302" spans="1:26" ht="12" customHeight="1">
      <c r="A302" s="79"/>
      <c r="B302" s="79"/>
      <c r="C302" s="81"/>
      <c r="D302" s="81"/>
      <c r="E302" s="81"/>
      <c r="F302" s="82"/>
      <c r="G302" s="83"/>
      <c r="H302" s="83"/>
      <c r="I302" s="81"/>
      <c r="J302" s="84"/>
      <c r="K302" s="84"/>
      <c r="L302" s="84"/>
      <c r="M302" s="81"/>
      <c r="N302" s="81"/>
      <c r="O302" s="81"/>
      <c r="P302" s="81"/>
      <c r="Q302" s="81"/>
      <c r="R302" s="81"/>
      <c r="S302" s="81"/>
      <c r="T302" s="81"/>
      <c r="U302" s="81"/>
      <c r="V302" s="81"/>
      <c r="W302" s="81"/>
      <c r="X302" s="81"/>
      <c r="Y302" s="81"/>
      <c r="Z302" s="81"/>
    </row>
    <row r="303" spans="1:26" ht="12" customHeight="1">
      <c r="A303" s="79"/>
      <c r="B303" s="79"/>
      <c r="C303" s="81"/>
      <c r="D303" s="81"/>
      <c r="E303" s="81"/>
      <c r="F303" s="82"/>
      <c r="G303" s="83"/>
      <c r="H303" s="83"/>
      <c r="I303" s="81"/>
      <c r="J303" s="84"/>
      <c r="K303" s="84"/>
      <c r="L303" s="84"/>
      <c r="M303" s="81"/>
      <c r="N303" s="81"/>
      <c r="O303" s="81"/>
      <c r="P303" s="81"/>
      <c r="Q303" s="81"/>
      <c r="R303" s="81"/>
      <c r="S303" s="81"/>
      <c r="T303" s="81"/>
      <c r="U303" s="81"/>
      <c r="V303" s="81"/>
      <c r="W303" s="81"/>
      <c r="X303" s="81"/>
      <c r="Y303" s="81"/>
      <c r="Z303" s="81"/>
    </row>
    <row r="304" spans="1:26" ht="12" customHeight="1">
      <c r="A304" s="79"/>
      <c r="B304" s="79"/>
      <c r="C304" s="81"/>
      <c r="D304" s="81"/>
      <c r="E304" s="81"/>
      <c r="F304" s="82"/>
      <c r="G304" s="83"/>
      <c r="H304" s="83"/>
      <c r="I304" s="81"/>
      <c r="J304" s="84"/>
      <c r="K304" s="84"/>
      <c r="L304" s="84"/>
      <c r="M304" s="81"/>
      <c r="N304" s="81"/>
      <c r="O304" s="81"/>
      <c r="P304" s="81"/>
      <c r="Q304" s="81"/>
      <c r="R304" s="81"/>
      <c r="S304" s="81"/>
      <c r="T304" s="81"/>
      <c r="U304" s="81"/>
      <c r="V304" s="81"/>
      <c r="W304" s="81"/>
      <c r="X304" s="81"/>
      <c r="Y304" s="81"/>
      <c r="Z304" s="81"/>
    </row>
    <row r="305" spans="1:26" ht="12" customHeight="1">
      <c r="A305" s="79"/>
      <c r="B305" s="79"/>
      <c r="C305" s="81"/>
      <c r="D305" s="81"/>
      <c r="E305" s="81"/>
      <c r="F305" s="82"/>
      <c r="G305" s="83"/>
      <c r="H305" s="83"/>
      <c r="I305" s="81"/>
      <c r="J305" s="84"/>
      <c r="K305" s="84"/>
      <c r="L305" s="84"/>
      <c r="M305" s="81"/>
      <c r="N305" s="81"/>
      <c r="O305" s="81"/>
      <c r="P305" s="81"/>
      <c r="Q305" s="81"/>
      <c r="R305" s="81"/>
      <c r="S305" s="81"/>
      <c r="T305" s="81"/>
      <c r="U305" s="81"/>
      <c r="V305" s="81"/>
      <c r="W305" s="81"/>
      <c r="X305" s="81"/>
      <c r="Y305" s="81"/>
      <c r="Z305" s="81"/>
    </row>
    <row r="306" spans="1:26" ht="12" customHeight="1">
      <c r="A306" s="79"/>
      <c r="B306" s="79"/>
      <c r="C306" s="81"/>
      <c r="D306" s="81"/>
      <c r="E306" s="81"/>
      <c r="F306" s="82"/>
      <c r="G306" s="83"/>
      <c r="H306" s="83"/>
      <c r="I306" s="81"/>
      <c r="J306" s="84"/>
      <c r="K306" s="84"/>
      <c r="L306" s="84"/>
      <c r="M306" s="81"/>
      <c r="N306" s="81"/>
      <c r="O306" s="81"/>
      <c r="P306" s="81"/>
      <c r="Q306" s="81"/>
      <c r="R306" s="81"/>
      <c r="S306" s="81"/>
      <c r="T306" s="81"/>
      <c r="U306" s="81"/>
      <c r="V306" s="81"/>
      <c r="W306" s="81"/>
      <c r="X306" s="81"/>
      <c r="Y306" s="81"/>
      <c r="Z306" s="81"/>
    </row>
    <row r="307" spans="1:26" ht="12" customHeight="1">
      <c r="A307" s="79"/>
      <c r="B307" s="79"/>
      <c r="C307" s="81"/>
      <c r="D307" s="81"/>
      <c r="E307" s="81"/>
      <c r="F307" s="82"/>
      <c r="G307" s="83"/>
      <c r="H307" s="83"/>
      <c r="I307" s="81"/>
      <c r="J307" s="84"/>
      <c r="K307" s="84"/>
      <c r="L307" s="84"/>
      <c r="M307" s="81"/>
      <c r="N307" s="81"/>
      <c r="O307" s="81"/>
      <c r="P307" s="81"/>
      <c r="Q307" s="81"/>
      <c r="R307" s="81"/>
      <c r="S307" s="81"/>
      <c r="T307" s="81"/>
      <c r="U307" s="81"/>
      <c r="V307" s="81"/>
      <c r="W307" s="81"/>
      <c r="X307" s="81"/>
      <c r="Y307" s="81"/>
      <c r="Z307" s="81"/>
    </row>
    <row r="308" spans="1:26" ht="12" customHeight="1">
      <c r="A308" s="79"/>
      <c r="B308" s="79"/>
      <c r="C308" s="81"/>
      <c r="D308" s="81"/>
      <c r="E308" s="81"/>
      <c r="F308" s="82"/>
      <c r="G308" s="83"/>
      <c r="H308" s="83"/>
      <c r="I308" s="81"/>
      <c r="J308" s="84"/>
      <c r="K308" s="84"/>
      <c r="L308" s="84"/>
      <c r="M308" s="81"/>
      <c r="N308" s="81"/>
      <c r="O308" s="81"/>
      <c r="P308" s="81"/>
      <c r="Q308" s="81"/>
      <c r="R308" s="81"/>
      <c r="S308" s="81"/>
      <c r="T308" s="81"/>
      <c r="U308" s="81"/>
      <c r="V308" s="81"/>
      <c r="W308" s="81"/>
      <c r="X308" s="81"/>
      <c r="Y308" s="81"/>
      <c r="Z308" s="81"/>
    </row>
    <row r="309" spans="1:26" ht="12" customHeight="1">
      <c r="A309" s="79"/>
      <c r="B309" s="79"/>
      <c r="C309" s="81"/>
      <c r="D309" s="81"/>
      <c r="E309" s="81"/>
      <c r="F309" s="82"/>
      <c r="G309" s="83"/>
      <c r="H309" s="83"/>
      <c r="I309" s="81"/>
      <c r="J309" s="84"/>
      <c r="K309" s="84"/>
      <c r="L309" s="84"/>
      <c r="M309" s="81"/>
      <c r="N309" s="81"/>
      <c r="O309" s="81"/>
      <c r="P309" s="81"/>
      <c r="Q309" s="81"/>
      <c r="R309" s="81"/>
      <c r="S309" s="81"/>
      <c r="T309" s="81"/>
      <c r="U309" s="81"/>
      <c r="V309" s="81"/>
      <c r="W309" s="81"/>
      <c r="X309" s="81"/>
      <c r="Y309" s="81"/>
      <c r="Z309" s="81"/>
    </row>
    <row r="310" spans="1:26" ht="12" customHeight="1">
      <c r="A310" s="79"/>
      <c r="B310" s="79"/>
      <c r="C310" s="81"/>
      <c r="D310" s="81"/>
      <c r="E310" s="81"/>
      <c r="F310" s="82"/>
      <c r="G310" s="83"/>
      <c r="H310" s="83"/>
      <c r="I310" s="81"/>
      <c r="J310" s="84"/>
      <c r="K310" s="84"/>
      <c r="L310" s="84"/>
      <c r="M310" s="81"/>
      <c r="N310" s="81"/>
      <c r="O310" s="81"/>
      <c r="P310" s="81"/>
      <c r="Q310" s="81"/>
      <c r="R310" s="81"/>
      <c r="S310" s="81"/>
      <c r="T310" s="81"/>
      <c r="U310" s="81"/>
      <c r="V310" s="81"/>
      <c r="W310" s="81"/>
      <c r="X310" s="81"/>
      <c r="Y310" s="81"/>
      <c r="Z310" s="81"/>
    </row>
    <row r="311" spans="1:26" ht="12" customHeight="1">
      <c r="A311" s="79"/>
      <c r="B311" s="79"/>
      <c r="C311" s="81"/>
      <c r="D311" s="81"/>
      <c r="E311" s="81"/>
      <c r="F311" s="82"/>
      <c r="G311" s="83"/>
      <c r="H311" s="83"/>
      <c r="I311" s="81"/>
      <c r="J311" s="84"/>
      <c r="K311" s="84"/>
      <c r="L311" s="84"/>
      <c r="M311" s="81"/>
      <c r="N311" s="81"/>
      <c r="O311" s="81"/>
      <c r="P311" s="81"/>
      <c r="Q311" s="81"/>
      <c r="R311" s="81"/>
      <c r="S311" s="81"/>
      <c r="T311" s="81"/>
      <c r="U311" s="81"/>
      <c r="V311" s="81"/>
      <c r="W311" s="81"/>
      <c r="X311" s="81"/>
      <c r="Y311" s="81"/>
      <c r="Z311" s="81"/>
    </row>
    <row r="312" spans="1:26" ht="12" customHeight="1">
      <c r="A312" s="79"/>
      <c r="B312" s="79"/>
      <c r="C312" s="81"/>
      <c r="D312" s="81"/>
      <c r="E312" s="81"/>
      <c r="F312" s="82"/>
      <c r="G312" s="83"/>
      <c r="H312" s="83"/>
      <c r="I312" s="81"/>
      <c r="J312" s="84"/>
      <c r="K312" s="84"/>
      <c r="L312" s="84"/>
      <c r="M312" s="81"/>
      <c r="N312" s="81"/>
      <c r="O312" s="81"/>
      <c r="P312" s="81"/>
      <c r="Q312" s="81"/>
      <c r="R312" s="81"/>
      <c r="S312" s="81"/>
      <c r="T312" s="81"/>
      <c r="U312" s="81"/>
      <c r="V312" s="81"/>
      <c r="W312" s="81"/>
      <c r="X312" s="81"/>
      <c r="Y312" s="81"/>
      <c r="Z312" s="81"/>
    </row>
    <row r="313" spans="1:26" ht="12" customHeight="1">
      <c r="A313" s="79"/>
      <c r="B313" s="79"/>
      <c r="C313" s="81"/>
      <c r="D313" s="81"/>
      <c r="E313" s="81"/>
      <c r="F313" s="82"/>
      <c r="G313" s="83"/>
      <c r="H313" s="83"/>
      <c r="I313" s="81"/>
      <c r="J313" s="84"/>
      <c r="K313" s="84"/>
      <c r="L313" s="84"/>
      <c r="M313" s="81"/>
      <c r="N313" s="81"/>
      <c r="O313" s="81"/>
      <c r="P313" s="81"/>
      <c r="Q313" s="81"/>
      <c r="R313" s="81"/>
      <c r="S313" s="81"/>
      <c r="T313" s="81"/>
      <c r="U313" s="81"/>
      <c r="V313" s="81"/>
      <c r="W313" s="81"/>
      <c r="X313" s="81"/>
      <c r="Y313" s="81"/>
      <c r="Z313" s="81"/>
    </row>
    <row r="314" spans="1:26" ht="12" customHeight="1">
      <c r="A314" s="79"/>
      <c r="B314" s="79"/>
      <c r="C314" s="81"/>
      <c r="D314" s="81"/>
      <c r="E314" s="81"/>
      <c r="F314" s="82"/>
      <c r="G314" s="83"/>
      <c r="H314" s="83"/>
      <c r="I314" s="81"/>
      <c r="J314" s="84"/>
      <c r="K314" s="84"/>
      <c r="L314" s="84"/>
      <c r="M314" s="81"/>
      <c r="N314" s="81"/>
      <c r="O314" s="81"/>
      <c r="P314" s="81"/>
      <c r="Q314" s="81"/>
      <c r="R314" s="81"/>
      <c r="S314" s="81"/>
      <c r="T314" s="81"/>
      <c r="U314" s="81"/>
      <c r="V314" s="81"/>
      <c r="W314" s="81"/>
      <c r="X314" s="81"/>
      <c r="Y314" s="81"/>
      <c r="Z314" s="81"/>
    </row>
    <row r="315" spans="1:26" ht="12" customHeight="1">
      <c r="A315" s="79"/>
      <c r="B315" s="79"/>
      <c r="C315" s="81"/>
      <c r="D315" s="81"/>
      <c r="E315" s="81"/>
      <c r="F315" s="82"/>
      <c r="G315" s="83"/>
      <c r="H315" s="83"/>
      <c r="I315" s="81"/>
      <c r="J315" s="84"/>
      <c r="K315" s="84"/>
      <c r="L315" s="84"/>
      <c r="M315" s="81"/>
      <c r="N315" s="81"/>
      <c r="O315" s="81"/>
      <c r="P315" s="81"/>
      <c r="Q315" s="81"/>
      <c r="R315" s="81"/>
      <c r="S315" s="81"/>
      <c r="T315" s="81"/>
      <c r="U315" s="81"/>
      <c r="V315" s="81"/>
      <c r="W315" s="81"/>
      <c r="X315" s="81"/>
      <c r="Y315" s="81"/>
      <c r="Z315" s="81"/>
    </row>
    <row r="316" spans="1:26" ht="12" customHeight="1">
      <c r="A316" s="79"/>
      <c r="B316" s="79"/>
      <c r="C316" s="81"/>
      <c r="D316" s="81"/>
      <c r="E316" s="81"/>
      <c r="F316" s="82"/>
      <c r="G316" s="83"/>
      <c r="H316" s="83"/>
      <c r="I316" s="81"/>
      <c r="J316" s="84"/>
      <c r="K316" s="84"/>
      <c r="L316" s="84"/>
      <c r="M316" s="81"/>
      <c r="N316" s="81"/>
      <c r="O316" s="81"/>
      <c r="P316" s="81"/>
      <c r="Q316" s="81"/>
      <c r="R316" s="81"/>
      <c r="S316" s="81"/>
      <c r="T316" s="81"/>
      <c r="U316" s="81"/>
      <c r="V316" s="81"/>
      <c r="W316" s="81"/>
      <c r="X316" s="81"/>
      <c r="Y316" s="81"/>
      <c r="Z316" s="81"/>
    </row>
    <row r="317" spans="1:26" ht="12" customHeight="1">
      <c r="A317" s="79"/>
      <c r="B317" s="79"/>
      <c r="C317" s="81"/>
      <c r="D317" s="81"/>
      <c r="E317" s="81"/>
      <c r="F317" s="82"/>
      <c r="G317" s="83"/>
      <c r="H317" s="83"/>
      <c r="I317" s="81"/>
      <c r="J317" s="84"/>
      <c r="K317" s="84"/>
      <c r="L317" s="84"/>
      <c r="M317" s="81"/>
      <c r="N317" s="81"/>
      <c r="O317" s="81"/>
      <c r="P317" s="81"/>
      <c r="Q317" s="81"/>
      <c r="R317" s="81"/>
      <c r="S317" s="81"/>
      <c r="T317" s="81"/>
      <c r="U317" s="81"/>
      <c r="V317" s="81"/>
      <c r="W317" s="81"/>
      <c r="X317" s="81"/>
      <c r="Y317" s="81"/>
      <c r="Z317" s="81"/>
    </row>
    <row r="318" spans="1:26" ht="12" customHeight="1">
      <c r="A318" s="79"/>
      <c r="B318" s="79"/>
      <c r="C318" s="81"/>
      <c r="D318" s="81"/>
      <c r="E318" s="81"/>
      <c r="F318" s="82"/>
      <c r="G318" s="83"/>
      <c r="H318" s="83"/>
      <c r="I318" s="81"/>
      <c r="J318" s="84"/>
      <c r="K318" s="84"/>
      <c r="L318" s="84"/>
      <c r="M318" s="81"/>
      <c r="N318" s="81"/>
      <c r="O318" s="81"/>
      <c r="P318" s="81"/>
      <c r="Q318" s="81"/>
      <c r="R318" s="81"/>
      <c r="S318" s="81"/>
      <c r="T318" s="81"/>
      <c r="U318" s="81"/>
      <c r="V318" s="81"/>
      <c r="W318" s="81"/>
      <c r="X318" s="81"/>
      <c r="Y318" s="81"/>
      <c r="Z318" s="81"/>
    </row>
    <row r="319" spans="1:26" ht="12" customHeight="1">
      <c r="A319" s="79"/>
      <c r="B319" s="79"/>
      <c r="C319" s="81"/>
      <c r="D319" s="81"/>
      <c r="E319" s="81"/>
      <c r="F319" s="82"/>
      <c r="G319" s="83"/>
      <c r="H319" s="83"/>
      <c r="I319" s="81"/>
      <c r="J319" s="84"/>
      <c r="K319" s="84"/>
      <c r="L319" s="84"/>
      <c r="M319" s="81"/>
      <c r="N319" s="81"/>
      <c r="O319" s="81"/>
      <c r="P319" s="81"/>
      <c r="Q319" s="81"/>
      <c r="R319" s="81"/>
      <c r="S319" s="81"/>
      <c r="T319" s="81"/>
      <c r="U319" s="81"/>
      <c r="V319" s="81"/>
      <c r="W319" s="81"/>
      <c r="X319" s="81"/>
      <c r="Y319" s="81"/>
      <c r="Z319" s="81"/>
    </row>
    <row r="320" spans="1:26" ht="12" customHeight="1">
      <c r="A320" s="79"/>
      <c r="B320" s="79"/>
      <c r="C320" s="81"/>
      <c r="D320" s="81"/>
      <c r="E320" s="81"/>
      <c r="F320" s="82"/>
      <c r="G320" s="83"/>
      <c r="H320" s="83"/>
      <c r="I320" s="81"/>
      <c r="J320" s="84"/>
      <c r="K320" s="84"/>
      <c r="L320" s="84"/>
      <c r="M320" s="81"/>
      <c r="N320" s="81"/>
      <c r="O320" s="81"/>
      <c r="P320" s="81"/>
      <c r="Q320" s="81"/>
      <c r="R320" s="81"/>
      <c r="S320" s="81"/>
      <c r="T320" s="81"/>
      <c r="U320" s="81"/>
      <c r="V320" s="81"/>
      <c r="W320" s="81"/>
      <c r="X320" s="81"/>
      <c r="Y320" s="81"/>
      <c r="Z320" s="81"/>
    </row>
    <row r="321" spans="1:26" ht="12" customHeight="1">
      <c r="A321" s="79"/>
      <c r="B321" s="79"/>
      <c r="C321" s="81"/>
      <c r="D321" s="81"/>
      <c r="E321" s="81"/>
      <c r="F321" s="82"/>
      <c r="G321" s="83"/>
      <c r="H321" s="83"/>
      <c r="I321" s="81"/>
      <c r="J321" s="84"/>
      <c r="K321" s="84"/>
      <c r="L321" s="84"/>
      <c r="M321" s="81"/>
      <c r="N321" s="81"/>
      <c r="O321" s="81"/>
      <c r="P321" s="81"/>
      <c r="Q321" s="81"/>
      <c r="R321" s="81"/>
      <c r="S321" s="81"/>
      <c r="T321" s="81"/>
      <c r="U321" s="81"/>
      <c r="V321" s="81"/>
      <c r="W321" s="81"/>
      <c r="X321" s="81"/>
      <c r="Y321" s="81"/>
      <c r="Z321" s="81"/>
    </row>
    <row r="322" spans="1:26" ht="12" customHeight="1">
      <c r="A322" s="79"/>
      <c r="B322" s="79"/>
      <c r="C322" s="81"/>
      <c r="D322" s="81"/>
      <c r="E322" s="81"/>
      <c r="F322" s="82"/>
      <c r="G322" s="83"/>
      <c r="H322" s="83"/>
      <c r="I322" s="81"/>
      <c r="J322" s="84"/>
      <c r="K322" s="84"/>
      <c r="L322" s="84"/>
      <c r="M322" s="81"/>
      <c r="N322" s="81"/>
      <c r="O322" s="81"/>
      <c r="P322" s="81"/>
      <c r="Q322" s="81"/>
      <c r="R322" s="81"/>
      <c r="S322" s="81"/>
      <c r="T322" s="81"/>
      <c r="U322" s="81"/>
      <c r="V322" s="81"/>
      <c r="W322" s="81"/>
      <c r="X322" s="81"/>
      <c r="Y322" s="81"/>
      <c r="Z322" s="81"/>
    </row>
    <row r="323" spans="1:26" ht="12" customHeight="1">
      <c r="A323" s="79"/>
      <c r="B323" s="79"/>
      <c r="C323" s="81"/>
      <c r="D323" s="81"/>
      <c r="E323" s="81"/>
      <c r="F323" s="82"/>
      <c r="G323" s="83"/>
      <c r="H323" s="83"/>
      <c r="I323" s="81"/>
      <c r="J323" s="84"/>
      <c r="K323" s="84"/>
      <c r="L323" s="84"/>
      <c r="M323" s="81"/>
      <c r="N323" s="81"/>
      <c r="O323" s="81"/>
      <c r="P323" s="81"/>
      <c r="Q323" s="81"/>
      <c r="R323" s="81"/>
      <c r="S323" s="81"/>
      <c r="T323" s="81"/>
      <c r="U323" s="81"/>
      <c r="V323" s="81"/>
      <c r="W323" s="81"/>
      <c r="X323" s="81"/>
      <c r="Y323" s="81"/>
      <c r="Z323" s="81"/>
    </row>
    <row r="324" spans="1:26" ht="12" customHeight="1">
      <c r="A324" s="79"/>
      <c r="B324" s="79"/>
      <c r="C324" s="81"/>
      <c r="D324" s="81"/>
      <c r="E324" s="81"/>
      <c r="F324" s="82"/>
      <c r="G324" s="83"/>
      <c r="H324" s="83"/>
      <c r="I324" s="81"/>
      <c r="J324" s="84"/>
      <c r="K324" s="84"/>
      <c r="L324" s="84"/>
      <c r="M324" s="81"/>
      <c r="N324" s="81"/>
      <c r="O324" s="81"/>
      <c r="P324" s="81"/>
      <c r="Q324" s="81"/>
      <c r="R324" s="81"/>
      <c r="S324" s="81"/>
      <c r="T324" s="81"/>
      <c r="U324" s="81"/>
      <c r="V324" s="81"/>
      <c r="W324" s="81"/>
      <c r="X324" s="81"/>
      <c r="Y324" s="81"/>
      <c r="Z324" s="81"/>
    </row>
    <row r="325" spans="1:26" ht="12" customHeight="1">
      <c r="A325" s="79"/>
      <c r="B325" s="79"/>
      <c r="C325" s="81"/>
      <c r="D325" s="81"/>
      <c r="E325" s="81"/>
      <c r="F325" s="82"/>
      <c r="G325" s="83"/>
      <c r="H325" s="83"/>
      <c r="I325" s="81"/>
      <c r="J325" s="84"/>
      <c r="K325" s="84"/>
      <c r="L325" s="84"/>
      <c r="M325" s="81"/>
      <c r="N325" s="81"/>
      <c r="O325" s="81"/>
      <c r="P325" s="81"/>
      <c r="Q325" s="81"/>
      <c r="R325" s="81"/>
      <c r="S325" s="81"/>
      <c r="T325" s="81"/>
      <c r="U325" s="81"/>
      <c r="V325" s="81"/>
      <c r="W325" s="81"/>
      <c r="X325" s="81"/>
      <c r="Y325" s="81"/>
      <c r="Z325" s="81"/>
    </row>
    <row r="326" spans="1:26" ht="12" customHeight="1">
      <c r="A326" s="79"/>
      <c r="B326" s="79"/>
      <c r="C326" s="81"/>
      <c r="D326" s="81"/>
      <c r="E326" s="81"/>
      <c r="F326" s="82"/>
      <c r="G326" s="83"/>
      <c r="H326" s="83"/>
      <c r="I326" s="81"/>
      <c r="J326" s="84"/>
      <c r="K326" s="84"/>
      <c r="L326" s="84"/>
      <c r="M326" s="81"/>
      <c r="N326" s="81"/>
      <c r="O326" s="81"/>
      <c r="P326" s="81"/>
      <c r="Q326" s="81"/>
      <c r="R326" s="81"/>
      <c r="S326" s="81"/>
      <c r="T326" s="81"/>
      <c r="U326" s="81"/>
      <c r="V326" s="81"/>
      <c r="W326" s="81"/>
      <c r="X326" s="81"/>
      <c r="Y326" s="81"/>
      <c r="Z326" s="81"/>
    </row>
    <row r="327" spans="1:26" ht="12" customHeight="1">
      <c r="A327" s="79"/>
      <c r="B327" s="79"/>
      <c r="C327" s="81"/>
      <c r="D327" s="81"/>
      <c r="E327" s="81"/>
      <c r="F327" s="82"/>
      <c r="G327" s="83"/>
      <c r="H327" s="83"/>
      <c r="I327" s="81"/>
      <c r="J327" s="84"/>
      <c r="K327" s="84"/>
      <c r="L327" s="84"/>
      <c r="M327" s="81"/>
      <c r="N327" s="81"/>
      <c r="O327" s="81"/>
      <c r="P327" s="81"/>
      <c r="Q327" s="81"/>
      <c r="R327" s="81"/>
      <c r="S327" s="81"/>
      <c r="T327" s="81"/>
      <c r="U327" s="81"/>
      <c r="V327" s="81"/>
      <c r="W327" s="81"/>
      <c r="X327" s="81"/>
      <c r="Y327" s="81"/>
      <c r="Z327" s="81"/>
    </row>
    <row r="328" spans="1:26" ht="12" customHeight="1">
      <c r="A328" s="79"/>
      <c r="B328" s="79"/>
      <c r="C328" s="81"/>
      <c r="D328" s="81"/>
      <c r="E328" s="81"/>
      <c r="F328" s="82"/>
      <c r="G328" s="83"/>
      <c r="H328" s="83"/>
      <c r="I328" s="81"/>
      <c r="J328" s="84"/>
      <c r="K328" s="84"/>
      <c r="L328" s="84"/>
      <c r="M328" s="81"/>
      <c r="N328" s="81"/>
      <c r="O328" s="81"/>
      <c r="P328" s="81"/>
      <c r="Q328" s="81"/>
      <c r="R328" s="81"/>
      <c r="S328" s="81"/>
      <c r="T328" s="81"/>
      <c r="U328" s="81"/>
      <c r="V328" s="81"/>
      <c r="W328" s="81"/>
      <c r="X328" s="81"/>
      <c r="Y328" s="81"/>
      <c r="Z328" s="81"/>
    </row>
    <row r="329" spans="1:26" ht="12" customHeight="1">
      <c r="A329" s="79"/>
      <c r="B329" s="79"/>
      <c r="C329" s="81"/>
      <c r="D329" s="81"/>
      <c r="E329" s="81"/>
      <c r="F329" s="82"/>
      <c r="G329" s="83"/>
      <c r="H329" s="83"/>
      <c r="I329" s="81"/>
      <c r="J329" s="84"/>
      <c r="K329" s="84"/>
      <c r="L329" s="84"/>
      <c r="M329" s="81"/>
      <c r="N329" s="81"/>
      <c r="O329" s="81"/>
      <c r="P329" s="81"/>
      <c r="Q329" s="81"/>
      <c r="R329" s="81"/>
      <c r="S329" s="81"/>
      <c r="T329" s="81"/>
      <c r="U329" s="81"/>
      <c r="V329" s="81"/>
      <c r="W329" s="81"/>
      <c r="X329" s="81"/>
      <c r="Y329" s="81"/>
      <c r="Z329" s="81"/>
    </row>
    <row r="330" spans="1:26" ht="12" customHeight="1">
      <c r="A330" s="79"/>
      <c r="B330" s="79"/>
      <c r="C330" s="81"/>
      <c r="D330" s="81"/>
      <c r="E330" s="81"/>
      <c r="F330" s="82"/>
      <c r="G330" s="83"/>
      <c r="H330" s="83"/>
      <c r="I330" s="81"/>
      <c r="J330" s="84"/>
      <c r="K330" s="84"/>
      <c r="L330" s="84"/>
      <c r="M330" s="81"/>
      <c r="N330" s="81"/>
      <c r="O330" s="81"/>
      <c r="P330" s="81"/>
      <c r="Q330" s="81"/>
      <c r="R330" s="81"/>
      <c r="S330" s="81"/>
      <c r="T330" s="81"/>
      <c r="U330" s="81"/>
      <c r="V330" s="81"/>
      <c r="W330" s="81"/>
      <c r="X330" s="81"/>
      <c r="Y330" s="81"/>
      <c r="Z330" s="81"/>
    </row>
    <row r="331" spans="1:26" ht="12" customHeight="1">
      <c r="A331" s="79"/>
      <c r="B331" s="79"/>
      <c r="C331" s="81"/>
      <c r="D331" s="81"/>
      <c r="E331" s="81"/>
      <c r="F331" s="82"/>
      <c r="G331" s="83"/>
      <c r="H331" s="83"/>
      <c r="I331" s="81"/>
      <c r="J331" s="84"/>
      <c r="K331" s="84"/>
      <c r="L331" s="84"/>
      <c r="M331" s="81"/>
      <c r="N331" s="81"/>
      <c r="O331" s="81"/>
      <c r="P331" s="81"/>
      <c r="Q331" s="81"/>
      <c r="R331" s="81"/>
      <c r="S331" s="81"/>
      <c r="T331" s="81"/>
      <c r="U331" s="81"/>
      <c r="V331" s="81"/>
      <c r="W331" s="81"/>
      <c r="X331" s="81"/>
      <c r="Y331" s="81"/>
      <c r="Z331" s="81"/>
    </row>
    <row r="332" spans="1:26" ht="12" customHeight="1">
      <c r="A332" s="79"/>
      <c r="B332" s="79"/>
      <c r="C332" s="81"/>
      <c r="D332" s="81"/>
      <c r="E332" s="81"/>
      <c r="F332" s="82"/>
      <c r="G332" s="83"/>
      <c r="H332" s="83"/>
      <c r="I332" s="81"/>
      <c r="J332" s="84"/>
      <c r="K332" s="84"/>
      <c r="L332" s="84"/>
      <c r="M332" s="81"/>
      <c r="N332" s="81"/>
      <c r="O332" s="81"/>
      <c r="P332" s="81"/>
      <c r="Q332" s="81"/>
      <c r="R332" s="81"/>
      <c r="S332" s="81"/>
      <c r="T332" s="81"/>
      <c r="U332" s="81"/>
      <c r="V332" s="81"/>
      <c r="W332" s="81"/>
      <c r="X332" s="81"/>
      <c r="Y332" s="81"/>
      <c r="Z332" s="81"/>
    </row>
    <row r="333" spans="1:26" ht="12" customHeight="1">
      <c r="A333" s="79"/>
      <c r="B333" s="79"/>
      <c r="C333" s="81"/>
      <c r="D333" s="81"/>
      <c r="E333" s="81"/>
      <c r="F333" s="82"/>
      <c r="G333" s="83"/>
      <c r="H333" s="83"/>
      <c r="I333" s="81"/>
      <c r="J333" s="84"/>
      <c r="K333" s="84"/>
      <c r="L333" s="84"/>
      <c r="M333" s="81"/>
      <c r="N333" s="81"/>
      <c r="O333" s="81"/>
      <c r="P333" s="81"/>
      <c r="Q333" s="81"/>
      <c r="R333" s="81"/>
      <c r="S333" s="81"/>
      <c r="T333" s="81"/>
      <c r="U333" s="81"/>
      <c r="V333" s="81"/>
      <c r="W333" s="81"/>
      <c r="X333" s="81"/>
      <c r="Y333" s="81"/>
      <c r="Z333" s="81"/>
    </row>
    <row r="334" spans="1:26" ht="12" customHeight="1">
      <c r="A334" s="79"/>
      <c r="B334" s="79"/>
      <c r="C334" s="81"/>
      <c r="D334" s="81"/>
      <c r="E334" s="81"/>
      <c r="F334" s="82"/>
      <c r="G334" s="83"/>
      <c r="H334" s="83"/>
      <c r="I334" s="81"/>
      <c r="J334" s="84"/>
      <c r="K334" s="84"/>
      <c r="L334" s="84"/>
      <c r="M334" s="81"/>
      <c r="N334" s="81"/>
      <c r="O334" s="81"/>
      <c r="P334" s="81"/>
      <c r="Q334" s="81"/>
      <c r="R334" s="81"/>
      <c r="S334" s="81"/>
      <c r="T334" s="81"/>
      <c r="U334" s="81"/>
      <c r="V334" s="81"/>
      <c r="W334" s="81"/>
      <c r="X334" s="81"/>
      <c r="Y334" s="81"/>
      <c r="Z334" s="81"/>
    </row>
    <row r="335" spans="1:26" ht="12" customHeight="1">
      <c r="A335" s="79"/>
      <c r="B335" s="79"/>
      <c r="C335" s="81"/>
      <c r="D335" s="81"/>
      <c r="E335" s="81"/>
      <c r="F335" s="82"/>
      <c r="G335" s="83"/>
      <c r="H335" s="83"/>
      <c r="I335" s="81"/>
      <c r="J335" s="84"/>
      <c r="K335" s="84"/>
      <c r="L335" s="84"/>
      <c r="M335" s="81"/>
      <c r="N335" s="81"/>
      <c r="O335" s="81"/>
      <c r="P335" s="81"/>
      <c r="Q335" s="81"/>
      <c r="R335" s="81"/>
      <c r="S335" s="81"/>
      <c r="T335" s="81"/>
      <c r="U335" s="81"/>
      <c r="V335" s="81"/>
      <c r="W335" s="81"/>
      <c r="X335" s="81"/>
      <c r="Y335" s="81"/>
      <c r="Z335" s="81"/>
    </row>
    <row r="336" spans="1:26" ht="12" customHeight="1">
      <c r="A336" s="79"/>
      <c r="B336" s="79"/>
      <c r="C336" s="81"/>
      <c r="D336" s="81"/>
      <c r="E336" s="81"/>
      <c r="F336" s="82"/>
      <c r="G336" s="83"/>
      <c r="H336" s="83"/>
      <c r="I336" s="81"/>
      <c r="J336" s="84"/>
      <c r="K336" s="84"/>
      <c r="L336" s="84"/>
      <c r="M336" s="81"/>
      <c r="N336" s="81"/>
      <c r="O336" s="81"/>
      <c r="P336" s="81"/>
      <c r="Q336" s="81"/>
      <c r="R336" s="81"/>
      <c r="S336" s="81"/>
      <c r="T336" s="81"/>
      <c r="U336" s="81"/>
      <c r="V336" s="81"/>
      <c r="W336" s="81"/>
      <c r="X336" s="81"/>
      <c r="Y336" s="81"/>
      <c r="Z336" s="81"/>
    </row>
    <row r="337" spans="1:26" ht="12" customHeight="1">
      <c r="A337" s="79"/>
      <c r="B337" s="79"/>
      <c r="C337" s="81"/>
      <c r="D337" s="81"/>
      <c r="E337" s="81"/>
      <c r="F337" s="82"/>
      <c r="G337" s="83"/>
      <c r="H337" s="83"/>
      <c r="I337" s="81"/>
      <c r="J337" s="84"/>
      <c r="K337" s="84"/>
      <c r="L337" s="84"/>
      <c r="M337" s="81"/>
      <c r="N337" s="81"/>
      <c r="O337" s="81"/>
      <c r="P337" s="81"/>
      <c r="Q337" s="81"/>
      <c r="R337" s="81"/>
      <c r="S337" s="81"/>
      <c r="T337" s="81"/>
      <c r="U337" s="81"/>
      <c r="V337" s="81"/>
      <c r="W337" s="81"/>
      <c r="X337" s="81"/>
      <c r="Y337" s="81"/>
      <c r="Z337" s="81"/>
    </row>
    <row r="338" spans="1:26" ht="12" customHeight="1">
      <c r="A338" s="79"/>
      <c r="B338" s="79"/>
      <c r="C338" s="81"/>
      <c r="D338" s="81"/>
      <c r="E338" s="81"/>
      <c r="F338" s="82"/>
      <c r="G338" s="83"/>
      <c r="H338" s="83"/>
      <c r="I338" s="81"/>
      <c r="J338" s="84"/>
      <c r="K338" s="84"/>
      <c r="L338" s="84"/>
      <c r="M338" s="81"/>
      <c r="N338" s="81"/>
      <c r="O338" s="81"/>
      <c r="P338" s="81"/>
      <c r="Q338" s="81"/>
      <c r="R338" s="81"/>
      <c r="S338" s="81"/>
      <c r="T338" s="81"/>
      <c r="U338" s="81"/>
      <c r="V338" s="81"/>
      <c r="W338" s="81"/>
      <c r="X338" s="81"/>
      <c r="Y338" s="81"/>
      <c r="Z338" s="81"/>
    </row>
    <row r="339" spans="1:26" ht="12" customHeight="1">
      <c r="A339" s="79"/>
      <c r="B339" s="79"/>
      <c r="C339" s="81"/>
      <c r="D339" s="81"/>
      <c r="E339" s="81"/>
      <c r="F339" s="82"/>
      <c r="G339" s="83"/>
      <c r="H339" s="83"/>
      <c r="I339" s="81"/>
      <c r="J339" s="84"/>
      <c r="K339" s="84"/>
      <c r="L339" s="84"/>
      <c r="M339" s="81"/>
      <c r="N339" s="81"/>
      <c r="O339" s="81"/>
      <c r="P339" s="81"/>
      <c r="Q339" s="81"/>
      <c r="R339" s="81"/>
      <c r="S339" s="81"/>
      <c r="T339" s="81"/>
      <c r="U339" s="81"/>
      <c r="V339" s="81"/>
      <c r="W339" s="81"/>
      <c r="X339" s="81"/>
      <c r="Y339" s="81"/>
      <c r="Z339" s="81"/>
    </row>
    <row r="340" spans="1:26" ht="12" customHeight="1">
      <c r="A340" s="79"/>
      <c r="B340" s="79"/>
      <c r="C340" s="81"/>
      <c r="D340" s="81"/>
      <c r="E340" s="81"/>
      <c r="F340" s="82"/>
      <c r="G340" s="83"/>
      <c r="H340" s="83"/>
      <c r="I340" s="81"/>
      <c r="J340" s="84"/>
      <c r="K340" s="84"/>
      <c r="L340" s="84"/>
      <c r="M340" s="81"/>
      <c r="N340" s="81"/>
      <c r="O340" s="81"/>
      <c r="P340" s="81"/>
      <c r="Q340" s="81"/>
      <c r="R340" s="81"/>
      <c r="S340" s="81"/>
      <c r="T340" s="81"/>
      <c r="U340" s="81"/>
      <c r="V340" s="81"/>
      <c r="W340" s="81"/>
      <c r="X340" s="81"/>
      <c r="Y340" s="81"/>
      <c r="Z340" s="81"/>
    </row>
    <row r="341" spans="1:26" ht="12" customHeight="1">
      <c r="A341" s="79"/>
      <c r="B341" s="79"/>
      <c r="C341" s="81"/>
      <c r="D341" s="81"/>
      <c r="E341" s="81"/>
      <c r="F341" s="82"/>
      <c r="G341" s="83"/>
      <c r="H341" s="83"/>
      <c r="I341" s="81"/>
      <c r="J341" s="84"/>
      <c r="K341" s="84"/>
      <c r="L341" s="84"/>
      <c r="M341" s="81"/>
      <c r="N341" s="81"/>
      <c r="O341" s="81"/>
      <c r="P341" s="81"/>
      <c r="Q341" s="81"/>
      <c r="R341" s="81"/>
      <c r="S341" s="81"/>
      <c r="T341" s="81"/>
      <c r="U341" s="81"/>
      <c r="V341" s="81"/>
      <c r="W341" s="81"/>
      <c r="X341" s="81"/>
      <c r="Y341" s="81"/>
      <c r="Z341" s="81"/>
    </row>
    <row r="342" spans="1:26" ht="12" customHeight="1">
      <c r="A342" s="79"/>
      <c r="B342" s="79"/>
      <c r="C342" s="81"/>
      <c r="D342" s="81"/>
      <c r="E342" s="81"/>
      <c r="F342" s="82"/>
      <c r="G342" s="83"/>
      <c r="H342" s="83"/>
      <c r="I342" s="81"/>
      <c r="J342" s="84"/>
      <c r="K342" s="84"/>
      <c r="L342" s="84"/>
      <c r="M342" s="81"/>
      <c r="N342" s="81"/>
      <c r="O342" s="81"/>
      <c r="P342" s="81"/>
      <c r="Q342" s="81"/>
      <c r="R342" s="81"/>
      <c r="S342" s="81"/>
      <c r="T342" s="81"/>
      <c r="U342" s="81"/>
      <c r="V342" s="81"/>
      <c r="W342" s="81"/>
      <c r="X342" s="81"/>
      <c r="Y342" s="81"/>
      <c r="Z342" s="81"/>
    </row>
    <row r="343" spans="1:26" ht="12" customHeight="1">
      <c r="A343" s="79"/>
      <c r="B343" s="79"/>
      <c r="C343" s="81"/>
      <c r="D343" s="81"/>
      <c r="E343" s="81"/>
      <c r="F343" s="82"/>
      <c r="G343" s="83"/>
      <c r="H343" s="83"/>
      <c r="I343" s="81"/>
      <c r="J343" s="84"/>
      <c r="K343" s="84"/>
      <c r="L343" s="84"/>
      <c r="M343" s="81"/>
      <c r="N343" s="81"/>
      <c r="O343" s="81"/>
      <c r="P343" s="81"/>
      <c r="Q343" s="81"/>
      <c r="R343" s="81"/>
      <c r="S343" s="81"/>
      <c r="T343" s="81"/>
      <c r="U343" s="81"/>
      <c r="V343" s="81"/>
      <c r="W343" s="81"/>
      <c r="X343" s="81"/>
      <c r="Y343" s="81"/>
      <c r="Z343" s="81"/>
    </row>
    <row r="344" spans="1:26" ht="12" customHeight="1">
      <c r="A344" s="79"/>
      <c r="B344" s="79"/>
      <c r="C344" s="81"/>
      <c r="D344" s="81"/>
      <c r="E344" s="81"/>
      <c r="F344" s="82"/>
      <c r="G344" s="83"/>
      <c r="H344" s="83"/>
      <c r="I344" s="81"/>
      <c r="J344" s="84"/>
      <c r="K344" s="84"/>
      <c r="L344" s="84"/>
      <c r="M344" s="81"/>
      <c r="N344" s="81"/>
      <c r="O344" s="81"/>
      <c r="P344" s="81"/>
      <c r="Q344" s="81"/>
      <c r="R344" s="81"/>
      <c r="S344" s="81"/>
      <c r="T344" s="81"/>
      <c r="U344" s="81"/>
      <c r="V344" s="81"/>
      <c r="W344" s="81"/>
      <c r="X344" s="81"/>
      <c r="Y344" s="81"/>
      <c r="Z344" s="81"/>
    </row>
    <row r="345" spans="1:26" ht="12" customHeight="1">
      <c r="A345" s="79"/>
      <c r="B345" s="79"/>
      <c r="C345" s="81"/>
      <c r="D345" s="81"/>
      <c r="E345" s="81"/>
      <c r="F345" s="82"/>
      <c r="G345" s="83"/>
      <c r="H345" s="83"/>
      <c r="I345" s="81"/>
      <c r="J345" s="84"/>
      <c r="K345" s="84"/>
      <c r="L345" s="84"/>
      <c r="M345" s="81"/>
      <c r="N345" s="81"/>
      <c r="O345" s="81"/>
      <c r="P345" s="81"/>
      <c r="Q345" s="81"/>
      <c r="R345" s="81"/>
      <c r="S345" s="81"/>
      <c r="T345" s="81"/>
      <c r="U345" s="81"/>
      <c r="V345" s="81"/>
      <c r="W345" s="81"/>
      <c r="X345" s="81"/>
      <c r="Y345" s="81"/>
      <c r="Z345" s="81"/>
    </row>
    <row r="346" spans="1:26" ht="12" customHeight="1">
      <c r="A346" s="79"/>
      <c r="B346" s="79"/>
      <c r="C346" s="81"/>
      <c r="D346" s="81"/>
      <c r="E346" s="81"/>
      <c r="F346" s="82"/>
      <c r="G346" s="83"/>
      <c r="H346" s="83"/>
      <c r="I346" s="81"/>
      <c r="J346" s="84"/>
      <c r="K346" s="84"/>
      <c r="L346" s="84"/>
      <c r="M346" s="81"/>
      <c r="N346" s="81"/>
      <c r="O346" s="81"/>
      <c r="P346" s="81"/>
      <c r="Q346" s="81"/>
      <c r="R346" s="81"/>
      <c r="S346" s="81"/>
      <c r="T346" s="81"/>
      <c r="U346" s="81"/>
      <c r="V346" s="81"/>
      <c r="W346" s="81"/>
      <c r="X346" s="81"/>
      <c r="Y346" s="81"/>
      <c r="Z346" s="81"/>
    </row>
    <row r="347" spans="1:26" ht="12" customHeight="1">
      <c r="A347" s="79"/>
      <c r="B347" s="79"/>
      <c r="C347" s="81"/>
      <c r="D347" s="81"/>
      <c r="E347" s="81"/>
      <c r="F347" s="82"/>
      <c r="G347" s="83"/>
      <c r="H347" s="83"/>
      <c r="I347" s="81"/>
      <c r="J347" s="84"/>
      <c r="K347" s="84"/>
      <c r="L347" s="84"/>
      <c r="M347" s="81"/>
      <c r="N347" s="81"/>
      <c r="O347" s="81"/>
      <c r="P347" s="81"/>
      <c r="Q347" s="81"/>
      <c r="R347" s="81"/>
      <c r="S347" s="81"/>
      <c r="T347" s="81"/>
      <c r="U347" s="81"/>
      <c r="V347" s="81"/>
      <c r="W347" s="81"/>
      <c r="X347" s="81"/>
      <c r="Y347" s="81"/>
      <c r="Z347" s="81"/>
    </row>
    <row r="348" spans="1:26" ht="12" customHeight="1">
      <c r="A348" s="79"/>
      <c r="B348" s="79"/>
      <c r="C348" s="81"/>
      <c r="D348" s="81"/>
      <c r="E348" s="81"/>
      <c r="F348" s="82"/>
      <c r="G348" s="83"/>
      <c r="H348" s="83"/>
      <c r="I348" s="81"/>
      <c r="J348" s="84"/>
      <c r="K348" s="84"/>
      <c r="L348" s="84"/>
      <c r="M348" s="81"/>
      <c r="N348" s="81"/>
      <c r="O348" s="81"/>
      <c r="P348" s="81"/>
      <c r="Q348" s="81"/>
      <c r="R348" s="81"/>
      <c r="S348" s="81"/>
      <c r="T348" s="81"/>
      <c r="U348" s="81"/>
      <c r="V348" s="81"/>
      <c r="W348" s="81"/>
      <c r="X348" s="81"/>
      <c r="Y348" s="81"/>
      <c r="Z348" s="81"/>
    </row>
    <row r="349" spans="1:26" ht="12" customHeight="1">
      <c r="A349" s="79"/>
      <c r="B349" s="79"/>
      <c r="C349" s="81"/>
      <c r="D349" s="81"/>
      <c r="E349" s="81"/>
      <c r="F349" s="82"/>
      <c r="G349" s="83"/>
      <c r="H349" s="83"/>
      <c r="I349" s="81"/>
      <c r="J349" s="84"/>
      <c r="K349" s="84"/>
      <c r="L349" s="84"/>
      <c r="M349" s="81"/>
      <c r="N349" s="81"/>
      <c r="O349" s="81"/>
      <c r="P349" s="81"/>
      <c r="Q349" s="81"/>
      <c r="R349" s="81"/>
      <c r="S349" s="81"/>
      <c r="T349" s="81"/>
      <c r="U349" s="81"/>
      <c r="V349" s="81"/>
      <c r="W349" s="81"/>
      <c r="X349" s="81"/>
      <c r="Y349" s="81"/>
      <c r="Z349" s="81"/>
    </row>
    <row r="350" spans="1:26" ht="12" customHeight="1">
      <c r="A350" s="79"/>
      <c r="B350" s="79"/>
      <c r="C350" s="81"/>
      <c r="D350" s="81"/>
      <c r="E350" s="81"/>
      <c r="F350" s="82"/>
      <c r="G350" s="83"/>
      <c r="H350" s="83"/>
      <c r="I350" s="81"/>
      <c r="J350" s="84"/>
      <c r="K350" s="84"/>
      <c r="L350" s="84"/>
      <c r="M350" s="81"/>
      <c r="N350" s="81"/>
      <c r="O350" s="81"/>
      <c r="P350" s="81"/>
      <c r="Q350" s="81"/>
      <c r="R350" s="81"/>
      <c r="S350" s="81"/>
      <c r="T350" s="81"/>
      <c r="U350" s="81"/>
      <c r="V350" s="81"/>
      <c r="W350" s="81"/>
      <c r="X350" s="81"/>
      <c r="Y350" s="81"/>
      <c r="Z350" s="81"/>
    </row>
    <row r="351" spans="1:26" ht="12" customHeight="1">
      <c r="A351" s="79"/>
      <c r="B351" s="79"/>
      <c r="C351" s="81"/>
      <c r="D351" s="81"/>
      <c r="E351" s="81"/>
      <c r="F351" s="82"/>
      <c r="G351" s="83"/>
      <c r="H351" s="83"/>
      <c r="I351" s="81"/>
      <c r="J351" s="84"/>
      <c r="K351" s="84"/>
      <c r="L351" s="84"/>
      <c r="M351" s="81"/>
      <c r="N351" s="81"/>
      <c r="O351" s="81"/>
      <c r="P351" s="81"/>
      <c r="Q351" s="81"/>
      <c r="R351" s="81"/>
      <c r="S351" s="81"/>
      <c r="T351" s="81"/>
      <c r="U351" s="81"/>
      <c r="V351" s="81"/>
      <c r="W351" s="81"/>
      <c r="X351" s="81"/>
      <c r="Y351" s="81"/>
      <c r="Z351" s="81"/>
    </row>
    <row r="352" spans="1:26" ht="12" customHeight="1">
      <c r="A352" s="79"/>
      <c r="B352" s="79"/>
      <c r="C352" s="81"/>
      <c r="D352" s="81"/>
      <c r="E352" s="81"/>
      <c r="F352" s="82"/>
      <c r="G352" s="83"/>
      <c r="H352" s="83"/>
      <c r="I352" s="81"/>
      <c r="J352" s="84"/>
      <c r="K352" s="84"/>
      <c r="L352" s="84"/>
      <c r="M352" s="81"/>
      <c r="N352" s="81"/>
      <c r="O352" s="81"/>
      <c r="P352" s="81"/>
      <c r="Q352" s="81"/>
      <c r="R352" s="81"/>
      <c r="S352" s="81"/>
      <c r="T352" s="81"/>
      <c r="U352" s="81"/>
      <c r="V352" s="81"/>
      <c r="W352" s="81"/>
      <c r="X352" s="81"/>
      <c r="Y352" s="81"/>
      <c r="Z352" s="81"/>
    </row>
    <row r="353" spans="1:26" ht="12" customHeight="1">
      <c r="A353" s="79"/>
      <c r="B353" s="79"/>
      <c r="C353" s="81"/>
      <c r="D353" s="81"/>
      <c r="E353" s="81"/>
      <c r="F353" s="82"/>
      <c r="G353" s="83"/>
      <c r="H353" s="83"/>
      <c r="I353" s="81"/>
      <c r="J353" s="84"/>
      <c r="K353" s="84"/>
      <c r="L353" s="84"/>
      <c r="M353" s="81"/>
      <c r="N353" s="81"/>
      <c r="O353" s="81"/>
      <c r="P353" s="81"/>
      <c r="Q353" s="81"/>
      <c r="R353" s="81"/>
      <c r="S353" s="81"/>
      <c r="T353" s="81"/>
      <c r="U353" s="81"/>
      <c r="V353" s="81"/>
      <c r="W353" s="81"/>
      <c r="X353" s="81"/>
      <c r="Y353" s="81"/>
      <c r="Z353" s="81"/>
    </row>
    <row r="354" spans="1:26" ht="12" customHeight="1">
      <c r="A354" s="79"/>
      <c r="B354" s="79"/>
      <c r="C354" s="81"/>
      <c r="D354" s="81"/>
      <c r="E354" s="81"/>
      <c r="F354" s="82"/>
      <c r="G354" s="83"/>
      <c r="H354" s="83"/>
      <c r="I354" s="81"/>
      <c r="J354" s="84"/>
      <c r="K354" s="84"/>
      <c r="L354" s="84"/>
      <c r="M354" s="81"/>
      <c r="N354" s="81"/>
      <c r="O354" s="81"/>
      <c r="P354" s="81"/>
      <c r="Q354" s="81"/>
      <c r="R354" s="81"/>
      <c r="S354" s="81"/>
      <c r="T354" s="81"/>
      <c r="U354" s="81"/>
      <c r="V354" s="81"/>
      <c r="W354" s="81"/>
      <c r="X354" s="81"/>
      <c r="Y354" s="81"/>
      <c r="Z354" s="81"/>
    </row>
    <row r="355" spans="1:26" ht="12" customHeight="1">
      <c r="A355" s="79"/>
      <c r="B355" s="79"/>
      <c r="C355" s="81"/>
      <c r="D355" s="81"/>
      <c r="E355" s="81"/>
      <c r="F355" s="82"/>
      <c r="G355" s="83"/>
      <c r="H355" s="83"/>
      <c r="I355" s="81"/>
      <c r="J355" s="84"/>
      <c r="K355" s="84"/>
      <c r="L355" s="84"/>
      <c r="M355" s="81"/>
      <c r="N355" s="81"/>
      <c r="O355" s="81"/>
      <c r="P355" s="81"/>
      <c r="Q355" s="81"/>
      <c r="R355" s="81"/>
      <c r="S355" s="81"/>
      <c r="T355" s="81"/>
      <c r="U355" s="81"/>
      <c r="V355" s="81"/>
      <c r="W355" s="81"/>
      <c r="X355" s="81"/>
      <c r="Y355" s="81"/>
      <c r="Z355" s="81"/>
    </row>
    <row r="356" spans="1:26" ht="12" customHeight="1">
      <c r="A356" s="79"/>
      <c r="B356" s="79"/>
      <c r="C356" s="81"/>
      <c r="D356" s="81"/>
      <c r="E356" s="81"/>
      <c r="F356" s="82"/>
      <c r="G356" s="83"/>
      <c r="H356" s="83"/>
      <c r="I356" s="81"/>
      <c r="J356" s="84"/>
      <c r="K356" s="84"/>
      <c r="L356" s="84"/>
      <c r="M356" s="81"/>
      <c r="N356" s="81"/>
      <c r="O356" s="81"/>
      <c r="P356" s="81"/>
      <c r="Q356" s="81"/>
      <c r="R356" s="81"/>
      <c r="S356" s="81"/>
      <c r="T356" s="81"/>
      <c r="U356" s="81"/>
      <c r="V356" s="81"/>
      <c r="W356" s="81"/>
      <c r="X356" s="81"/>
      <c r="Y356" s="81"/>
      <c r="Z356" s="81"/>
    </row>
    <row r="357" spans="1:26" ht="12" customHeight="1">
      <c r="A357" s="79"/>
      <c r="B357" s="79"/>
      <c r="C357" s="81"/>
      <c r="D357" s="81"/>
      <c r="E357" s="81"/>
      <c r="F357" s="82"/>
      <c r="G357" s="83"/>
      <c r="H357" s="83"/>
      <c r="I357" s="81"/>
      <c r="J357" s="84"/>
      <c r="K357" s="84"/>
      <c r="L357" s="84"/>
      <c r="M357" s="81"/>
      <c r="N357" s="81"/>
      <c r="O357" s="81"/>
      <c r="P357" s="81"/>
      <c r="Q357" s="81"/>
      <c r="R357" s="81"/>
      <c r="S357" s="81"/>
      <c r="T357" s="81"/>
      <c r="U357" s="81"/>
      <c r="V357" s="81"/>
      <c r="W357" s="81"/>
      <c r="X357" s="81"/>
      <c r="Y357" s="81"/>
      <c r="Z357" s="81"/>
    </row>
    <row r="358" spans="1:26" ht="12" customHeight="1">
      <c r="A358" s="79"/>
      <c r="B358" s="79"/>
      <c r="C358" s="81"/>
      <c r="D358" s="81"/>
      <c r="E358" s="81"/>
      <c r="F358" s="82"/>
      <c r="G358" s="83"/>
      <c r="H358" s="83"/>
      <c r="I358" s="81"/>
      <c r="J358" s="84"/>
      <c r="K358" s="84"/>
      <c r="L358" s="84"/>
      <c r="M358" s="81"/>
      <c r="N358" s="81"/>
      <c r="O358" s="81"/>
      <c r="P358" s="81"/>
      <c r="Q358" s="81"/>
      <c r="R358" s="81"/>
      <c r="S358" s="81"/>
      <c r="T358" s="81"/>
      <c r="U358" s="81"/>
      <c r="V358" s="81"/>
      <c r="W358" s="81"/>
      <c r="X358" s="81"/>
      <c r="Y358" s="81"/>
      <c r="Z358" s="81"/>
    </row>
    <row r="359" spans="1:26" ht="12" customHeight="1">
      <c r="A359" s="79"/>
      <c r="B359" s="79"/>
      <c r="C359" s="81"/>
      <c r="D359" s="81"/>
      <c r="E359" s="81"/>
      <c r="F359" s="82"/>
      <c r="G359" s="83"/>
      <c r="H359" s="83"/>
      <c r="I359" s="81"/>
      <c r="J359" s="84"/>
      <c r="K359" s="84"/>
      <c r="L359" s="84"/>
      <c r="M359" s="81"/>
      <c r="N359" s="81"/>
      <c r="O359" s="81"/>
      <c r="P359" s="81"/>
      <c r="Q359" s="81"/>
      <c r="R359" s="81"/>
      <c r="S359" s="81"/>
      <c r="T359" s="81"/>
      <c r="U359" s="81"/>
      <c r="V359" s="81"/>
      <c r="W359" s="81"/>
      <c r="X359" s="81"/>
      <c r="Y359" s="81"/>
      <c r="Z359" s="81"/>
    </row>
    <row r="360" spans="1:26" ht="12" customHeight="1">
      <c r="A360" s="79"/>
      <c r="B360" s="79"/>
      <c r="C360" s="81"/>
      <c r="D360" s="81"/>
      <c r="E360" s="81"/>
      <c r="F360" s="82"/>
      <c r="G360" s="83"/>
      <c r="H360" s="83"/>
      <c r="I360" s="81"/>
      <c r="J360" s="84"/>
      <c r="K360" s="84"/>
      <c r="L360" s="84"/>
      <c r="M360" s="81"/>
      <c r="N360" s="81"/>
      <c r="O360" s="81"/>
      <c r="P360" s="81"/>
      <c r="Q360" s="81"/>
      <c r="R360" s="81"/>
      <c r="S360" s="81"/>
      <c r="T360" s="81"/>
      <c r="U360" s="81"/>
      <c r="V360" s="81"/>
      <c r="W360" s="81"/>
      <c r="X360" s="81"/>
      <c r="Y360" s="81"/>
      <c r="Z360" s="81"/>
    </row>
    <row r="361" spans="1:26" ht="12" customHeight="1">
      <c r="A361" s="79"/>
      <c r="B361" s="79"/>
      <c r="C361" s="81"/>
      <c r="D361" s="81"/>
      <c r="E361" s="81"/>
      <c r="F361" s="82"/>
      <c r="G361" s="83"/>
      <c r="H361" s="83"/>
      <c r="I361" s="81"/>
      <c r="J361" s="84"/>
      <c r="K361" s="84"/>
      <c r="L361" s="84"/>
      <c r="M361" s="81"/>
      <c r="N361" s="81"/>
      <c r="O361" s="81"/>
      <c r="P361" s="81"/>
      <c r="Q361" s="81"/>
      <c r="R361" s="81"/>
      <c r="S361" s="81"/>
      <c r="T361" s="81"/>
      <c r="U361" s="81"/>
      <c r="V361" s="81"/>
      <c r="W361" s="81"/>
      <c r="X361" s="81"/>
      <c r="Y361" s="81"/>
      <c r="Z361" s="81"/>
    </row>
    <row r="362" spans="1:26" ht="12" customHeight="1">
      <c r="A362" s="79"/>
      <c r="B362" s="79"/>
      <c r="C362" s="81"/>
      <c r="D362" s="81"/>
      <c r="E362" s="81"/>
      <c r="F362" s="82"/>
      <c r="G362" s="83"/>
      <c r="H362" s="83"/>
      <c r="I362" s="81"/>
      <c r="J362" s="84"/>
      <c r="K362" s="84"/>
      <c r="L362" s="84"/>
      <c r="M362" s="81"/>
      <c r="N362" s="81"/>
      <c r="O362" s="81"/>
      <c r="P362" s="81"/>
      <c r="Q362" s="81"/>
      <c r="R362" s="81"/>
      <c r="S362" s="81"/>
      <c r="T362" s="81"/>
      <c r="U362" s="81"/>
      <c r="V362" s="81"/>
      <c r="W362" s="81"/>
      <c r="X362" s="81"/>
      <c r="Y362" s="81"/>
      <c r="Z362" s="81"/>
    </row>
    <row r="363" spans="1:26" ht="12" customHeight="1">
      <c r="A363" s="79"/>
      <c r="B363" s="79"/>
      <c r="C363" s="81"/>
      <c r="D363" s="81"/>
      <c r="E363" s="81"/>
      <c r="F363" s="82"/>
      <c r="G363" s="83"/>
      <c r="H363" s="83"/>
      <c r="I363" s="81"/>
      <c r="J363" s="84"/>
      <c r="K363" s="84"/>
      <c r="L363" s="84"/>
      <c r="M363" s="81"/>
      <c r="N363" s="81"/>
      <c r="O363" s="81"/>
      <c r="P363" s="81"/>
      <c r="Q363" s="81"/>
      <c r="R363" s="81"/>
      <c r="S363" s="81"/>
      <c r="T363" s="81"/>
      <c r="U363" s="81"/>
      <c r="V363" s="81"/>
      <c r="W363" s="81"/>
      <c r="X363" s="81"/>
      <c r="Y363" s="81"/>
      <c r="Z363" s="81"/>
    </row>
    <row r="364" spans="1:26" ht="12" customHeight="1">
      <c r="A364" s="79"/>
      <c r="B364" s="79"/>
      <c r="C364" s="81"/>
      <c r="D364" s="81"/>
      <c r="E364" s="81"/>
      <c r="F364" s="82"/>
      <c r="G364" s="83"/>
      <c r="H364" s="83"/>
      <c r="I364" s="81"/>
      <c r="J364" s="84"/>
      <c r="K364" s="84"/>
      <c r="L364" s="84"/>
      <c r="M364" s="81"/>
      <c r="N364" s="81"/>
      <c r="O364" s="81"/>
      <c r="P364" s="81"/>
      <c r="Q364" s="81"/>
      <c r="R364" s="81"/>
      <c r="S364" s="81"/>
      <c r="T364" s="81"/>
      <c r="U364" s="81"/>
      <c r="V364" s="81"/>
      <c r="W364" s="81"/>
      <c r="X364" s="81"/>
      <c r="Y364" s="81"/>
      <c r="Z364" s="81"/>
    </row>
    <row r="365" spans="1:26" ht="12" customHeight="1">
      <c r="A365" s="79"/>
      <c r="B365" s="79"/>
      <c r="C365" s="81"/>
      <c r="D365" s="81"/>
      <c r="E365" s="81"/>
      <c r="F365" s="82"/>
      <c r="G365" s="83"/>
      <c r="H365" s="83"/>
      <c r="I365" s="81"/>
      <c r="J365" s="84"/>
      <c r="K365" s="84"/>
      <c r="L365" s="84"/>
      <c r="M365" s="81"/>
      <c r="N365" s="81"/>
      <c r="O365" s="81"/>
      <c r="P365" s="81"/>
      <c r="Q365" s="81"/>
      <c r="R365" s="81"/>
      <c r="S365" s="81"/>
      <c r="T365" s="81"/>
      <c r="U365" s="81"/>
      <c r="V365" s="81"/>
      <c r="W365" s="81"/>
      <c r="X365" s="81"/>
      <c r="Y365" s="81"/>
      <c r="Z365" s="81"/>
    </row>
    <row r="366" spans="1:26" ht="12" customHeight="1">
      <c r="A366" s="79"/>
      <c r="B366" s="79"/>
      <c r="C366" s="81"/>
      <c r="D366" s="81"/>
      <c r="E366" s="81"/>
      <c r="F366" s="82"/>
      <c r="G366" s="83"/>
      <c r="H366" s="83"/>
      <c r="I366" s="81"/>
      <c r="J366" s="84"/>
      <c r="K366" s="84"/>
      <c r="L366" s="84"/>
      <c r="M366" s="81"/>
      <c r="N366" s="81"/>
      <c r="O366" s="81"/>
      <c r="P366" s="81"/>
      <c r="Q366" s="81"/>
      <c r="R366" s="81"/>
      <c r="S366" s="81"/>
      <c r="T366" s="81"/>
      <c r="U366" s="81"/>
      <c r="V366" s="81"/>
      <c r="W366" s="81"/>
      <c r="X366" s="81"/>
      <c r="Y366" s="81"/>
      <c r="Z366" s="81"/>
    </row>
    <row r="367" spans="1:26" ht="12" customHeight="1">
      <c r="A367" s="79"/>
      <c r="B367" s="79"/>
      <c r="C367" s="81"/>
      <c r="D367" s="81"/>
      <c r="E367" s="81"/>
      <c r="F367" s="82"/>
      <c r="G367" s="83"/>
      <c r="H367" s="83"/>
      <c r="I367" s="81"/>
      <c r="J367" s="84"/>
      <c r="K367" s="84"/>
      <c r="L367" s="84"/>
      <c r="M367" s="81"/>
      <c r="N367" s="81"/>
      <c r="O367" s="81"/>
      <c r="P367" s="81"/>
      <c r="Q367" s="81"/>
      <c r="R367" s="81"/>
      <c r="S367" s="81"/>
      <c r="T367" s="81"/>
      <c r="U367" s="81"/>
      <c r="V367" s="81"/>
      <c r="W367" s="81"/>
      <c r="X367" s="81"/>
      <c r="Y367" s="81"/>
      <c r="Z367" s="81"/>
    </row>
    <row r="368" spans="1:26" ht="12" customHeight="1">
      <c r="A368" s="79"/>
      <c r="B368" s="79"/>
      <c r="C368" s="81"/>
      <c r="D368" s="81"/>
      <c r="E368" s="81"/>
      <c r="F368" s="82"/>
      <c r="G368" s="83"/>
      <c r="H368" s="83"/>
      <c r="I368" s="81"/>
      <c r="J368" s="84"/>
      <c r="K368" s="84"/>
      <c r="L368" s="84"/>
      <c r="M368" s="81"/>
      <c r="N368" s="81"/>
      <c r="O368" s="81"/>
      <c r="P368" s="81"/>
      <c r="Q368" s="81"/>
      <c r="R368" s="81"/>
      <c r="S368" s="81"/>
      <c r="T368" s="81"/>
      <c r="U368" s="81"/>
      <c r="V368" s="81"/>
      <c r="W368" s="81"/>
      <c r="X368" s="81"/>
      <c r="Y368" s="81"/>
      <c r="Z368" s="81"/>
    </row>
    <row r="369" spans="1:26" ht="12" customHeight="1">
      <c r="A369" s="79"/>
      <c r="B369" s="79"/>
      <c r="C369" s="81"/>
      <c r="D369" s="81"/>
      <c r="E369" s="81"/>
      <c r="F369" s="82"/>
      <c r="G369" s="83"/>
      <c r="H369" s="83"/>
      <c r="I369" s="81"/>
      <c r="J369" s="84"/>
      <c r="K369" s="84"/>
      <c r="L369" s="84"/>
      <c r="M369" s="81"/>
      <c r="N369" s="81"/>
      <c r="O369" s="81"/>
      <c r="P369" s="81"/>
      <c r="Q369" s="81"/>
      <c r="R369" s="81"/>
      <c r="S369" s="81"/>
      <c r="T369" s="81"/>
      <c r="U369" s="81"/>
      <c r="V369" s="81"/>
      <c r="W369" s="81"/>
      <c r="X369" s="81"/>
      <c r="Y369" s="81"/>
      <c r="Z369" s="81"/>
    </row>
    <row r="370" spans="1:26" ht="12" customHeight="1">
      <c r="A370" s="79"/>
      <c r="B370" s="79"/>
      <c r="C370" s="81"/>
      <c r="D370" s="81"/>
      <c r="E370" s="81"/>
      <c r="F370" s="82"/>
      <c r="G370" s="83"/>
      <c r="H370" s="83"/>
      <c r="I370" s="81"/>
      <c r="J370" s="84"/>
      <c r="K370" s="84"/>
      <c r="L370" s="84"/>
      <c r="M370" s="81"/>
      <c r="N370" s="81"/>
      <c r="O370" s="81"/>
      <c r="P370" s="81"/>
      <c r="Q370" s="81"/>
      <c r="R370" s="81"/>
      <c r="S370" s="81"/>
      <c r="T370" s="81"/>
      <c r="U370" s="81"/>
      <c r="V370" s="81"/>
      <c r="W370" s="81"/>
      <c r="X370" s="81"/>
      <c r="Y370" s="81"/>
      <c r="Z370" s="81"/>
    </row>
    <row r="371" spans="1:26" ht="12" customHeight="1">
      <c r="A371" s="79"/>
      <c r="B371" s="79"/>
      <c r="C371" s="81"/>
      <c r="D371" s="81"/>
      <c r="E371" s="81"/>
      <c r="F371" s="82"/>
      <c r="G371" s="83"/>
      <c r="H371" s="83"/>
      <c r="I371" s="81"/>
      <c r="J371" s="84"/>
      <c r="K371" s="84"/>
      <c r="L371" s="84"/>
      <c r="M371" s="81"/>
      <c r="N371" s="81"/>
      <c r="O371" s="81"/>
      <c r="P371" s="81"/>
      <c r="Q371" s="81"/>
      <c r="R371" s="81"/>
      <c r="S371" s="81"/>
      <c r="T371" s="81"/>
      <c r="U371" s="81"/>
      <c r="V371" s="81"/>
      <c r="W371" s="81"/>
      <c r="X371" s="81"/>
      <c r="Y371" s="81"/>
      <c r="Z371" s="81"/>
    </row>
    <row r="372" spans="1:26" ht="12" customHeight="1">
      <c r="A372" s="79"/>
      <c r="B372" s="79"/>
      <c r="C372" s="81"/>
      <c r="D372" s="81"/>
      <c r="E372" s="81"/>
      <c r="F372" s="82"/>
      <c r="G372" s="83"/>
      <c r="H372" s="83"/>
      <c r="I372" s="81"/>
      <c r="J372" s="84"/>
      <c r="K372" s="84"/>
      <c r="L372" s="84"/>
      <c r="M372" s="81"/>
      <c r="N372" s="81"/>
      <c r="O372" s="81"/>
      <c r="P372" s="81"/>
      <c r="Q372" s="81"/>
      <c r="R372" s="81"/>
      <c r="S372" s="81"/>
      <c r="T372" s="81"/>
      <c r="U372" s="81"/>
      <c r="V372" s="81"/>
      <c r="W372" s="81"/>
      <c r="X372" s="81"/>
      <c r="Y372" s="81"/>
      <c r="Z372" s="81"/>
    </row>
    <row r="373" spans="1:26" ht="12" customHeight="1">
      <c r="A373" s="79"/>
      <c r="B373" s="79"/>
      <c r="C373" s="81"/>
      <c r="D373" s="81"/>
      <c r="E373" s="81"/>
      <c r="F373" s="82"/>
      <c r="G373" s="83"/>
      <c r="H373" s="83"/>
      <c r="I373" s="81"/>
      <c r="J373" s="84"/>
      <c r="K373" s="84"/>
      <c r="L373" s="84"/>
      <c r="M373" s="81"/>
      <c r="N373" s="81"/>
      <c r="O373" s="81"/>
      <c r="P373" s="81"/>
      <c r="Q373" s="81"/>
      <c r="R373" s="81"/>
      <c r="S373" s="81"/>
      <c r="T373" s="81"/>
      <c r="U373" s="81"/>
      <c r="V373" s="81"/>
      <c r="W373" s="81"/>
      <c r="X373" s="81"/>
      <c r="Y373" s="81"/>
      <c r="Z373" s="81"/>
    </row>
    <row r="374" spans="1:26" ht="12" customHeight="1">
      <c r="A374" s="79"/>
      <c r="B374" s="79"/>
      <c r="C374" s="81"/>
      <c r="D374" s="81"/>
      <c r="E374" s="81"/>
      <c r="F374" s="82"/>
      <c r="G374" s="83"/>
      <c r="H374" s="83"/>
      <c r="I374" s="81"/>
      <c r="J374" s="84"/>
      <c r="K374" s="84"/>
      <c r="L374" s="84"/>
      <c r="M374" s="81"/>
      <c r="N374" s="81"/>
      <c r="O374" s="81"/>
      <c r="P374" s="81"/>
      <c r="Q374" s="81"/>
      <c r="R374" s="81"/>
      <c r="S374" s="81"/>
      <c r="T374" s="81"/>
      <c r="U374" s="81"/>
      <c r="V374" s="81"/>
      <c r="W374" s="81"/>
      <c r="X374" s="81"/>
      <c r="Y374" s="81"/>
      <c r="Z374" s="81"/>
    </row>
    <row r="375" spans="1:26" ht="12" customHeight="1">
      <c r="A375" s="79"/>
      <c r="B375" s="79"/>
      <c r="C375" s="81"/>
      <c r="D375" s="81"/>
      <c r="E375" s="81"/>
      <c r="F375" s="82"/>
      <c r="G375" s="83"/>
      <c r="H375" s="83"/>
      <c r="I375" s="81"/>
      <c r="J375" s="84"/>
      <c r="K375" s="84"/>
      <c r="L375" s="84"/>
      <c r="M375" s="81"/>
      <c r="N375" s="81"/>
      <c r="O375" s="81"/>
      <c r="P375" s="81"/>
      <c r="Q375" s="81"/>
      <c r="R375" s="81"/>
      <c r="S375" s="81"/>
      <c r="T375" s="81"/>
      <c r="U375" s="81"/>
      <c r="V375" s="81"/>
      <c r="W375" s="81"/>
      <c r="X375" s="81"/>
      <c r="Y375" s="81"/>
      <c r="Z375" s="81"/>
    </row>
    <row r="376" spans="1:26" ht="12" customHeight="1">
      <c r="A376" s="79"/>
      <c r="B376" s="79"/>
      <c r="C376" s="81"/>
      <c r="D376" s="81"/>
      <c r="E376" s="81"/>
      <c r="F376" s="82"/>
      <c r="G376" s="83"/>
      <c r="H376" s="83"/>
      <c r="I376" s="81"/>
      <c r="J376" s="84"/>
      <c r="K376" s="84"/>
      <c r="L376" s="84"/>
      <c r="M376" s="81"/>
      <c r="N376" s="81"/>
      <c r="O376" s="81"/>
      <c r="P376" s="81"/>
      <c r="Q376" s="81"/>
      <c r="R376" s="81"/>
      <c r="S376" s="81"/>
      <c r="T376" s="81"/>
      <c r="U376" s="81"/>
      <c r="V376" s="81"/>
      <c r="W376" s="81"/>
      <c r="X376" s="81"/>
      <c r="Y376" s="81"/>
      <c r="Z376" s="81"/>
    </row>
    <row r="377" spans="1:26" ht="12" customHeight="1">
      <c r="A377" s="79"/>
      <c r="B377" s="79"/>
      <c r="C377" s="81"/>
      <c r="D377" s="81"/>
      <c r="E377" s="81"/>
      <c r="F377" s="82"/>
      <c r="G377" s="83"/>
      <c r="H377" s="83"/>
      <c r="I377" s="81"/>
      <c r="J377" s="84"/>
      <c r="K377" s="84"/>
      <c r="L377" s="84"/>
      <c r="M377" s="81"/>
      <c r="N377" s="81"/>
      <c r="O377" s="81"/>
      <c r="P377" s="81"/>
      <c r="Q377" s="81"/>
      <c r="R377" s="81"/>
      <c r="S377" s="81"/>
      <c r="T377" s="81"/>
      <c r="U377" s="81"/>
      <c r="V377" s="81"/>
      <c r="W377" s="81"/>
      <c r="X377" s="81"/>
      <c r="Y377" s="81"/>
      <c r="Z377" s="81"/>
    </row>
    <row r="378" spans="1:26" ht="12" customHeight="1">
      <c r="A378" s="79"/>
      <c r="B378" s="79"/>
      <c r="C378" s="81"/>
      <c r="D378" s="81"/>
      <c r="E378" s="81"/>
      <c r="F378" s="82"/>
      <c r="G378" s="83"/>
      <c r="H378" s="83"/>
      <c r="I378" s="81"/>
      <c r="J378" s="84"/>
      <c r="K378" s="84"/>
      <c r="L378" s="84"/>
      <c r="M378" s="81"/>
      <c r="N378" s="81"/>
      <c r="O378" s="81"/>
      <c r="P378" s="81"/>
      <c r="Q378" s="81"/>
      <c r="R378" s="81"/>
      <c r="S378" s="81"/>
      <c r="T378" s="81"/>
      <c r="U378" s="81"/>
      <c r="V378" s="81"/>
      <c r="W378" s="81"/>
      <c r="X378" s="81"/>
      <c r="Y378" s="81"/>
      <c r="Z378" s="81"/>
    </row>
    <row r="379" spans="1:26" ht="12" customHeight="1">
      <c r="A379" s="79"/>
      <c r="B379" s="79"/>
      <c r="C379" s="81"/>
      <c r="D379" s="81"/>
      <c r="E379" s="81"/>
      <c r="F379" s="82"/>
      <c r="G379" s="83"/>
      <c r="H379" s="83"/>
      <c r="I379" s="81"/>
      <c r="J379" s="84"/>
      <c r="K379" s="84"/>
      <c r="L379" s="84"/>
      <c r="M379" s="81"/>
      <c r="N379" s="81"/>
      <c r="O379" s="81"/>
      <c r="P379" s="81"/>
      <c r="Q379" s="81"/>
      <c r="R379" s="81"/>
      <c r="S379" s="81"/>
      <c r="T379" s="81"/>
      <c r="U379" s="81"/>
      <c r="V379" s="81"/>
      <c r="W379" s="81"/>
      <c r="X379" s="81"/>
      <c r="Y379" s="81"/>
      <c r="Z379" s="81"/>
    </row>
    <row r="380" spans="1:26" ht="12" customHeight="1">
      <c r="A380" s="79"/>
      <c r="B380" s="79"/>
      <c r="C380" s="81"/>
      <c r="D380" s="81"/>
      <c r="E380" s="81"/>
      <c r="F380" s="82"/>
      <c r="G380" s="83"/>
      <c r="H380" s="83"/>
      <c r="I380" s="81"/>
      <c r="J380" s="84"/>
      <c r="K380" s="84"/>
      <c r="L380" s="84"/>
      <c r="M380" s="81"/>
      <c r="N380" s="81"/>
      <c r="O380" s="81"/>
      <c r="P380" s="81"/>
      <c r="Q380" s="81"/>
      <c r="R380" s="81"/>
      <c r="S380" s="81"/>
      <c r="T380" s="81"/>
      <c r="U380" s="81"/>
      <c r="V380" s="81"/>
      <c r="W380" s="81"/>
      <c r="X380" s="81"/>
      <c r="Y380" s="81"/>
      <c r="Z380" s="81"/>
    </row>
    <row r="381" spans="1:26" ht="12" customHeight="1">
      <c r="A381" s="79"/>
      <c r="B381" s="79"/>
      <c r="C381" s="81"/>
      <c r="D381" s="81"/>
      <c r="E381" s="81"/>
      <c r="F381" s="82"/>
      <c r="G381" s="83"/>
      <c r="H381" s="83"/>
      <c r="I381" s="81"/>
      <c r="J381" s="84"/>
      <c r="K381" s="84"/>
      <c r="L381" s="84"/>
      <c r="M381" s="81"/>
      <c r="N381" s="81"/>
      <c r="O381" s="81"/>
      <c r="P381" s="81"/>
      <c r="Q381" s="81"/>
      <c r="R381" s="81"/>
      <c r="S381" s="81"/>
      <c r="T381" s="81"/>
      <c r="U381" s="81"/>
      <c r="V381" s="81"/>
      <c r="W381" s="81"/>
      <c r="X381" s="81"/>
      <c r="Y381" s="81"/>
      <c r="Z381" s="81"/>
    </row>
    <row r="382" spans="1:26" ht="12" customHeight="1">
      <c r="A382" s="79"/>
      <c r="B382" s="79"/>
      <c r="C382" s="81"/>
      <c r="D382" s="81"/>
      <c r="E382" s="81"/>
      <c r="F382" s="82"/>
      <c r="G382" s="83"/>
      <c r="H382" s="83"/>
      <c r="I382" s="81"/>
      <c r="J382" s="84"/>
      <c r="K382" s="84"/>
      <c r="L382" s="84"/>
      <c r="M382" s="81"/>
      <c r="N382" s="81"/>
      <c r="O382" s="81"/>
      <c r="P382" s="81"/>
      <c r="Q382" s="81"/>
      <c r="R382" s="81"/>
      <c r="S382" s="81"/>
      <c r="T382" s="81"/>
      <c r="U382" s="81"/>
      <c r="V382" s="81"/>
      <c r="W382" s="81"/>
      <c r="X382" s="81"/>
      <c r="Y382" s="81"/>
      <c r="Z382" s="81"/>
    </row>
    <row r="383" spans="1:26" ht="12" customHeight="1">
      <c r="A383" s="79"/>
      <c r="B383" s="79"/>
      <c r="C383" s="81"/>
      <c r="D383" s="81"/>
      <c r="E383" s="81"/>
      <c r="F383" s="82"/>
      <c r="G383" s="83"/>
      <c r="H383" s="83"/>
      <c r="I383" s="81"/>
      <c r="J383" s="84"/>
      <c r="K383" s="84"/>
      <c r="L383" s="84"/>
      <c r="M383" s="81"/>
      <c r="N383" s="81"/>
      <c r="O383" s="81"/>
      <c r="P383" s="81"/>
      <c r="Q383" s="81"/>
      <c r="R383" s="81"/>
      <c r="S383" s="81"/>
      <c r="T383" s="81"/>
      <c r="U383" s="81"/>
      <c r="V383" s="81"/>
      <c r="W383" s="81"/>
      <c r="X383" s="81"/>
      <c r="Y383" s="81"/>
      <c r="Z383" s="81"/>
    </row>
    <row r="384" spans="1:26" ht="12" customHeight="1">
      <c r="A384" s="79"/>
      <c r="B384" s="79"/>
      <c r="C384" s="81"/>
      <c r="D384" s="81"/>
      <c r="E384" s="81"/>
      <c r="F384" s="82"/>
      <c r="G384" s="83"/>
      <c r="H384" s="83"/>
      <c r="I384" s="81"/>
      <c r="J384" s="84"/>
      <c r="K384" s="84"/>
      <c r="L384" s="84"/>
      <c r="M384" s="81"/>
      <c r="N384" s="81"/>
      <c r="O384" s="81"/>
      <c r="P384" s="81"/>
      <c r="Q384" s="81"/>
      <c r="R384" s="81"/>
      <c r="S384" s="81"/>
      <c r="T384" s="81"/>
      <c r="U384" s="81"/>
      <c r="V384" s="81"/>
      <c r="W384" s="81"/>
      <c r="X384" s="81"/>
      <c r="Y384" s="81"/>
      <c r="Z384" s="81"/>
    </row>
    <row r="385" spans="1:26" ht="12" customHeight="1">
      <c r="A385" s="79"/>
      <c r="B385" s="79"/>
      <c r="C385" s="81"/>
      <c r="D385" s="81"/>
      <c r="E385" s="81"/>
      <c r="F385" s="82"/>
      <c r="G385" s="83"/>
      <c r="H385" s="83"/>
      <c r="I385" s="81"/>
      <c r="J385" s="84"/>
      <c r="K385" s="84"/>
      <c r="L385" s="84"/>
      <c r="M385" s="81"/>
      <c r="N385" s="81"/>
      <c r="O385" s="81"/>
      <c r="P385" s="81"/>
      <c r="Q385" s="81"/>
      <c r="R385" s="81"/>
      <c r="S385" s="81"/>
      <c r="T385" s="81"/>
      <c r="U385" s="81"/>
      <c r="V385" s="81"/>
      <c r="W385" s="81"/>
      <c r="X385" s="81"/>
      <c r="Y385" s="81"/>
      <c r="Z385" s="81"/>
    </row>
    <row r="386" spans="1:26" ht="12" customHeight="1">
      <c r="A386" s="79"/>
      <c r="B386" s="79"/>
      <c r="C386" s="81"/>
      <c r="D386" s="81"/>
      <c r="E386" s="81"/>
      <c r="F386" s="82"/>
      <c r="G386" s="83"/>
      <c r="H386" s="83"/>
      <c r="I386" s="81"/>
      <c r="J386" s="84"/>
      <c r="K386" s="84"/>
      <c r="L386" s="84"/>
      <c r="M386" s="81"/>
      <c r="N386" s="81"/>
      <c r="O386" s="81"/>
      <c r="P386" s="81"/>
      <c r="Q386" s="81"/>
      <c r="R386" s="81"/>
      <c r="S386" s="81"/>
      <c r="T386" s="81"/>
      <c r="U386" s="81"/>
      <c r="V386" s="81"/>
      <c r="W386" s="81"/>
      <c r="X386" s="81"/>
      <c r="Y386" s="81"/>
      <c r="Z386" s="81"/>
    </row>
    <row r="387" spans="1:26" ht="12" customHeight="1">
      <c r="A387" s="79"/>
      <c r="B387" s="79"/>
      <c r="C387" s="81"/>
      <c r="D387" s="81"/>
      <c r="E387" s="81"/>
      <c r="F387" s="82"/>
      <c r="G387" s="83"/>
      <c r="H387" s="83"/>
      <c r="I387" s="81"/>
      <c r="J387" s="84"/>
      <c r="K387" s="84"/>
      <c r="L387" s="84"/>
      <c r="M387" s="81"/>
      <c r="N387" s="81"/>
      <c r="O387" s="81"/>
      <c r="P387" s="81"/>
      <c r="Q387" s="81"/>
      <c r="R387" s="81"/>
      <c r="S387" s="81"/>
      <c r="T387" s="81"/>
      <c r="U387" s="81"/>
      <c r="V387" s="81"/>
      <c r="W387" s="81"/>
      <c r="X387" s="81"/>
      <c r="Y387" s="81"/>
      <c r="Z387" s="81"/>
    </row>
    <row r="388" spans="1:26" ht="12" customHeight="1">
      <c r="A388" s="79"/>
      <c r="B388" s="79"/>
      <c r="C388" s="81"/>
      <c r="D388" s="81"/>
      <c r="E388" s="81"/>
      <c r="F388" s="82"/>
      <c r="G388" s="83"/>
      <c r="H388" s="83"/>
      <c r="I388" s="81"/>
      <c r="J388" s="84"/>
      <c r="K388" s="84"/>
      <c r="L388" s="84"/>
      <c r="M388" s="81"/>
      <c r="N388" s="81"/>
      <c r="O388" s="81"/>
      <c r="P388" s="81"/>
      <c r="Q388" s="81"/>
      <c r="R388" s="81"/>
      <c r="S388" s="81"/>
      <c r="T388" s="81"/>
      <c r="U388" s="81"/>
      <c r="V388" s="81"/>
      <c r="W388" s="81"/>
      <c r="X388" s="81"/>
      <c r="Y388" s="81"/>
      <c r="Z388" s="81"/>
    </row>
    <row r="389" spans="1:26" ht="12" customHeight="1">
      <c r="A389" s="79"/>
      <c r="B389" s="79"/>
      <c r="C389" s="81"/>
      <c r="D389" s="81"/>
      <c r="E389" s="81"/>
      <c r="F389" s="82"/>
      <c r="G389" s="83"/>
      <c r="H389" s="83"/>
      <c r="I389" s="81"/>
      <c r="J389" s="84"/>
      <c r="K389" s="84"/>
      <c r="L389" s="84"/>
      <c r="M389" s="81"/>
      <c r="N389" s="81"/>
      <c r="O389" s="81"/>
      <c r="P389" s="81"/>
      <c r="Q389" s="81"/>
      <c r="R389" s="81"/>
      <c r="S389" s="81"/>
      <c r="T389" s="81"/>
      <c r="U389" s="81"/>
      <c r="V389" s="81"/>
      <c r="W389" s="81"/>
      <c r="X389" s="81"/>
      <c r="Y389" s="81"/>
      <c r="Z389" s="81"/>
    </row>
    <row r="390" spans="1:26" ht="12" customHeight="1">
      <c r="A390" s="79"/>
      <c r="B390" s="79"/>
      <c r="C390" s="81"/>
      <c r="D390" s="81"/>
      <c r="E390" s="81"/>
      <c r="F390" s="82"/>
      <c r="G390" s="83"/>
      <c r="H390" s="83"/>
      <c r="I390" s="81"/>
      <c r="J390" s="84"/>
      <c r="K390" s="84"/>
      <c r="L390" s="84"/>
      <c r="M390" s="81"/>
      <c r="N390" s="81"/>
      <c r="O390" s="81"/>
      <c r="P390" s="81"/>
      <c r="Q390" s="81"/>
      <c r="R390" s="81"/>
      <c r="S390" s="81"/>
      <c r="T390" s="81"/>
      <c r="U390" s="81"/>
      <c r="V390" s="81"/>
      <c r="W390" s="81"/>
      <c r="X390" s="81"/>
      <c r="Y390" s="81"/>
      <c r="Z390" s="81"/>
    </row>
    <row r="391" spans="1:26" ht="12" customHeight="1">
      <c r="A391" s="79"/>
      <c r="B391" s="79"/>
      <c r="C391" s="81"/>
      <c r="D391" s="81"/>
      <c r="E391" s="81"/>
      <c r="F391" s="82"/>
      <c r="G391" s="83"/>
      <c r="H391" s="83"/>
      <c r="I391" s="81"/>
      <c r="J391" s="84"/>
      <c r="K391" s="84"/>
      <c r="L391" s="84"/>
      <c r="M391" s="81"/>
      <c r="N391" s="81"/>
      <c r="O391" s="81"/>
      <c r="P391" s="81"/>
      <c r="Q391" s="81"/>
      <c r="R391" s="81"/>
      <c r="S391" s="81"/>
      <c r="T391" s="81"/>
      <c r="U391" s="81"/>
      <c r="V391" s="81"/>
      <c r="W391" s="81"/>
      <c r="X391" s="81"/>
      <c r="Y391" s="81"/>
      <c r="Z391" s="81"/>
    </row>
    <row r="392" spans="1:26" ht="12" customHeight="1">
      <c r="A392" s="79"/>
      <c r="B392" s="79"/>
      <c r="C392" s="81"/>
      <c r="D392" s="81"/>
      <c r="E392" s="81"/>
      <c r="F392" s="82"/>
      <c r="G392" s="83"/>
      <c r="H392" s="83"/>
      <c r="I392" s="81"/>
      <c r="J392" s="84"/>
      <c r="K392" s="84"/>
      <c r="L392" s="84"/>
      <c r="M392" s="81"/>
      <c r="N392" s="81"/>
      <c r="O392" s="81"/>
      <c r="P392" s="81"/>
      <c r="Q392" s="81"/>
      <c r="R392" s="81"/>
      <c r="S392" s="81"/>
      <c r="T392" s="81"/>
      <c r="U392" s="81"/>
      <c r="V392" s="81"/>
      <c r="W392" s="81"/>
      <c r="X392" s="81"/>
      <c r="Y392" s="81"/>
      <c r="Z392" s="81"/>
    </row>
    <row r="393" spans="1:26" ht="12" customHeight="1">
      <c r="A393" s="79"/>
      <c r="B393" s="79"/>
      <c r="C393" s="81"/>
      <c r="D393" s="81"/>
      <c r="E393" s="81"/>
      <c r="F393" s="82"/>
      <c r="G393" s="83"/>
      <c r="H393" s="83"/>
      <c r="I393" s="81"/>
      <c r="J393" s="84"/>
      <c r="K393" s="84"/>
      <c r="L393" s="84"/>
      <c r="M393" s="81"/>
      <c r="N393" s="81"/>
      <c r="O393" s="81"/>
      <c r="P393" s="81"/>
      <c r="Q393" s="81"/>
      <c r="R393" s="81"/>
      <c r="S393" s="81"/>
      <c r="T393" s="81"/>
      <c r="U393" s="81"/>
      <c r="V393" s="81"/>
      <c r="W393" s="81"/>
      <c r="X393" s="81"/>
      <c r="Y393" s="81"/>
      <c r="Z393" s="81"/>
    </row>
    <row r="394" spans="1:26" ht="12" customHeight="1">
      <c r="A394" s="79"/>
      <c r="B394" s="79"/>
      <c r="C394" s="81"/>
      <c r="D394" s="81"/>
      <c r="E394" s="81"/>
      <c r="F394" s="82"/>
      <c r="G394" s="83"/>
      <c r="H394" s="83"/>
      <c r="I394" s="81"/>
      <c r="J394" s="84"/>
      <c r="K394" s="84"/>
      <c r="L394" s="84"/>
      <c r="M394" s="81"/>
      <c r="N394" s="81"/>
      <c r="O394" s="81"/>
      <c r="P394" s="81"/>
      <c r="Q394" s="81"/>
      <c r="R394" s="81"/>
      <c r="S394" s="81"/>
      <c r="T394" s="81"/>
      <c r="U394" s="81"/>
      <c r="V394" s="81"/>
      <c r="W394" s="81"/>
      <c r="X394" s="81"/>
      <c r="Y394" s="81"/>
      <c r="Z394" s="81"/>
    </row>
    <row r="395" spans="1:26" ht="12" customHeight="1">
      <c r="A395" s="79"/>
      <c r="B395" s="79"/>
      <c r="C395" s="81"/>
      <c r="D395" s="81"/>
      <c r="E395" s="81"/>
      <c r="F395" s="82"/>
      <c r="G395" s="83"/>
      <c r="H395" s="83"/>
      <c r="I395" s="81"/>
      <c r="J395" s="84"/>
      <c r="K395" s="84"/>
      <c r="L395" s="84"/>
      <c r="M395" s="81"/>
      <c r="N395" s="81"/>
      <c r="O395" s="81"/>
      <c r="P395" s="81"/>
      <c r="Q395" s="81"/>
      <c r="R395" s="81"/>
      <c r="S395" s="81"/>
      <c r="T395" s="81"/>
      <c r="U395" s="81"/>
      <c r="V395" s="81"/>
      <c r="W395" s="81"/>
      <c r="X395" s="81"/>
      <c r="Y395" s="81"/>
      <c r="Z395" s="81"/>
    </row>
    <row r="396" spans="1:26" ht="12" customHeight="1">
      <c r="A396" s="79"/>
      <c r="B396" s="79"/>
      <c r="C396" s="81"/>
      <c r="D396" s="81"/>
      <c r="E396" s="81"/>
      <c r="F396" s="82"/>
      <c r="G396" s="83"/>
      <c r="H396" s="83"/>
      <c r="I396" s="81"/>
      <c r="J396" s="84"/>
      <c r="K396" s="84"/>
      <c r="L396" s="84"/>
      <c r="M396" s="81"/>
      <c r="N396" s="81"/>
      <c r="O396" s="81"/>
      <c r="P396" s="81"/>
      <c r="Q396" s="81"/>
      <c r="R396" s="81"/>
      <c r="S396" s="81"/>
      <c r="T396" s="81"/>
      <c r="U396" s="81"/>
      <c r="V396" s="81"/>
      <c r="W396" s="81"/>
      <c r="X396" s="81"/>
      <c r="Y396" s="81"/>
      <c r="Z396" s="81"/>
    </row>
    <row r="397" spans="1:26" ht="12" customHeight="1">
      <c r="A397" s="79"/>
      <c r="B397" s="79"/>
      <c r="C397" s="81"/>
      <c r="D397" s="81"/>
      <c r="E397" s="81"/>
      <c r="F397" s="82"/>
      <c r="G397" s="83"/>
      <c r="H397" s="83"/>
      <c r="I397" s="81"/>
      <c r="J397" s="84"/>
      <c r="K397" s="84"/>
      <c r="L397" s="84"/>
      <c r="M397" s="81"/>
      <c r="N397" s="81"/>
      <c r="O397" s="81"/>
      <c r="P397" s="81"/>
      <c r="Q397" s="81"/>
      <c r="R397" s="81"/>
      <c r="S397" s="81"/>
      <c r="T397" s="81"/>
      <c r="U397" s="81"/>
      <c r="V397" s="81"/>
      <c r="W397" s="81"/>
      <c r="X397" s="81"/>
      <c r="Y397" s="81"/>
      <c r="Z397" s="81"/>
    </row>
    <row r="398" spans="1:26" ht="12" customHeight="1">
      <c r="A398" s="79"/>
      <c r="B398" s="79"/>
      <c r="C398" s="81"/>
      <c r="D398" s="81"/>
      <c r="E398" s="81"/>
      <c r="F398" s="82"/>
      <c r="G398" s="83"/>
      <c r="H398" s="83"/>
      <c r="I398" s="81"/>
      <c r="J398" s="84"/>
      <c r="K398" s="84"/>
      <c r="L398" s="84"/>
      <c r="M398" s="81"/>
      <c r="N398" s="81"/>
      <c r="O398" s="81"/>
      <c r="P398" s="81"/>
      <c r="Q398" s="81"/>
      <c r="R398" s="81"/>
      <c r="S398" s="81"/>
      <c r="T398" s="81"/>
      <c r="U398" s="81"/>
      <c r="V398" s="81"/>
      <c r="W398" s="81"/>
      <c r="X398" s="81"/>
      <c r="Y398" s="81"/>
      <c r="Z398" s="81"/>
    </row>
    <row r="399" spans="1:26" ht="12" customHeight="1">
      <c r="A399" s="79"/>
      <c r="B399" s="79"/>
      <c r="C399" s="81"/>
      <c r="D399" s="81"/>
      <c r="E399" s="81"/>
      <c r="F399" s="82"/>
      <c r="G399" s="83"/>
      <c r="H399" s="83"/>
      <c r="I399" s="81"/>
      <c r="J399" s="84"/>
      <c r="K399" s="84"/>
      <c r="L399" s="84"/>
      <c r="M399" s="81"/>
      <c r="N399" s="81"/>
      <c r="O399" s="81"/>
      <c r="P399" s="81"/>
      <c r="Q399" s="81"/>
      <c r="R399" s="81"/>
      <c r="S399" s="81"/>
      <c r="T399" s="81"/>
      <c r="U399" s="81"/>
      <c r="V399" s="81"/>
      <c r="W399" s="81"/>
      <c r="X399" s="81"/>
      <c r="Y399" s="81"/>
      <c r="Z399" s="81"/>
    </row>
    <row r="400" spans="1:26" ht="12" customHeight="1">
      <c r="A400" s="79"/>
      <c r="B400" s="79"/>
      <c r="C400" s="81"/>
      <c r="D400" s="81"/>
      <c r="E400" s="81"/>
      <c r="F400" s="82"/>
      <c r="G400" s="83"/>
      <c r="H400" s="83"/>
      <c r="I400" s="81"/>
      <c r="J400" s="84"/>
      <c r="K400" s="84"/>
      <c r="L400" s="84"/>
      <c r="M400" s="81"/>
      <c r="N400" s="81"/>
      <c r="O400" s="81"/>
      <c r="P400" s="81"/>
      <c r="Q400" s="81"/>
      <c r="R400" s="81"/>
      <c r="S400" s="81"/>
      <c r="T400" s="81"/>
      <c r="U400" s="81"/>
      <c r="V400" s="81"/>
      <c r="W400" s="81"/>
      <c r="X400" s="81"/>
      <c r="Y400" s="81"/>
      <c r="Z400" s="81"/>
    </row>
    <row r="401" spans="1:26" ht="12" customHeight="1">
      <c r="A401" s="79"/>
      <c r="B401" s="79"/>
      <c r="C401" s="81"/>
      <c r="D401" s="81"/>
      <c r="E401" s="81"/>
      <c r="F401" s="82"/>
      <c r="G401" s="83"/>
      <c r="H401" s="83"/>
      <c r="I401" s="81"/>
      <c r="J401" s="84"/>
      <c r="K401" s="84"/>
      <c r="L401" s="84"/>
      <c r="M401" s="81"/>
      <c r="N401" s="81"/>
      <c r="O401" s="81"/>
      <c r="P401" s="81"/>
      <c r="Q401" s="81"/>
      <c r="R401" s="81"/>
      <c r="S401" s="81"/>
      <c r="T401" s="81"/>
      <c r="U401" s="81"/>
      <c r="V401" s="81"/>
      <c r="W401" s="81"/>
      <c r="X401" s="81"/>
      <c r="Y401" s="81"/>
      <c r="Z401" s="81"/>
    </row>
    <row r="402" spans="1:26" ht="12" customHeight="1">
      <c r="A402" s="79"/>
      <c r="B402" s="79"/>
      <c r="C402" s="81"/>
      <c r="D402" s="81"/>
      <c r="E402" s="81"/>
      <c r="F402" s="82"/>
      <c r="G402" s="83"/>
      <c r="H402" s="83"/>
      <c r="I402" s="81"/>
      <c r="J402" s="84"/>
      <c r="K402" s="84"/>
      <c r="L402" s="84"/>
      <c r="M402" s="81"/>
      <c r="N402" s="81"/>
      <c r="O402" s="81"/>
      <c r="P402" s="81"/>
      <c r="Q402" s="81"/>
      <c r="R402" s="81"/>
      <c r="S402" s="81"/>
      <c r="T402" s="81"/>
      <c r="U402" s="81"/>
      <c r="V402" s="81"/>
      <c r="W402" s="81"/>
      <c r="X402" s="81"/>
      <c r="Y402" s="81"/>
      <c r="Z402" s="81"/>
    </row>
    <row r="403" spans="1:26" ht="12" customHeight="1">
      <c r="A403" s="79"/>
      <c r="B403" s="79"/>
      <c r="C403" s="81"/>
      <c r="D403" s="81"/>
      <c r="E403" s="81"/>
      <c r="F403" s="82"/>
      <c r="G403" s="83"/>
      <c r="H403" s="83"/>
      <c r="I403" s="81"/>
      <c r="J403" s="84"/>
      <c r="K403" s="84"/>
      <c r="L403" s="84"/>
      <c r="M403" s="81"/>
      <c r="N403" s="81"/>
      <c r="O403" s="81"/>
      <c r="P403" s="81"/>
      <c r="Q403" s="81"/>
      <c r="R403" s="81"/>
      <c r="S403" s="81"/>
      <c r="T403" s="81"/>
      <c r="U403" s="81"/>
      <c r="V403" s="81"/>
      <c r="W403" s="81"/>
      <c r="X403" s="81"/>
      <c r="Y403" s="81"/>
      <c r="Z403" s="81"/>
    </row>
    <row r="404" spans="1:26" ht="12" customHeight="1">
      <c r="A404" s="79"/>
      <c r="B404" s="79"/>
      <c r="C404" s="81"/>
      <c r="D404" s="81"/>
      <c r="E404" s="81"/>
      <c r="F404" s="82"/>
      <c r="G404" s="83"/>
      <c r="H404" s="83"/>
      <c r="I404" s="81"/>
      <c r="J404" s="84"/>
      <c r="K404" s="84"/>
      <c r="L404" s="84"/>
      <c r="M404" s="81"/>
      <c r="N404" s="81"/>
      <c r="O404" s="81"/>
      <c r="P404" s="81"/>
      <c r="Q404" s="81"/>
      <c r="R404" s="81"/>
      <c r="S404" s="81"/>
      <c r="T404" s="81"/>
      <c r="U404" s="81"/>
      <c r="V404" s="81"/>
      <c r="W404" s="81"/>
      <c r="X404" s="81"/>
      <c r="Y404" s="81"/>
      <c r="Z404" s="81"/>
    </row>
    <row r="405" spans="1:26" ht="12" customHeight="1">
      <c r="A405" s="79"/>
      <c r="B405" s="79"/>
      <c r="C405" s="81"/>
      <c r="D405" s="81"/>
      <c r="E405" s="81"/>
      <c r="F405" s="82"/>
      <c r="G405" s="83"/>
      <c r="H405" s="83"/>
      <c r="I405" s="81"/>
      <c r="J405" s="84"/>
      <c r="K405" s="84"/>
      <c r="L405" s="84"/>
      <c r="M405" s="81"/>
      <c r="N405" s="81"/>
      <c r="O405" s="81"/>
      <c r="P405" s="81"/>
      <c r="Q405" s="81"/>
      <c r="R405" s="81"/>
      <c r="S405" s="81"/>
      <c r="T405" s="81"/>
      <c r="U405" s="81"/>
      <c r="V405" s="81"/>
      <c r="W405" s="81"/>
      <c r="X405" s="81"/>
      <c r="Y405" s="81"/>
      <c r="Z405" s="81"/>
    </row>
    <row r="406" spans="1:26" ht="12" customHeight="1">
      <c r="A406" s="79"/>
      <c r="B406" s="79"/>
      <c r="C406" s="81"/>
      <c r="D406" s="81"/>
      <c r="E406" s="81"/>
      <c r="F406" s="82"/>
      <c r="G406" s="83"/>
      <c r="H406" s="83"/>
      <c r="I406" s="81"/>
      <c r="J406" s="84"/>
      <c r="K406" s="84"/>
      <c r="L406" s="84"/>
      <c r="M406" s="81"/>
      <c r="N406" s="81"/>
      <c r="O406" s="81"/>
      <c r="P406" s="81"/>
      <c r="Q406" s="81"/>
      <c r="R406" s="81"/>
      <c r="S406" s="81"/>
      <c r="T406" s="81"/>
      <c r="U406" s="81"/>
      <c r="V406" s="81"/>
      <c r="W406" s="81"/>
      <c r="X406" s="81"/>
      <c r="Y406" s="81"/>
      <c r="Z406" s="81"/>
    </row>
    <row r="407" spans="1:26" ht="12" customHeight="1">
      <c r="A407" s="79"/>
      <c r="B407" s="79"/>
      <c r="C407" s="81"/>
      <c r="D407" s="81"/>
      <c r="E407" s="81"/>
      <c r="F407" s="82"/>
      <c r="G407" s="83"/>
      <c r="H407" s="83"/>
      <c r="I407" s="81"/>
      <c r="J407" s="84"/>
      <c r="K407" s="84"/>
      <c r="L407" s="84"/>
      <c r="M407" s="81"/>
      <c r="N407" s="81"/>
      <c r="O407" s="81"/>
      <c r="P407" s="81"/>
      <c r="Q407" s="81"/>
      <c r="R407" s="81"/>
      <c r="S407" s="81"/>
      <c r="T407" s="81"/>
      <c r="U407" s="81"/>
      <c r="V407" s="81"/>
      <c r="W407" s="81"/>
      <c r="X407" s="81"/>
      <c r="Y407" s="81"/>
      <c r="Z407" s="81"/>
    </row>
    <row r="408" spans="1:26" ht="12" customHeight="1">
      <c r="A408" s="79"/>
      <c r="B408" s="79"/>
      <c r="C408" s="81"/>
      <c r="D408" s="81"/>
      <c r="E408" s="81"/>
      <c r="F408" s="82"/>
      <c r="G408" s="83"/>
      <c r="H408" s="83"/>
      <c r="I408" s="81"/>
      <c r="J408" s="84"/>
      <c r="K408" s="84"/>
      <c r="L408" s="84"/>
      <c r="M408" s="81"/>
      <c r="N408" s="81"/>
      <c r="O408" s="81"/>
      <c r="P408" s="81"/>
      <c r="Q408" s="81"/>
      <c r="R408" s="81"/>
      <c r="S408" s="81"/>
      <c r="T408" s="81"/>
      <c r="U408" s="81"/>
      <c r="V408" s="81"/>
      <c r="W408" s="81"/>
      <c r="X408" s="81"/>
      <c r="Y408" s="81"/>
      <c r="Z408" s="81"/>
    </row>
    <row r="409" spans="1:26" ht="12" customHeight="1">
      <c r="A409" s="79"/>
      <c r="B409" s="79"/>
      <c r="C409" s="81"/>
      <c r="D409" s="81"/>
      <c r="E409" s="81"/>
      <c r="F409" s="82"/>
      <c r="G409" s="83"/>
      <c r="H409" s="83"/>
      <c r="I409" s="81"/>
      <c r="J409" s="84"/>
      <c r="K409" s="84"/>
      <c r="L409" s="84"/>
      <c r="M409" s="81"/>
      <c r="N409" s="81"/>
      <c r="O409" s="81"/>
      <c r="P409" s="81"/>
      <c r="Q409" s="81"/>
      <c r="R409" s="81"/>
      <c r="S409" s="81"/>
      <c r="T409" s="81"/>
      <c r="U409" s="81"/>
      <c r="V409" s="81"/>
      <c r="W409" s="81"/>
      <c r="X409" s="81"/>
      <c r="Y409" s="81"/>
      <c r="Z409" s="81"/>
    </row>
    <row r="410" spans="1:26" ht="12" customHeight="1">
      <c r="A410" s="79"/>
      <c r="B410" s="79"/>
      <c r="C410" s="81"/>
      <c r="D410" s="81"/>
      <c r="E410" s="81"/>
      <c r="F410" s="82"/>
      <c r="G410" s="83"/>
      <c r="H410" s="83"/>
      <c r="I410" s="81"/>
      <c r="J410" s="84"/>
      <c r="K410" s="84"/>
      <c r="L410" s="84"/>
      <c r="M410" s="81"/>
      <c r="N410" s="81"/>
      <c r="O410" s="81"/>
      <c r="P410" s="81"/>
      <c r="Q410" s="81"/>
      <c r="R410" s="81"/>
      <c r="S410" s="81"/>
      <c r="T410" s="81"/>
      <c r="U410" s="81"/>
      <c r="V410" s="81"/>
      <c r="W410" s="81"/>
      <c r="X410" s="81"/>
      <c r="Y410" s="81"/>
      <c r="Z410" s="81"/>
    </row>
    <row r="411" spans="1:26" ht="12" customHeight="1">
      <c r="A411" s="79"/>
      <c r="B411" s="79"/>
      <c r="C411" s="81"/>
      <c r="D411" s="81"/>
      <c r="E411" s="81"/>
      <c r="F411" s="82"/>
      <c r="G411" s="83"/>
      <c r="H411" s="83"/>
      <c r="I411" s="81"/>
      <c r="J411" s="84"/>
      <c r="K411" s="84"/>
      <c r="L411" s="84"/>
      <c r="M411" s="81"/>
      <c r="N411" s="81"/>
      <c r="O411" s="81"/>
      <c r="P411" s="81"/>
      <c r="Q411" s="81"/>
      <c r="R411" s="81"/>
      <c r="S411" s="81"/>
      <c r="T411" s="81"/>
      <c r="U411" s="81"/>
      <c r="V411" s="81"/>
      <c r="W411" s="81"/>
      <c r="X411" s="81"/>
      <c r="Y411" s="81"/>
      <c r="Z411" s="81"/>
    </row>
    <row r="412" spans="1:26" ht="12" customHeight="1">
      <c r="A412" s="79"/>
      <c r="B412" s="79"/>
      <c r="C412" s="81"/>
      <c r="D412" s="81"/>
      <c r="E412" s="81"/>
      <c r="F412" s="82"/>
      <c r="G412" s="83"/>
      <c r="H412" s="83"/>
      <c r="I412" s="81"/>
      <c r="J412" s="84"/>
      <c r="K412" s="84"/>
      <c r="L412" s="84"/>
      <c r="M412" s="81"/>
      <c r="N412" s="81"/>
      <c r="O412" s="81"/>
      <c r="P412" s="81"/>
      <c r="Q412" s="81"/>
      <c r="R412" s="81"/>
      <c r="S412" s="81"/>
      <c r="T412" s="81"/>
      <c r="U412" s="81"/>
      <c r="V412" s="81"/>
      <c r="W412" s="81"/>
      <c r="X412" s="81"/>
      <c r="Y412" s="81"/>
      <c r="Z412" s="81"/>
    </row>
    <row r="413" spans="1:26" ht="12" customHeight="1">
      <c r="A413" s="79"/>
      <c r="B413" s="79"/>
      <c r="C413" s="81"/>
      <c r="D413" s="81"/>
      <c r="E413" s="81"/>
      <c r="F413" s="82"/>
      <c r="G413" s="83"/>
      <c r="H413" s="83"/>
      <c r="I413" s="81"/>
      <c r="J413" s="84"/>
      <c r="K413" s="84"/>
      <c r="L413" s="84"/>
      <c r="M413" s="81"/>
      <c r="N413" s="81"/>
      <c r="O413" s="81"/>
      <c r="P413" s="81"/>
      <c r="Q413" s="81"/>
      <c r="R413" s="81"/>
      <c r="S413" s="81"/>
      <c r="T413" s="81"/>
      <c r="U413" s="81"/>
      <c r="V413" s="81"/>
      <c r="W413" s="81"/>
      <c r="X413" s="81"/>
      <c r="Y413" s="81"/>
      <c r="Z413" s="81"/>
    </row>
    <row r="414" spans="1:26" ht="12" customHeight="1">
      <c r="A414" s="79"/>
      <c r="B414" s="79"/>
      <c r="C414" s="81"/>
      <c r="D414" s="81"/>
      <c r="E414" s="81"/>
      <c r="F414" s="82"/>
      <c r="G414" s="83"/>
      <c r="H414" s="83"/>
      <c r="I414" s="81"/>
      <c r="J414" s="84"/>
      <c r="K414" s="84"/>
      <c r="L414" s="84"/>
      <c r="M414" s="81"/>
      <c r="N414" s="81"/>
      <c r="O414" s="81"/>
      <c r="P414" s="81"/>
      <c r="Q414" s="81"/>
      <c r="R414" s="81"/>
      <c r="S414" s="81"/>
      <c r="T414" s="81"/>
      <c r="U414" s="81"/>
      <c r="V414" s="81"/>
      <c r="W414" s="81"/>
      <c r="X414" s="81"/>
      <c r="Y414" s="81"/>
      <c r="Z414" s="81"/>
    </row>
    <row r="415" spans="1:26" ht="12" customHeight="1">
      <c r="A415" s="79"/>
      <c r="B415" s="79"/>
      <c r="C415" s="81"/>
      <c r="D415" s="81"/>
      <c r="E415" s="81"/>
      <c r="F415" s="82"/>
      <c r="G415" s="83"/>
      <c r="H415" s="83"/>
      <c r="I415" s="81"/>
      <c r="J415" s="84"/>
      <c r="K415" s="84"/>
      <c r="L415" s="84"/>
      <c r="M415" s="81"/>
      <c r="N415" s="81"/>
      <c r="O415" s="81"/>
      <c r="P415" s="81"/>
      <c r="Q415" s="81"/>
      <c r="R415" s="81"/>
      <c r="S415" s="81"/>
      <c r="T415" s="81"/>
      <c r="U415" s="81"/>
      <c r="V415" s="81"/>
      <c r="W415" s="81"/>
      <c r="X415" s="81"/>
      <c r="Y415" s="81"/>
      <c r="Z415" s="81"/>
    </row>
    <row r="416" spans="1:26" ht="12" customHeight="1">
      <c r="A416" s="79"/>
      <c r="B416" s="79"/>
      <c r="C416" s="81"/>
      <c r="D416" s="81"/>
      <c r="E416" s="81"/>
      <c r="F416" s="82"/>
      <c r="G416" s="83"/>
      <c r="H416" s="83"/>
      <c r="I416" s="81"/>
      <c r="J416" s="84"/>
      <c r="K416" s="84"/>
      <c r="L416" s="84"/>
      <c r="M416" s="81"/>
      <c r="N416" s="81"/>
      <c r="O416" s="81"/>
      <c r="P416" s="81"/>
      <c r="Q416" s="81"/>
      <c r="R416" s="81"/>
      <c r="S416" s="81"/>
      <c r="T416" s="81"/>
      <c r="U416" s="81"/>
      <c r="V416" s="81"/>
      <c r="W416" s="81"/>
      <c r="X416" s="81"/>
      <c r="Y416" s="81"/>
      <c r="Z416" s="81"/>
    </row>
    <row r="417" spans="1:26" ht="12" customHeight="1">
      <c r="A417" s="79"/>
      <c r="B417" s="79"/>
      <c r="C417" s="81"/>
      <c r="D417" s="81"/>
      <c r="E417" s="81"/>
      <c r="F417" s="82"/>
      <c r="G417" s="83"/>
      <c r="H417" s="83"/>
      <c r="I417" s="81"/>
      <c r="J417" s="84"/>
      <c r="K417" s="84"/>
      <c r="L417" s="84"/>
      <c r="M417" s="81"/>
      <c r="N417" s="81"/>
      <c r="O417" s="81"/>
      <c r="P417" s="81"/>
      <c r="Q417" s="81"/>
      <c r="R417" s="81"/>
      <c r="S417" s="81"/>
      <c r="T417" s="81"/>
      <c r="U417" s="81"/>
      <c r="V417" s="81"/>
      <c r="W417" s="81"/>
      <c r="X417" s="81"/>
      <c r="Y417" s="81"/>
      <c r="Z417" s="81"/>
    </row>
    <row r="418" spans="1:26" ht="12" customHeight="1">
      <c r="A418" s="79"/>
      <c r="B418" s="79"/>
      <c r="C418" s="81"/>
      <c r="D418" s="81"/>
      <c r="E418" s="81"/>
      <c r="F418" s="82"/>
      <c r="G418" s="83"/>
      <c r="H418" s="83"/>
      <c r="I418" s="81"/>
      <c r="J418" s="84"/>
      <c r="K418" s="84"/>
      <c r="L418" s="84"/>
      <c r="M418" s="81"/>
      <c r="N418" s="81"/>
      <c r="O418" s="81"/>
      <c r="P418" s="81"/>
      <c r="Q418" s="81"/>
      <c r="R418" s="81"/>
      <c r="S418" s="81"/>
      <c r="T418" s="81"/>
      <c r="U418" s="81"/>
      <c r="V418" s="81"/>
      <c r="W418" s="81"/>
      <c r="X418" s="81"/>
      <c r="Y418" s="81"/>
      <c r="Z418" s="81"/>
    </row>
    <row r="419" spans="1:26" ht="12" customHeight="1">
      <c r="A419" s="79"/>
      <c r="B419" s="79"/>
      <c r="C419" s="81"/>
      <c r="D419" s="81"/>
      <c r="E419" s="81"/>
      <c r="F419" s="82"/>
      <c r="G419" s="83"/>
      <c r="H419" s="83"/>
      <c r="I419" s="81"/>
      <c r="J419" s="84"/>
      <c r="K419" s="84"/>
      <c r="L419" s="84"/>
      <c r="M419" s="81"/>
      <c r="N419" s="81"/>
      <c r="O419" s="81"/>
      <c r="P419" s="81"/>
      <c r="Q419" s="81"/>
      <c r="R419" s="81"/>
      <c r="S419" s="81"/>
      <c r="T419" s="81"/>
      <c r="U419" s="81"/>
      <c r="V419" s="81"/>
      <c r="W419" s="81"/>
      <c r="X419" s="81"/>
      <c r="Y419" s="81"/>
      <c r="Z419" s="81"/>
    </row>
    <row r="420" spans="1:26" ht="12" customHeight="1">
      <c r="A420" s="79"/>
      <c r="B420" s="79"/>
      <c r="C420" s="81"/>
      <c r="D420" s="81"/>
      <c r="E420" s="81"/>
      <c r="F420" s="82"/>
      <c r="G420" s="83"/>
      <c r="H420" s="83"/>
      <c r="I420" s="81"/>
      <c r="J420" s="84"/>
      <c r="K420" s="84"/>
      <c r="L420" s="84"/>
      <c r="M420" s="81"/>
      <c r="N420" s="81"/>
      <c r="O420" s="81"/>
      <c r="P420" s="81"/>
      <c r="Q420" s="81"/>
      <c r="R420" s="81"/>
      <c r="S420" s="81"/>
      <c r="T420" s="81"/>
      <c r="U420" s="81"/>
      <c r="V420" s="81"/>
      <c r="W420" s="81"/>
      <c r="X420" s="81"/>
      <c r="Y420" s="81"/>
      <c r="Z420" s="81"/>
    </row>
    <row r="421" spans="1:26" ht="12" customHeight="1">
      <c r="A421" s="79"/>
      <c r="B421" s="79"/>
      <c r="C421" s="81"/>
      <c r="D421" s="81"/>
      <c r="E421" s="81"/>
      <c r="F421" s="82"/>
      <c r="G421" s="83"/>
      <c r="H421" s="83"/>
      <c r="I421" s="81"/>
      <c r="J421" s="84"/>
      <c r="K421" s="84"/>
      <c r="L421" s="84"/>
      <c r="M421" s="81"/>
      <c r="N421" s="81"/>
      <c r="O421" s="81"/>
      <c r="P421" s="81"/>
      <c r="Q421" s="81"/>
      <c r="R421" s="81"/>
      <c r="S421" s="81"/>
      <c r="T421" s="81"/>
      <c r="U421" s="81"/>
      <c r="V421" s="81"/>
      <c r="W421" s="81"/>
      <c r="X421" s="81"/>
      <c r="Y421" s="81"/>
      <c r="Z421" s="81"/>
    </row>
    <row r="422" spans="1:26" ht="12" customHeight="1">
      <c r="A422" s="79"/>
      <c r="B422" s="79"/>
      <c r="C422" s="81"/>
      <c r="D422" s="81"/>
      <c r="E422" s="81"/>
      <c r="F422" s="82"/>
      <c r="G422" s="83"/>
      <c r="H422" s="83"/>
      <c r="I422" s="81"/>
      <c r="J422" s="84"/>
      <c r="K422" s="84"/>
      <c r="L422" s="84"/>
      <c r="M422" s="81"/>
      <c r="N422" s="81"/>
      <c r="O422" s="81"/>
      <c r="P422" s="81"/>
      <c r="Q422" s="81"/>
      <c r="R422" s="81"/>
      <c r="S422" s="81"/>
      <c r="T422" s="81"/>
      <c r="U422" s="81"/>
      <c r="V422" s="81"/>
      <c r="W422" s="81"/>
      <c r="X422" s="81"/>
      <c r="Y422" s="81"/>
      <c r="Z422" s="81"/>
    </row>
    <row r="423" spans="1:26" ht="12" customHeight="1">
      <c r="A423" s="79"/>
      <c r="B423" s="79"/>
      <c r="C423" s="81"/>
      <c r="D423" s="81"/>
      <c r="E423" s="81"/>
      <c r="F423" s="82"/>
      <c r="G423" s="83"/>
      <c r="H423" s="83"/>
      <c r="I423" s="81"/>
      <c r="J423" s="84"/>
      <c r="K423" s="84"/>
      <c r="L423" s="84"/>
      <c r="M423" s="81"/>
      <c r="N423" s="81"/>
      <c r="O423" s="81"/>
      <c r="P423" s="81"/>
      <c r="Q423" s="81"/>
      <c r="R423" s="81"/>
      <c r="S423" s="81"/>
      <c r="T423" s="81"/>
      <c r="U423" s="81"/>
      <c r="V423" s="81"/>
      <c r="W423" s="81"/>
      <c r="X423" s="81"/>
      <c r="Y423" s="81"/>
      <c r="Z423" s="81"/>
    </row>
    <row r="424" spans="1:26" ht="12" customHeight="1">
      <c r="A424" s="79"/>
      <c r="B424" s="79"/>
      <c r="C424" s="81"/>
      <c r="D424" s="81"/>
      <c r="E424" s="81"/>
      <c r="F424" s="82"/>
      <c r="G424" s="83"/>
      <c r="H424" s="83"/>
      <c r="I424" s="81"/>
      <c r="J424" s="84"/>
      <c r="K424" s="84"/>
      <c r="L424" s="84"/>
      <c r="M424" s="81"/>
      <c r="N424" s="81"/>
      <c r="O424" s="81"/>
      <c r="P424" s="81"/>
      <c r="Q424" s="81"/>
      <c r="R424" s="81"/>
      <c r="S424" s="81"/>
      <c r="T424" s="81"/>
      <c r="U424" s="81"/>
      <c r="V424" s="81"/>
      <c r="W424" s="81"/>
      <c r="X424" s="81"/>
      <c r="Y424" s="81"/>
      <c r="Z424" s="81"/>
    </row>
    <row r="425" spans="1:26" ht="12" customHeight="1">
      <c r="A425" s="79"/>
      <c r="B425" s="79"/>
      <c r="C425" s="81"/>
      <c r="D425" s="81"/>
      <c r="E425" s="81"/>
      <c r="F425" s="82"/>
      <c r="G425" s="83"/>
      <c r="H425" s="83"/>
      <c r="I425" s="81"/>
      <c r="J425" s="84"/>
      <c r="K425" s="84"/>
      <c r="L425" s="84"/>
      <c r="M425" s="81"/>
      <c r="N425" s="81"/>
      <c r="O425" s="81"/>
      <c r="P425" s="81"/>
      <c r="Q425" s="81"/>
      <c r="R425" s="81"/>
      <c r="S425" s="81"/>
      <c r="T425" s="81"/>
      <c r="U425" s="81"/>
      <c r="V425" s="81"/>
      <c r="W425" s="81"/>
      <c r="X425" s="81"/>
      <c r="Y425" s="81"/>
      <c r="Z425" s="81"/>
    </row>
    <row r="426" spans="1:26" ht="12" customHeight="1">
      <c r="A426" s="79"/>
      <c r="B426" s="79"/>
      <c r="C426" s="81"/>
      <c r="D426" s="81"/>
      <c r="E426" s="81"/>
      <c r="F426" s="82"/>
      <c r="G426" s="83"/>
      <c r="H426" s="83"/>
      <c r="I426" s="81"/>
      <c r="J426" s="84"/>
      <c r="K426" s="84"/>
      <c r="L426" s="84"/>
      <c r="M426" s="81"/>
      <c r="N426" s="81"/>
      <c r="O426" s="81"/>
      <c r="P426" s="81"/>
      <c r="Q426" s="81"/>
      <c r="R426" s="81"/>
      <c r="S426" s="81"/>
      <c r="T426" s="81"/>
      <c r="U426" s="81"/>
      <c r="V426" s="81"/>
      <c r="W426" s="81"/>
      <c r="X426" s="81"/>
      <c r="Y426" s="81"/>
      <c r="Z426" s="81"/>
    </row>
    <row r="427" spans="1:26" ht="12" customHeight="1">
      <c r="A427" s="79"/>
      <c r="B427" s="79"/>
      <c r="C427" s="81"/>
      <c r="D427" s="81"/>
      <c r="E427" s="81"/>
      <c r="F427" s="82"/>
      <c r="G427" s="83"/>
      <c r="H427" s="83"/>
      <c r="I427" s="81"/>
      <c r="J427" s="84"/>
      <c r="K427" s="84"/>
      <c r="L427" s="84"/>
      <c r="M427" s="81"/>
      <c r="N427" s="81"/>
      <c r="O427" s="81"/>
      <c r="P427" s="81"/>
      <c r="Q427" s="81"/>
      <c r="R427" s="81"/>
      <c r="S427" s="81"/>
      <c r="T427" s="81"/>
      <c r="U427" s="81"/>
      <c r="V427" s="81"/>
      <c r="W427" s="81"/>
      <c r="X427" s="81"/>
      <c r="Y427" s="81"/>
      <c r="Z427" s="81"/>
    </row>
    <row r="428" spans="1:26" ht="12" customHeight="1">
      <c r="A428" s="79"/>
      <c r="B428" s="79"/>
      <c r="C428" s="81"/>
      <c r="D428" s="81"/>
      <c r="E428" s="81"/>
      <c r="F428" s="82"/>
      <c r="G428" s="83"/>
      <c r="H428" s="83"/>
      <c r="I428" s="81"/>
      <c r="J428" s="84"/>
      <c r="K428" s="84"/>
      <c r="L428" s="84"/>
      <c r="M428" s="81"/>
      <c r="N428" s="81"/>
      <c r="O428" s="81"/>
      <c r="P428" s="81"/>
      <c r="Q428" s="81"/>
      <c r="R428" s="81"/>
      <c r="S428" s="81"/>
      <c r="T428" s="81"/>
      <c r="U428" s="81"/>
      <c r="V428" s="81"/>
      <c r="W428" s="81"/>
      <c r="X428" s="81"/>
      <c r="Y428" s="81"/>
      <c r="Z428" s="81"/>
    </row>
    <row r="429" spans="1:26" ht="12" customHeight="1">
      <c r="A429" s="79"/>
      <c r="B429" s="79"/>
      <c r="C429" s="81"/>
      <c r="D429" s="81"/>
      <c r="E429" s="81"/>
      <c r="F429" s="82"/>
      <c r="G429" s="83"/>
      <c r="H429" s="83"/>
      <c r="I429" s="81"/>
      <c r="J429" s="84"/>
      <c r="K429" s="84"/>
      <c r="L429" s="84"/>
      <c r="M429" s="81"/>
      <c r="N429" s="81"/>
      <c r="O429" s="81"/>
      <c r="P429" s="81"/>
      <c r="Q429" s="81"/>
      <c r="R429" s="81"/>
      <c r="S429" s="81"/>
      <c r="T429" s="81"/>
      <c r="U429" s="81"/>
      <c r="V429" s="81"/>
      <c r="W429" s="81"/>
      <c r="X429" s="81"/>
      <c r="Y429" s="81"/>
      <c r="Z429" s="81"/>
    </row>
    <row r="430" spans="1:26" ht="12" customHeight="1">
      <c r="A430" s="79"/>
      <c r="B430" s="79"/>
      <c r="C430" s="81"/>
      <c r="D430" s="81"/>
      <c r="E430" s="81"/>
      <c r="F430" s="82"/>
      <c r="G430" s="83"/>
      <c r="H430" s="83"/>
      <c r="I430" s="81"/>
      <c r="J430" s="84"/>
      <c r="K430" s="84"/>
      <c r="L430" s="84"/>
      <c r="M430" s="81"/>
      <c r="N430" s="81"/>
      <c r="O430" s="81"/>
      <c r="P430" s="81"/>
      <c r="Q430" s="81"/>
      <c r="R430" s="81"/>
      <c r="S430" s="81"/>
      <c r="T430" s="81"/>
      <c r="U430" s="81"/>
      <c r="V430" s="81"/>
      <c r="W430" s="81"/>
      <c r="X430" s="81"/>
      <c r="Y430" s="81"/>
      <c r="Z430" s="81"/>
    </row>
    <row r="431" spans="1:26" ht="12" customHeight="1">
      <c r="A431" s="79"/>
      <c r="B431" s="79"/>
      <c r="C431" s="81"/>
      <c r="D431" s="81"/>
      <c r="E431" s="81"/>
      <c r="F431" s="82"/>
      <c r="G431" s="83"/>
      <c r="H431" s="83"/>
      <c r="I431" s="81"/>
      <c r="J431" s="84"/>
      <c r="K431" s="84"/>
      <c r="L431" s="84"/>
      <c r="M431" s="81"/>
      <c r="N431" s="81"/>
      <c r="O431" s="81"/>
      <c r="P431" s="81"/>
      <c r="Q431" s="81"/>
      <c r="R431" s="81"/>
      <c r="S431" s="81"/>
      <c r="T431" s="81"/>
      <c r="U431" s="81"/>
      <c r="V431" s="81"/>
      <c r="W431" s="81"/>
      <c r="X431" s="81"/>
      <c r="Y431" s="81"/>
      <c r="Z431" s="81"/>
    </row>
    <row r="432" spans="1:26" ht="12" customHeight="1">
      <c r="A432" s="79"/>
      <c r="B432" s="79"/>
      <c r="C432" s="81"/>
      <c r="D432" s="81"/>
      <c r="E432" s="81"/>
      <c r="F432" s="82"/>
      <c r="G432" s="83"/>
      <c r="H432" s="83"/>
      <c r="I432" s="81"/>
      <c r="J432" s="84"/>
      <c r="K432" s="84"/>
      <c r="L432" s="84"/>
      <c r="M432" s="81"/>
      <c r="N432" s="81"/>
      <c r="O432" s="81"/>
      <c r="P432" s="81"/>
      <c r="Q432" s="81"/>
      <c r="R432" s="81"/>
      <c r="S432" s="81"/>
      <c r="T432" s="81"/>
      <c r="U432" s="81"/>
      <c r="V432" s="81"/>
      <c r="W432" s="81"/>
      <c r="X432" s="81"/>
      <c r="Y432" s="81"/>
      <c r="Z432" s="81"/>
    </row>
    <row r="433" spans="1:26" ht="12" customHeight="1">
      <c r="A433" s="79"/>
      <c r="B433" s="79"/>
      <c r="C433" s="81"/>
      <c r="D433" s="81"/>
      <c r="E433" s="81"/>
      <c r="F433" s="82"/>
      <c r="G433" s="83"/>
      <c r="H433" s="83"/>
      <c r="I433" s="81"/>
      <c r="J433" s="84"/>
      <c r="K433" s="84"/>
      <c r="L433" s="84"/>
      <c r="M433" s="81"/>
      <c r="N433" s="81"/>
      <c r="O433" s="81"/>
      <c r="P433" s="81"/>
      <c r="Q433" s="81"/>
      <c r="R433" s="81"/>
      <c r="S433" s="81"/>
      <c r="T433" s="81"/>
      <c r="U433" s="81"/>
      <c r="V433" s="81"/>
      <c r="W433" s="81"/>
      <c r="X433" s="81"/>
      <c r="Y433" s="81"/>
      <c r="Z433" s="81"/>
    </row>
    <row r="434" spans="1:26" ht="12" customHeight="1">
      <c r="A434" s="79"/>
      <c r="B434" s="79"/>
      <c r="C434" s="81"/>
      <c r="D434" s="81"/>
      <c r="E434" s="81"/>
      <c r="F434" s="82"/>
      <c r="G434" s="83"/>
      <c r="H434" s="83"/>
      <c r="I434" s="81"/>
      <c r="J434" s="84"/>
      <c r="K434" s="84"/>
      <c r="L434" s="84"/>
      <c r="M434" s="81"/>
      <c r="N434" s="81"/>
      <c r="O434" s="81"/>
      <c r="P434" s="81"/>
      <c r="Q434" s="81"/>
      <c r="R434" s="81"/>
      <c r="S434" s="81"/>
      <c r="T434" s="81"/>
      <c r="U434" s="81"/>
      <c r="V434" s="81"/>
      <c r="W434" s="81"/>
      <c r="X434" s="81"/>
      <c r="Y434" s="81"/>
      <c r="Z434" s="81"/>
    </row>
    <row r="435" spans="1:26" ht="12" customHeight="1">
      <c r="A435" s="79"/>
      <c r="B435" s="79"/>
      <c r="C435" s="81"/>
      <c r="D435" s="81"/>
      <c r="E435" s="81"/>
      <c r="F435" s="82"/>
      <c r="G435" s="83"/>
      <c r="H435" s="83"/>
      <c r="I435" s="81"/>
      <c r="J435" s="84"/>
      <c r="K435" s="84"/>
      <c r="L435" s="84"/>
      <c r="M435" s="81"/>
      <c r="N435" s="81"/>
      <c r="O435" s="81"/>
      <c r="P435" s="81"/>
      <c r="Q435" s="81"/>
      <c r="R435" s="81"/>
      <c r="S435" s="81"/>
      <c r="T435" s="81"/>
      <c r="U435" s="81"/>
      <c r="V435" s="81"/>
      <c r="W435" s="81"/>
      <c r="X435" s="81"/>
      <c r="Y435" s="81"/>
      <c r="Z435" s="81"/>
    </row>
    <row r="436" spans="1:26" ht="12" customHeight="1">
      <c r="A436" s="79"/>
      <c r="B436" s="79"/>
      <c r="C436" s="81"/>
      <c r="D436" s="81"/>
      <c r="E436" s="81"/>
      <c r="F436" s="82"/>
      <c r="G436" s="83"/>
      <c r="H436" s="83"/>
      <c r="I436" s="81"/>
      <c r="J436" s="84"/>
      <c r="K436" s="84"/>
      <c r="L436" s="84"/>
      <c r="M436" s="81"/>
      <c r="N436" s="81"/>
      <c r="O436" s="81"/>
      <c r="P436" s="81"/>
      <c r="Q436" s="81"/>
      <c r="R436" s="81"/>
      <c r="S436" s="81"/>
      <c r="T436" s="81"/>
      <c r="U436" s="81"/>
      <c r="V436" s="81"/>
      <c r="W436" s="81"/>
      <c r="X436" s="81"/>
      <c r="Y436" s="81"/>
      <c r="Z436" s="81"/>
    </row>
    <row r="437" spans="1:26" ht="12" customHeight="1">
      <c r="A437" s="79"/>
      <c r="B437" s="79"/>
      <c r="C437" s="81"/>
      <c r="D437" s="81"/>
      <c r="E437" s="81"/>
      <c r="F437" s="82"/>
      <c r="G437" s="83"/>
      <c r="H437" s="83"/>
      <c r="I437" s="81"/>
      <c r="J437" s="84"/>
      <c r="K437" s="84"/>
      <c r="L437" s="84"/>
      <c r="M437" s="81"/>
      <c r="N437" s="81"/>
      <c r="O437" s="81"/>
      <c r="P437" s="81"/>
      <c r="Q437" s="81"/>
      <c r="R437" s="81"/>
      <c r="S437" s="81"/>
      <c r="T437" s="81"/>
      <c r="U437" s="81"/>
      <c r="V437" s="81"/>
      <c r="W437" s="81"/>
      <c r="X437" s="81"/>
      <c r="Y437" s="81"/>
      <c r="Z437" s="81"/>
    </row>
    <row r="438" spans="1:26" ht="12" customHeight="1">
      <c r="A438" s="79"/>
      <c r="B438" s="79"/>
      <c r="C438" s="81"/>
      <c r="D438" s="81"/>
      <c r="E438" s="81"/>
      <c r="F438" s="82"/>
      <c r="G438" s="83"/>
      <c r="H438" s="83"/>
      <c r="I438" s="81"/>
      <c r="J438" s="84"/>
      <c r="K438" s="84"/>
      <c r="L438" s="84"/>
      <c r="M438" s="81"/>
      <c r="N438" s="81"/>
      <c r="O438" s="81"/>
      <c r="P438" s="81"/>
      <c r="Q438" s="81"/>
      <c r="R438" s="81"/>
      <c r="S438" s="81"/>
      <c r="T438" s="81"/>
      <c r="U438" s="81"/>
      <c r="V438" s="81"/>
      <c r="W438" s="81"/>
      <c r="X438" s="81"/>
      <c r="Y438" s="81"/>
      <c r="Z438" s="81"/>
    </row>
    <row r="439" spans="1:26" ht="12" customHeight="1">
      <c r="A439" s="79"/>
      <c r="B439" s="79"/>
      <c r="C439" s="81"/>
      <c r="D439" s="81"/>
      <c r="E439" s="81"/>
      <c r="F439" s="82"/>
      <c r="G439" s="83"/>
      <c r="H439" s="83"/>
      <c r="I439" s="81"/>
      <c r="J439" s="84"/>
      <c r="K439" s="84"/>
      <c r="L439" s="84"/>
      <c r="M439" s="81"/>
      <c r="N439" s="81"/>
      <c r="O439" s="81"/>
      <c r="P439" s="81"/>
      <c r="Q439" s="81"/>
      <c r="R439" s="81"/>
      <c r="S439" s="81"/>
      <c r="T439" s="81"/>
      <c r="U439" s="81"/>
      <c r="V439" s="81"/>
      <c r="W439" s="81"/>
      <c r="X439" s="81"/>
      <c r="Y439" s="81"/>
      <c r="Z439" s="81"/>
    </row>
    <row r="440" spans="1:26" ht="12" customHeight="1">
      <c r="A440" s="79"/>
      <c r="B440" s="79"/>
      <c r="C440" s="81"/>
      <c r="D440" s="81"/>
      <c r="E440" s="81"/>
      <c r="F440" s="82"/>
      <c r="G440" s="83"/>
      <c r="H440" s="83"/>
      <c r="I440" s="81"/>
      <c r="J440" s="84"/>
      <c r="K440" s="84"/>
      <c r="L440" s="84"/>
      <c r="M440" s="81"/>
      <c r="N440" s="81"/>
      <c r="O440" s="81"/>
      <c r="P440" s="81"/>
      <c r="Q440" s="81"/>
      <c r="R440" s="81"/>
      <c r="S440" s="81"/>
      <c r="T440" s="81"/>
      <c r="U440" s="81"/>
      <c r="V440" s="81"/>
      <c r="W440" s="81"/>
      <c r="X440" s="81"/>
      <c r="Y440" s="81"/>
      <c r="Z440" s="81"/>
    </row>
    <row r="441" spans="1:26" ht="12" customHeight="1">
      <c r="A441" s="79"/>
      <c r="B441" s="79"/>
      <c r="C441" s="81"/>
      <c r="D441" s="81"/>
      <c r="E441" s="81"/>
      <c r="F441" s="82"/>
      <c r="G441" s="83"/>
      <c r="H441" s="83"/>
      <c r="I441" s="81"/>
      <c r="J441" s="84"/>
      <c r="K441" s="84"/>
      <c r="L441" s="84"/>
      <c r="M441" s="81"/>
      <c r="N441" s="81"/>
      <c r="O441" s="81"/>
      <c r="P441" s="81"/>
      <c r="Q441" s="81"/>
      <c r="R441" s="81"/>
      <c r="S441" s="81"/>
      <c r="T441" s="81"/>
      <c r="U441" s="81"/>
      <c r="V441" s="81"/>
      <c r="W441" s="81"/>
      <c r="X441" s="81"/>
      <c r="Y441" s="81"/>
      <c r="Z441" s="81"/>
    </row>
    <row r="442" spans="1:26" ht="12" customHeight="1">
      <c r="A442" s="79"/>
      <c r="B442" s="79"/>
      <c r="C442" s="81"/>
      <c r="D442" s="81"/>
      <c r="E442" s="81"/>
      <c r="F442" s="82"/>
      <c r="G442" s="83"/>
      <c r="H442" s="83"/>
      <c r="I442" s="81"/>
      <c r="J442" s="84"/>
      <c r="K442" s="84"/>
      <c r="L442" s="84"/>
      <c r="M442" s="81"/>
      <c r="N442" s="81"/>
      <c r="O442" s="81"/>
      <c r="P442" s="81"/>
      <c r="Q442" s="81"/>
      <c r="R442" s="81"/>
      <c r="S442" s="81"/>
      <c r="T442" s="81"/>
      <c r="U442" s="81"/>
      <c r="V442" s="81"/>
      <c r="W442" s="81"/>
      <c r="X442" s="81"/>
      <c r="Y442" s="81"/>
      <c r="Z442" s="81"/>
    </row>
    <row r="443" spans="1:26" ht="12" customHeight="1">
      <c r="A443" s="79"/>
      <c r="B443" s="79"/>
      <c r="C443" s="81"/>
      <c r="D443" s="81"/>
      <c r="E443" s="81"/>
      <c r="F443" s="82"/>
      <c r="G443" s="83"/>
      <c r="H443" s="83"/>
      <c r="I443" s="81"/>
      <c r="J443" s="84"/>
      <c r="K443" s="84"/>
      <c r="L443" s="84"/>
      <c r="M443" s="81"/>
      <c r="N443" s="81"/>
      <c r="O443" s="81"/>
      <c r="P443" s="81"/>
      <c r="Q443" s="81"/>
      <c r="R443" s="81"/>
      <c r="S443" s="81"/>
      <c r="T443" s="81"/>
      <c r="U443" s="81"/>
      <c r="V443" s="81"/>
      <c r="W443" s="81"/>
      <c r="X443" s="81"/>
      <c r="Y443" s="81"/>
      <c r="Z443" s="81"/>
    </row>
    <row r="444" spans="1:26" ht="12" customHeight="1">
      <c r="A444" s="79"/>
      <c r="B444" s="79"/>
      <c r="C444" s="81"/>
      <c r="D444" s="81"/>
      <c r="E444" s="81"/>
      <c r="F444" s="82"/>
      <c r="G444" s="83"/>
      <c r="H444" s="83"/>
      <c r="I444" s="81"/>
      <c r="J444" s="84"/>
      <c r="K444" s="84"/>
      <c r="L444" s="84"/>
      <c r="M444" s="81"/>
      <c r="N444" s="81"/>
      <c r="O444" s="81"/>
      <c r="P444" s="81"/>
      <c r="Q444" s="81"/>
      <c r="R444" s="81"/>
      <c r="S444" s="81"/>
      <c r="T444" s="81"/>
      <c r="U444" s="81"/>
      <c r="V444" s="81"/>
      <c r="W444" s="81"/>
      <c r="X444" s="81"/>
      <c r="Y444" s="81"/>
      <c r="Z444" s="81"/>
    </row>
    <row r="445" spans="1:26" ht="12" customHeight="1">
      <c r="A445" s="79"/>
      <c r="B445" s="79"/>
      <c r="C445" s="81"/>
      <c r="D445" s="81"/>
      <c r="E445" s="81"/>
      <c r="F445" s="82"/>
      <c r="G445" s="83"/>
      <c r="H445" s="83"/>
      <c r="I445" s="81"/>
      <c r="J445" s="84"/>
      <c r="K445" s="84"/>
      <c r="L445" s="84"/>
      <c r="M445" s="81"/>
      <c r="N445" s="81"/>
      <c r="O445" s="81"/>
      <c r="P445" s="81"/>
      <c r="Q445" s="81"/>
      <c r="R445" s="81"/>
      <c r="S445" s="81"/>
      <c r="T445" s="81"/>
      <c r="U445" s="81"/>
      <c r="V445" s="81"/>
      <c r="W445" s="81"/>
      <c r="X445" s="81"/>
      <c r="Y445" s="81"/>
      <c r="Z445" s="81"/>
    </row>
    <row r="446" spans="1:26" ht="12" customHeight="1">
      <c r="A446" s="79"/>
      <c r="B446" s="79"/>
      <c r="C446" s="81"/>
      <c r="D446" s="81"/>
      <c r="E446" s="81"/>
      <c r="F446" s="82"/>
      <c r="G446" s="83"/>
      <c r="H446" s="83"/>
      <c r="I446" s="81"/>
      <c r="J446" s="84"/>
      <c r="K446" s="84"/>
      <c r="L446" s="84"/>
      <c r="M446" s="81"/>
      <c r="N446" s="81"/>
      <c r="O446" s="81"/>
      <c r="P446" s="81"/>
      <c r="Q446" s="81"/>
      <c r="R446" s="81"/>
      <c r="S446" s="81"/>
      <c r="T446" s="81"/>
      <c r="U446" s="81"/>
      <c r="V446" s="81"/>
      <c r="W446" s="81"/>
      <c r="X446" s="81"/>
      <c r="Y446" s="81"/>
      <c r="Z446" s="81"/>
    </row>
    <row r="447" spans="1:26" ht="12" customHeight="1">
      <c r="A447" s="79"/>
      <c r="B447" s="79"/>
      <c r="C447" s="81"/>
      <c r="D447" s="81"/>
      <c r="E447" s="81"/>
      <c r="F447" s="82"/>
      <c r="G447" s="83"/>
      <c r="H447" s="83"/>
      <c r="I447" s="81"/>
      <c r="J447" s="84"/>
      <c r="K447" s="84"/>
      <c r="L447" s="84"/>
      <c r="M447" s="81"/>
      <c r="N447" s="81"/>
      <c r="O447" s="81"/>
      <c r="P447" s="81"/>
      <c r="Q447" s="81"/>
      <c r="R447" s="81"/>
      <c r="S447" s="81"/>
      <c r="T447" s="81"/>
      <c r="U447" s="81"/>
      <c r="V447" s="81"/>
      <c r="W447" s="81"/>
      <c r="X447" s="81"/>
      <c r="Y447" s="81"/>
      <c r="Z447" s="81"/>
    </row>
    <row r="448" spans="1:26" ht="12" customHeight="1">
      <c r="A448" s="79"/>
      <c r="B448" s="79"/>
      <c r="C448" s="81"/>
      <c r="D448" s="81"/>
      <c r="E448" s="81"/>
      <c r="F448" s="82"/>
      <c r="G448" s="83"/>
      <c r="H448" s="83"/>
      <c r="I448" s="81"/>
      <c r="J448" s="84"/>
      <c r="K448" s="84"/>
      <c r="L448" s="84"/>
      <c r="M448" s="81"/>
      <c r="N448" s="81"/>
      <c r="O448" s="81"/>
      <c r="P448" s="81"/>
      <c r="Q448" s="81"/>
      <c r="R448" s="81"/>
      <c r="S448" s="81"/>
      <c r="T448" s="81"/>
      <c r="U448" s="81"/>
      <c r="V448" s="81"/>
      <c r="W448" s="81"/>
      <c r="X448" s="81"/>
      <c r="Y448" s="81"/>
      <c r="Z448" s="81"/>
    </row>
    <row r="449" spans="1:26" ht="12" customHeight="1">
      <c r="A449" s="79"/>
      <c r="B449" s="79"/>
      <c r="C449" s="81"/>
      <c r="D449" s="81"/>
      <c r="E449" s="81"/>
      <c r="F449" s="82"/>
      <c r="G449" s="83"/>
      <c r="H449" s="83"/>
      <c r="I449" s="81"/>
      <c r="J449" s="84"/>
      <c r="K449" s="84"/>
      <c r="L449" s="84"/>
      <c r="M449" s="81"/>
      <c r="N449" s="81"/>
      <c r="O449" s="81"/>
      <c r="P449" s="81"/>
      <c r="Q449" s="81"/>
      <c r="R449" s="81"/>
      <c r="S449" s="81"/>
      <c r="T449" s="81"/>
      <c r="U449" s="81"/>
      <c r="V449" s="81"/>
      <c r="W449" s="81"/>
      <c r="X449" s="81"/>
      <c r="Y449" s="81"/>
      <c r="Z449" s="81"/>
    </row>
    <row r="450" spans="1:26" ht="12" customHeight="1">
      <c r="A450" s="79"/>
      <c r="B450" s="79"/>
      <c r="C450" s="81"/>
      <c r="D450" s="81"/>
      <c r="E450" s="81"/>
      <c r="F450" s="82"/>
      <c r="G450" s="83"/>
      <c r="H450" s="83"/>
      <c r="I450" s="81"/>
      <c r="J450" s="84"/>
      <c r="K450" s="84"/>
      <c r="L450" s="84"/>
      <c r="M450" s="81"/>
      <c r="N450" s="81"/>
      <c r="O450" s="81"/>
      <c r="P450" s="81"/>
      <c r="Q450" s="81"/>
      <c r="R450" s="81"/>
      <c r="S450" s="81"/>
      <c r="T450" s="81"/>
      <c r="U450" s="81"/>
      <c r="V450" s="81"/>
      <c r="W450" s="81"/>
      <c r="X450" s="81"/>
      <c r="Y450" s="81"/>
      <c r="Z450" s="81"/>
    </row>
    <row r="451" spans="1:26" ht="12" customHeight="1">
      <c r="A451" s="79"/>
      <c r="B451" s="79"/>
      <c r="C451" s="81"/>
      <c r="D451" s="81"/>
      <c r="E451" s="81"/>
      <c r="F451" s="82"/>
      <c r="G451" s="83"/>
      <c r="H451" s="83"/>
      <c r="I451" s="81"/>
      <c r="J451" s="84"/>
      <c r="K451" s="84"/>
      <c r="L451" s="84"/>
      <c r="M451" s="81"/>
      <c r="N451" s="81"/>
      <c r="O451" s="81"/>
      <c r="P451" s="81"/>
      <c r="Q451" s="81"/>
      <c r="R451" s="81"/>
      <c r="S451" s="81"/>
      <c r="T451" s="81"/>
      <c r="U451" s="81"/>
      <c r="V451" s="81"/>
      <c r="W451" s="81"/>
      <c r="X451" s="81"/>
      <c r="Y451" s="81"/>
      <c r="Z451" s="81"/>
    </row>
    <row r="452" spans="1:26" ht="12" customHeight="1">
      <c r="A452" s="79"/>
      <c r="B452" s="79"/>
      <c r="C452" s="81"/>
      <c r="D452" s="81"/>
      <c r="E452" s="81"/>
      <c r="F452" s="82"/>
      <c r="G452" s="83"/>
      <c r="H452" s="83"/>
      <c r="I452" s="81"/>
      <c r="J452" s="84"/>
      <c r="K452" s="84"/>
      <c r="L452" s="84"/>
      <c r="M452" s="81"/>
      <c r="N452" s="81"/>
      <c r="O452" s="81"/>
      <c r="P452" s="81"/>
      <c r="Q452" s="81"/>
      <c r="R452" s="81"/>
      <c r="S452" s="81"/>
      <c r="T452" s="81"/>
      <c r="U452" s="81"/>
      <c r="V452" s="81"/>
      <c r="W452" s="81"/>
      <c r="X452" s="81"/>
      <c r="Y452" s="81"/>
      <c r="Z452" s="81"/>
    </row>
    <row r="453" spans="1:26" ht="12" customHeight="1">
      <c r="A453" s="79"/>
      <c r="B453" s="79"/>
      <c r="C453" s="81"/>
      <c r="D453" s="81"/>
      <c r="E453" s="81"/>
      <c r="F453" s="82"/>
      <c r="G453" s="83"/>
      <c r="H453" s="83"/>
      <c r="I453" s="81"/>
      <c r="J453" s="84"/>
      <c r="K453" s="84"/>
      <c r="L453" s="84"/>
      <c r="M453" s="81"/>
      <c r="N453" s="81"/>
      <c r="O453" s="81"/>
      <c r="P453" s="81"/>
      <c r="Q453" s="81"/>
      <c r="R453" s="81"/>
      <c r="S453" s="81"/>
      <c r="T453" s="81"/>
      <c r="U453" s="81"/>
      <c r="V453" s="81"/>
      <c r="W453" s="81"/>
      <c r="X453" s="81"/>
      <c r="Y453" s="81"/>
      <c r="Z453" s="81"/>
    </row>
    <row r="454" spans="1:26" ht="12" customHeight="1">
      <c r="A454" s="79"/>
      <c r="B454" s="79"/>
      <c r="C454" s="81"/>
      <c r="D454" s="81"/>
      <c r="E454" s="81"/>
      <c r="F454" s="82"/>
      <c r="G454" s="83"/>
      <c r="H454" s="83"/>
      <c r="I454" s="81"/>
      <c r="J454" s="84"/>
      <c r="K454" s="84"/>
      <c r="L454" s="84"/>
      <c r="M454" s="81"/>
      <c r="N454" s="81"/>
      <c r="O454" s="81"/>
      <c r="P454" s="81"/>
      <c r="Q454" s="81"/>
      <c r="R454" s="81"/>
      <c r="S454" s="81"/>
      <c r="T454" s="81"/>
      <c r="U454" s="81"/>
      <c r="V454" s="81"/>
      <c r="W454" s="81"/>
      <c r="X454" s="81"/>
      <c r="Y454" s="81"/>
      <c r="Z454" s="81"/>
    </row>
    <row r="455" spans="1:26" ht="12" customHeight="1">
      <c r="A455" s="79"/>
      <c r="B455" s="79"/>
      <c r="C455" s="81"/>
      <c r="D455" s="81"/>
      <c r="E455" s="81"/>
      <c r="F455" s="82"/>
      <c r="G455" s="83"/>
      <c r="H455" s="83"/>
      <c r="I455" s="81"/>
      <c r="J455" s="84"/>
      <c r="K455" s="84"/>
      <c r="L455" s="84"/>
      <c r="M455" s="81"/>
      <c r="N455" s="81"/>
      <c r="O455" s="81"/>
      <c r="P455" s="81"/>
      <c r="Q455" s="81"/>
      <c r="R455" s="81"/>
      <c r="S455" s="81"/>
      <c r="T455" s="81"/>
      <c r="U455" s="81"/>
      <c r="V455" s="81"/>
      <c r="W455" s="81"/>
      <c r="X455" s="81"/>
      <c r="Y455" s="81"/>
      <c r="Z455" s="81"/>
    </row>
    <row r="456" spans="1:26" ht="12" customHeight="1">
      <c r="A456" s="79"/>
      <c r="B456" s="79"/>
      <c r="C456" s="81"/>
      <c r="D456" s="81"/>
      <c r="E456" s="81"/>
      <c r="F456" s="82"/>
      <c r="G456" s="83"/>
      <c r="H456" s="83"/>
      <c r="I456" s="81"/>
      <c r="J456" s="84"/>
      <c r="K456" s="84"/>
      <c r="L456" s="84"/>
      <c r="M456" s="81"/>
      <c r="N456" s="81"/>
      <c r="O456" s="81"/>
      <c r="P456" s="81"/>
      <c r="Q456" s="81"/>
      <c r="R456" s="81"/>
      <c r="S456" s="81"/>
      <c r="T456" s="81"/>
      <c r="U456" s="81"/>
      <c r="V456" s="81"/>
      <c r="W456" s="81"/>
      <c r="X456" s="81"/>
      <c r="Y456" s="81"/>
      <c r="Z456" s="81"/>
    </row>
    <row r="457" spans="1:26" ht="12" customHeight="1">
      <c r="A457" s="79"/>
      <c r="B457" s="79"/>
      <c r="C457" s="81"/>
      <c r="D457" s="81"/>
      <c r="E457" s="81"/>
      <c r="F457" s="82"/>
      <c r="G457" s="83"/>
      <c r="H457" s="83"/>
      <c r="I457" s="81"/>
      <c r="J457" s="84"/>
      <c r="K457" s="84"/>
      <c r="L457" s="84"/>
      <c r="M457" s="81"/>
      <c r="N457" s="81"/>
      <c r="O457" s="81"/>
      <c r="P457" s="81"/>
      <c r="Q457" s="81"/>
      <c r="R457" s="81"/>
      <c r="S457" s="81"/>
      <c r="T457" s="81"/>
      <c r="U457" s="81"/>
      <c r="V457" s="81"/>
      <c r="W457" s="81"/>
      <c r="X457" s="81"/>
      <c r="Y457" s="81"/>
      <c r="Z457" s="81"/>
    </row>
    <row r="458" spans="1:26" ht="12" customHeight="1">
      <c r="A458" s="79"/>
      <c r="B458" s="79"/>
      <c r="C458" s="81"/>
      <c r="D458" s="81"/>
      <c r="E458" s="81"/>
      <c r="F458" s="82"/>
      <c r="G458" s="83"/>
      <c r="H458" s="83"/>
      <c r="I458" s="81"/>
      <c r="J458" s="84"/>
      <c r="K458" s="84"/>
      <c r="L458" s="84"/>
      <c r="M458" s="81"/>
      <c r="N458" s="81"/>
      <c r="O458" s="81"/>
      <c r="P458" s="81"/>
      <c r="Q458" s="81"/>
      <c r="R458" s="81"/>
      <c r="S458" s="81"/>
      <c r="T458" s="81"/>
      <c r="U458" s="81"/>
      <c r="V458" s="81"/>
      <c r="W458" s="81"/>
      <c r="X458" s="81"/>
      <c r="Y458" s="81"/>
      <c r="Z458" s="81"/>
    </row>
    <row r="459" spans="1:26" ht="12" customHeight="1">
      <c r="A459" s="79"/>
      <c r="B459" s="79"/>
      <c r="C459" s="81"/>
      <c r="D459" s="81"/>
      <c r="E459" s="81"/>
      <c r="F459" s="82"/>
      <c r="G459" s="83"/>
      <c r="H459" s="83"/>
      <c r="I459" s="81"/>
      <c r="J459" s="84"/>
      <c r="K459" s="84"/>
      <c r="L459" s="84"/>
      <c r="M459" s="81"/>
      <c r="N459" s="81"/>
      <c r="O459" s="81"/>
      <c r="P459" s="81"/>
      <c r="Q459" s="81"/>
      <c r="R459" s="81"/>
      <c r="S459" s="81"/>
      <c r="T459" s="81"/>
      <c r="U459" s="81"/>
      <c r="V459" s="81"/>
      <c r="W459" s="81"/>
      <c r="X459" s="81"/>
      <c r="Y459" s="81"/>
      <c r="Z459" s="81"/>
    </row>
    <row r="460" spans="1:26" ht="12" customHeight="1">
      <c r="A460" s="79"/>
      <c r="B460" s="79"/>
      <c r="C460" s="81"/>
      <c r="D460" s="81"/>
      <c r="E460" s="81"/>
      <c r="F460" s="82"/>
      <c r="G460" s="83"/>
      <c r="H460" s="83"/>
      <c r="I460" s="81"/>
      <c r="J460" s="84"/>
      <c r="K460" s="84"/>
      <c r="L460" s="84"/>
      <c r="M460" s="81"/>
      <c r="N460" s="81"/>
      <c r="O460" s="81"/>
      <c r="P460" s="81"/>
      <c r="Q460" s="81"/>
      <c r="R460" s="81"/>
      <c r="S460" s="81"/>
      <c r="T460" s="81"/>
      <c r="U460" s="81"/>
      <c r="V460" s="81"/>
      <c r="W460" s="81"/>
      <c r="X460" s="81"/>
      <c r="Y460" s="81"/>
      <c r="Z460" s="81"/>
    </row>
    <row r="461" spans="1:26" ht="12" customHeight="1">
      <c r="A461" s="79"/>
      <c r="B461" s="79"/>
      <c r="C461" s="81"/>
      <c r="D461" s="81"/>
      <c r="E461" s="81"/>
      <c r="F461" s="82"/>
      <c r="G461" s="83"/>
      <c r="H461" s="83"/>
      <c r="I461" s="81"/>
      <c r="J461" s="84"/>
      <c r="K461" s="84"/>
      <c r="L461" s="84"/>
      <c r="M461" s="81"/>
      <c r="N461" s="81"/>
      <c r="O461" s="81"/>
      <c r="P461" s="81"/>
      <c r="Q461" s="81"/>
      <c r="R461" s="81"/>
      <c r="S461" s="81"/>
      <c r="T461" s="81"/>
      <c r="U461" s="81"/>
      <c r="V461" s="81"/>
      <c r="W461" s="81"/>
      <c r="X461" s="81"/>
      <c r="Y461" s="81"/>
      <c r="Z461" s="81"/>
    </row>
    <row r="462" spans="1:26" ht="12" customHeight="1">
      <c r="A462" s="79"/>
      <c r="B462" s="79"/>
      <c r="C462" s="81"/>
      <c r="D462" s="81"/>
      <c r="E462" s="81"/>
      <c r="F462" s="82"/>
      <c r="G462" s="83"/>
      <c r="H462" s="83"/>
      <c r="I462" s="81"/>
      <c r="J462" s="84"/>
      <c r="K462" s="84"/>
      <c r="L462" s="84"/>
      <c r="M462" s="81"/>
      <c r="N462" s="81"/>
      <c r="O462" s="81"/>
      <c r="P462" s="81"/>
      <c r="Q462" s="81"/>
      <c r="R462" s="81"/>
      <c r="S462" s="81"/>
      <c r="T462" s="81"/>
      <c r="U462" s="81"/>
      <c r="V462" s="81"/>
      <c r="W462" s="81"/>
      <c r="X462" s="81"/>
      <c r="Y462" s="81"/>
      <c r="Z462" s="81"/>
    </row>
    <row r="463" spans="1:26" ht="12" customHeight="1">
      <c r="A463" s="79"/>
      <c r="B463" s="79"/>
      <c r="C463" s="81"/>
      <c r="D463" s="81"/>
      <c r="E463" s="81"/>
      <c r="F463" s="82"/>
      <c r="G463" s="83"/>
      <c r="H463" s="83"/>
      <c r="I463" s="81"/>
      <c r="J463" s="84"/>
      <c r="K463" s="84"/>
      <c r="L463" s="84"/>
      <c r="M463" s="81"/>
      <c r="N463" s="81"/>
      <c r="O463" s="81"/>
      <c r="P463" s="81"/>
      <c r="Q463" s="81"/>
      <c r="R463" s="81"/>
      <c r="S463" s="81"/>
      <c r="T463" s="81"/>
      <c r="U463" s="81"/>
      <c r="V463" s="81"/>
      <c r="W463" s="81"/>
      <c r="X463" s="81"/>
      <c r="Y463" s="81"/>
      <c r="Z463" s="81"/>
    </row>
    <row r="464" spans="1:26" ht="12" customHeight="1">
      <c r="A464" s="79"/>
      <c r="B464" s="79"/>
      <c r="C464" s="81"/>
      <c r="D464" s="81"/>
      <c r="E464" s="81"/>
      <c r="F464" s="82"/>
      <c r="G464" s="83"/>
      <c r="H464" s="83"/>
      <c r="I464" s="81"/>
      <c r="J464" s="84"/>
      <c r="K464" s="84"/>
      <c r="L464" s="84"/>
      <c r="M464" s="81"/>
      <c r="N464" s="81"/>
      <c r="O464" s="81"/>
      <c r="P464" s="81"/>
      <c r="Q464" s="81"/>
      <c r="R464" s="81"/>
      <c r="S464" s="81"/>
      <c r="T464" s="81"/>
      <c r="U464" s="81"/>
      <c r="V464" s="81"/>
      <c r="W464" s="81"/>
      <c r="X464" s="81"/>
      <c r="Y464" s="81"/>
      <c r="Z464" s="81"/>
    </row>
    <row r="465" spans="1:26" ht="12" customHeight="1">
      <c r="A465" s="79"/>
      <c r="B465" s="79"/>
      <c r="C465" s="81"/>
      <c r="D465" s="81"/>
      <c r="E465" s="81"/>
      <c r="F465" s="82"/>
      <c r="G465" s="83"/>
      <c r="H465" s="83"/>
      <c r="I465" s="81"/>
      <c r="J465" s="84"/>
      <c r="K465" s="84"/>
      <c r="L465" s="84"/>
      <c r="M465" s="81"/>
      <c r="N465" s="81"/>
      <c r="O465" s="81"/>
      <c r="P465" s="81"/>
      <c r="Q465" s="81"/>
      <c r="R465" s="81"/>
      <c r="S465" s="81"/>
      <c r="T465" s="81"/>
      <c r="U465" s="81"/>
      <c r="V465" s="81"/>
      <c r="W465" s="81"/>
      <c r="X465" s="81"/>
      <c r="Y465" s="81"/>
      <c r="Z465" s="81"/>
    </row>
    <row r="466" spans="1:26" ht="12" customHeight="1">
      <c r="A466" s="79"/>
      <c r="B466" s="79"/>
      <c r="C466" s="81"/>
      <c r="D466" s="81"/>
      <c r="E466" s="81"/>
      <c r="F466" s="82"/>
      <c r="G466" s="83"/>
      <c r="H466" s="83"/>
      <c r="I466" s="81"/>
      <c r="J466" s="84"/>
      <c r="K466" s="84"/>
      <c r="L466" s="84"/>
      <c r="M466" s="81"/>
      <c r="N466" s="81"/>
      <c r="O466" s="81"/>
      <c r="P466" s="81"/>
      <c r="Q466" s="81"/>
      <c r="R466" s="81"/>
      <c r="S466" s="81"/>
      <c r="T466" s="81"/>
      <c r="U466" s="81"/>
      <c r="V466" s="81"/>
      <c r="W466" s="81"/>
      <c r="X466" s="81"/>
      <c r="Y466" s="81"/>
      <c r="Z466" s="81"/>
    </row>
    <row r="467" spans="1:26" ht="12" customHeight="1">
      <c r="A467" s="79"/>
      <c r="B467" s="79"/>
      <c r="C467" s="81"/>
      <c r="D467" s="81"/>
      <c r="E467" s="81"/>
      <c r="F467" s="82"/>
      <c r="G467" s="83"/>
      <c r="H467" s="83"/>
      <c r="I467" s="81"/>
      <c r="J467" s="84"/>
      <c r="K467" s="84"/>
      <c r="L467" s="84"/>
      <c r="M467" s="81"/>
      <c r="N467" s="81"/>
      <c r="O467" s="81"/>
      <c r="P467" s="81"/>
      <c r="Q467" s="81"/>
      <c r="R467" s="81"/>
      <c r="S467" s="81"/>
      <c r="T467" s="81"/>
      <c r="U467" s="81"/>
      <c r="V467" s="81"/>
      <c r="W467" s="81"/>
      <c r="X467" s="81"/>
      <c r="Y467" s="81"/>
      <c r="Z467" s="81"/>
    </row>
    <row r="468" spans="1:26" ht="12" customHeight="1">
      <c r="A468" s="79"/>
      <c r="B468" s="79"/>
      <c r="C468" s="81"/>
      <c r="D468" s="81"/>
      <c r="E468" s="81"/>
      <c r="F468" s="82"/>
      <c r="G468" s="83"/>
      <c r="H468" s="83"/>
      <c r="I468" s="81"/>
      <c r="J468" s="84"/>
      <c r="K468" s="84"/>
      <c r="L468" s="84"/>
      <c r="M468" s="81"/>
      <c r="N468" s="81"/>
      <c r="O468" s="81"/>
      <c r="P468" s="81"/>
      <c r="Q468" s="81"/>
      <c r="R468" s="81"/>
      <c r="S468" s="81"/>
      <c r="T468" s="81"/>
      <c r="U468" s="81"/>
      <c r="V468" s="81"/>
      <c r="W468" s="81"/>
      <c r="X468" s="81"/>
      <c r="Y468" s="81"/>
      <c r="Z468" s="81"/>
    </row>
    <row r="469" spans="1:26" ht="12" customHeight="1">
      <c r="A469" s="79"/>
      <c r="B469" s="79"/>
      <c r="C469" s="81"/>
      <c r="D469" s="81"/>
      <c r="E469" s="81"/>
      <c r="F469" s="82"/>
      <c r="G469" s="83"/>
      <c r="H469" s="83"/>
      <c r="I469" s="81"/>
      <c r="J469" s="84"/>
      <c r="K469" s="84"/>
      <c r="L469" s="84"/>
      <c r="M469" s="81"/>
      <c r="N469" s="81"/>
      <c r="O469" s="81"/>
      <c r="P469" s="81"/>
      <c r="Q469" s="81"/>
      <c r="R469" s="81"/>
      <c r="S469" s="81"/>
      <c r="T469" s="81"/>
      <c r="U469" s="81"/>
      <c r="V469" s="81"/>
      <c r="W469" s="81"/>
      <c r="X469" s="81"/>
      <c r="Y469" s="81"/>
      <c r="Z469" s="81"/>
    </row>
    <row r="470" spans="1:26" ht="12" customHeight="1">
      <c r="A470" s="79"/>
      <c r="B470" s="79"/>
      <c r="C470" s="81"/>
      <c r="D470" s="81"/>
      <c r="E470" s="81"/>
      <c r="F470" s="82"/>
      <c r="G470" s="83"/>
      <c r="H470" s="83"/>
      <c r="I470" s="81"/>
      <c r="J470" s="84"/>
      <c r="K470" s="84"/>
      <c r="L470" s="84"/>
      <c r="M470" s="81"/>
      <c r="N470" s="81"/>
      <c r="O470" s="81"/>
      <c r="P470" s="81"/>
      <c r="Q470" s="81"/>
      <c r="R470" s="81"/>
      <c r="S470" s="81"/>
      <c r="T470" s="81"/>
      <c r="U470" s="81"/>
      <c r="V470" s="81"/>
      <c r="W470" s="81"/>
      <c r="X470" s="81"/>
      <c r="Y470" s="81"/>
      <c r="Z470" s="81"/>
    </row>
    <row r="471" spans="1:26" ht="12" customHeight="1">
      <c r="A471" s="79"/>
      <c r="B471" s="79"/>
      <c r="C471" s="81"/>
      <c r="D471" s="81"/>
      <c r="E471" s="81"/>
      <c r="F471" s="82"/>
      <c r="G471" s="83"/>
      <c r="H471" s="83"/>
      <c r="I471" s="81"/>
      <c r="J471" s="84"/>
      <c r="K471" s="84"/>
      <c r="L471" s="84"/>
      <c r="M471" s="81"/>
      <c r="N471" s="81"/>
      <c r="O471" s="81"/>
      <c r="P471" s="81"/>
      <c r="Q471" s="81"/>
      <c r="R471" s="81"/>
      <c r="S471" s="81"/>
      <c r="T471" s="81"/>
      <c r="U471" s="81"/>
      <c r="V471" s="81"/>
      <c r="W471" s="81"/>
      <c r="X471" s="81"/>
      <c r="Y471" s="81"/>
      <c r="Z471" s="81"/>
    </row>
    <row r="472" spans="1:26" ht="12" customHeight="1">
      <c r="A472" s="79"/>
      <c r="B472" s="79"/>
      <c r="C472" s="81"/>
      <c r="D472" s="81"/>
      <c r="E472" s="81"/>
      <c r="F472" s="82"/>
      <c r="G472" s="83"/>
      <c r="H472" s="83"/>
      <c r="I472" s="81"/>
      <c r="J472" s="84"/>
      <c r="K472" s="84"/>
      <c r="L472" s="84"/>
      <c r="M472" s="81"/>
      <c r="N472" s="81"/>
      <c r="O472" s="81"/>
      <c r="P472" s="81"/>
      <c r="Q472" s="81"/>
      <c r="R472" s="81"/>
      <c r="S472" s="81"/>
      <c r="T472" s="81"/>
      <c r="U472" s="81"/>
      <c r="V472" s="81"/>
      <c r="W472" s="81"/>
      <c r="X472" s="81"/>
      <c r="Y472" s="81"/>
      <c r="Z472" s="81"/>
    </row>
    <row r="473" spans="1:26" ht="12" customHeight="1">
      <c r="A473" s="79"/>
      <c r="B473" s="79"/>
      <c r="C473" s="81"/>
      <c r="D473" s="81"/>
      <c r="E473" s="81"/>
      <c r="F473" s="82"/>
      <c r="G473" s="83"/>
      <c r="H473" s="83"/>
      <c r="I473" s="81"/>
      <c r="J473" s="84"/>
      <c r="K473" s="84"/>
      <c r="L473" s="84"/>
      <c r="M473" s="81"/>
      <c r="N473" s="81"/>
      <c r="O473" s="81"/>
      <c r="P473" s="81"/>
      <c r="Q473" s="81"/>
      <c r="R473" s="81"/>
      <c r="S473" s="81"/>
      <c r="T473" s="81"/>
      <c r="U473" s="81"/>
      <c r="V473" s="81"/>
      <c r="W473" s="81"/>
      <c r="X473" s="81"/>
      <c r="Y473" s="81"/>
      <c r="Z473" s="81"/>
    </row>
    <row r="474" spans="1:26" ht="12" customHeight="1">
      <c r="A474" s="79"/>
      <c r="B474" s="79"/>
      <c r="C474" s="81"/>
      <c r="D474" s="81"/>
      <c r="E474" s="81"/>
      <c r="F474" s="82"/>
      <c r="G474" s="83"/>
      <c r="H474" s="83"/>
      <c r="I474" s="81"/>
      <c r="J474" s="84"/>
      <c r="K474" s="84"/>
      <c r="L474" s="84"/>
      <c r="M474" s="81"/>
      <c r="N474" s="81"/>
      <c r="O474" s="81"/>
      <c r="P474" s="81"/>
      <c r="Q474" s="81"/>
      <c r="R474" s="81"/>
      <c r="S474" s="81"/>
      <c r="T474" s="81"/>
      <c r="U474" s="81"/>
      <c r="V474" s="81"/>
      <c r="W474" s="81"/>
      <c r="X474" s="81"/>
      <c r="Y474" s="81"/>
      <c r="Z474" s="81"/>
    </row>
    <row r="475" spans="1:26" ht="12" customHeight="1">
      <c r="A475" s="79"/>
      <c r="B475" s="79"/>
      <c r="C475" s="81"/>
      <c r="D475" s="81"/>
      <c r="E475" s="81"/>
      <c r="F475" s="82"/>
      <c r="G475" s="83"/>
      <c r="H475" s="83"/>
      <c r="I475" s="81"/>
      <c r="J475" s="84"/>
      <c r="K475" s="84"/>
      <c r="L475" s="84"/>
      <c r="M475" s="81"/>
      <c r="N475" s="81"/>
      <c r="O475" s="81"/>
      <c r="P475" s="81"/>
      <c r="Q475" s="81"/>
      <c r="R475" s="81"/>
      <c r="S475" s="81"/>
      <c r="T475" s="81"/>
      <c r="U475" s="81"/>
      <c r="V475" s="81"/>
      <c r="W475" s="81"/>
      <c r="X475" s="81"/>
      <c r="Y475" s="81"/>
      <c r="Z475" s="81"/>
    </row>
    <row r="476" spans="1:26" ht="12" customHeight="1">
      <c r="A476" s="79"/>
      <c r="B476" s="79"/>
      <c r="C476" s="81"/>
      <c r="D476" s="81"/>
      <c r="E476" s="81"/>
      <c r="F476" s="82"/>
      <c r="G476" s="83"/>
      <c r="H476" s="83"/>
      <c r="I476" s="81"/>
      <c r="J476" s="84"/>
      <c r="K476" s="84"/>
      <c r="L476" s="84"/>
      <c r="M476" s="81"/>
      <c r="N476" s="81"/>
      <c r="O476" s="81"/>
      <c r="P476" s="81"/>
      <c r="Q476" s="81"/>
      <c r="R476" s="81"/>
      <c r="S476" s="81"/>
      <c r="T476" s="81"/>
      <c r="U476" s="81"/>
      <c r="V476" s="81"/>
      <c r="W476" s="81"/>
      <c r="X476" s="81"/>
      <c r="Y476" s="81"/>
      <c r="Z476" s="81"/>
    </row>
    <row r="477" spans="1:26" ht="12" customHeight="1">
      <c r="A477" s="79"/>
      <c r="B477" s="79"/>
      <c r="C477" s="81"/>
      <c r="D477" s="81"/>
      <c r="E477" s="81"/>
      <c r="F477" s="82"/>
      <c r="G477" s="83"/>
      <c r="H477" s="83"/>
      <c r="I477" s="81"/>
      <c r="J477" s="84"/>
      <c r="K477" s="84"/>
      <c r="L477" s="84"/>
      <c r="M477" s="81"/>
      <c r="N477" s="81"/>
      <c r="O477" s="81"/>
      <c r="P477" s="81"/>
      <c r="Q477" s="81"/>
      <c r="R477" s="81"/>
      <c r="S477" s="81"/>
      <c r="T477" s="81"/>
      <c r="U477" s="81"/>
      <c r="V477" s="81"/>
      <c r="W477" s="81"/>
      <c r="X477" s="81"/>
      <c r="Y477" s="81"/>
      <c r="Z477" s="81"/>
    </row>
    <row r="478" spans="1:26" ht="12" customHeight="1">
      <c r="A478" s="79"/>
      <c r="B478" s="79"/>
      <c r="C478" s="81"/>
      <c r="D478" s="81"/>
      <c r="E478" s="81"/>
      <c r="F478" s="82"/>
      <c r="G478" s="83"/>
      <c r="H478" s="83"/>
      <c r="I478" s="81"/>
      <c r="J478" s="84"/>
      <c r="K478" s="84"/>
      <c r="L478" s="84"/>
      <c r="M478" s="81"/>
      <c r="N478" s="81"/>
      <c r="O478" s="81"/>
      <c r="P478" s="81"/>
      <c r="Q478" s="81"/>
      <c r="R478" s="81"/>
      <c r="S478" s="81"/>
      <c r="T478" s="81"/>
      <c r="U478" s="81"/>
      <c r="V478" s="81"/>
      <c r="W478" s="81"/>
      <c r="X478" s="81"/>
      <c r="Y478" s="81"/>
      <c r="Z478" s="81"/>
    </row>
    <row r="479" spans="1:26" ht="12" customHeight="1">
      <c r="A479" s="79"/>
      <c r="B479" s="79"/>
      <c r="C479" s="81"/>
      <c r="D479" s="81"/>
      <c r="E479" s="81"/>
      <c r="F479" s="82"/>
      <c r="G479" s="83"/>
      <c r="H479" s="83"/>
      <c r="I479" s="81"/>
      <c r="J479" s="84"/>
      <c r="K479" s="84"/>
      <c r="L479" s="84"/>
      <c r="M479" s="81"/>
      <c r="N479" s="81"/>
      <c r="O479" s="81"/>
      <c r="P479" s="81"/>
      <c r="Q479" s="81"/>
      <c r="R479" s="81"/>
      <c r="S479" s="81"/>
      <c r="T479" s="81"/>
      <c r="U479" s="81"/>
      <c r="V479" s="81"/>
      <c r="W479" s="81"/>
      <c r="X479" s="81"/>
      <c r="Y479" s="81"/>
      <c r="Z479" s="81"/>
    </row>
    <row r="480" spans="1:26" ht="12" customHeight="1">
      <c r="A480" s="79"/>
      <c r="B480" s="79"/>
      <c r="C480" s="81"/>
      <c r="D480" s="81"/>
      <c r="E480" s="81"/>
      <c r="F480" s="82"/>
      <c r="G480" s="83"/>
      <c r="H480" s="83"/>
      <c r="I480" s="81"/>
      <c r="J480" s="84"/>
      <c r="K480" s="84"/>
      <c r="L480" s="84"/>
      <c r="M480" s="81"/>
      <c r="N480" s="81"/>
      <c r="O480" s="81"/>
      <c r="P480" s="81"/>
      <c r="Q480" s="81"/>
      <c r="R480" s="81"/>
      <c r="S480" s="81"/>
      <c r="T480" s="81"/>
      <c r="U480" s="81"/>
      <c r="V480" s="81"/>
      <c r="W480" s="81"/>
      <c r="X480" s="81"/>
      <c r="Y480" s="81"/>
      <c r="Z480" s="81"/>
    </row>
    <row r="481" spans="1:26" ht="12" customHeight="1">
      <c r="A481" s="79"/>
      <c r="B481" s="79"/>
      <c r="C481" s="81"/>
      <c r="D481" s="81"/>
      <c r="E481" s="81"/>
      <c r="F481" s="82"/>
      <c r="G481" s="83"/>
      <c r="H481" s="83"/>
      <c r="I481" s="81"/>
      <c r="J481" s="84"/>
      <c r="K481" s="84"/>
      <c r="L481" s="84"/>
      <c r="M481" s="81"/>
      <c r="N481" s="81"/>
      <c r="O481" s="81"/>
      <c r="P481" s="81"/>
      <c r="Q481" s="81"/>
      <c r="R481" s="81"/>
      <c r="S481" s="81"/>
      <c r="T481" s="81"/>
      <c r="U481" s="81"/>
      <c r="V481" s="81"/>
      <c r="W481" s="81"/>
      <c r="X481" s="81"/>
      <c r="Y481" s="81"/>
      <c r="Z481" s="81"/>
    </row>
    <row r="482" spans="1:26" ht="12" customHeight="1">
      <c r="A482" s="79"/>
      <c r="B482" s="79"/>
      <c r="C482" s="81"/>
      <c r="D482" s="81"/>
      <c r="E482" s="81"/>
      <c r="F482" s="82"/>
      <c r="G482" s="83"/>
      <c r="H482" s="83"/>
      <c r="I482" s="81"/>
      <c r="J482" s="84"/>
      <c r="K482" s="84"/>
      <c r="L482" s="84"/>
      <c r="M482" s="81"/>
      <c r="N482" s="81"/>
      <c r="O482" s="81"/>
      <c r="P482" s="81"/>
      <c r="Q482" s="81"/>
      <c r="R482" s="81"/>
      <c r="S482" s="81"/>
      <c r="T482" s="81"/>
      <c r="U482" s="81"/>
      <c r="V482" s="81"/>
      <c r="W482" s="81"/>
      <c r="X482" s="81"/>
      <c r="Y482" s="81"/>
      <c r="Z482" s="81"/>
    </row>
    <row r="483" spans="1:26" ht="12" customHeight="1">
      <c r="A483" s="79"/>
      <c r="B483" s="79"/>
      <c r="C483" s="81"/>
      <c r="D483" s="81"/>
      <c r="E483" s="81"/>
      <c r="F483" s="82"/>
      <c r="G483" s="83"/>
      <c r="H483" s="83"/>
      <c r="I483" s="81"/>
      <c r="J483" s="84"/>
      <c r="K483" s="84"/>
      <c r="L483" s="84"/>
      <c r="M483" s="81"/>
      <c r="N483" s="81"/>
      <c r="O483" s="81"/>
      <c r="P483" s="81"/>
      <c r="Q483" s="81"/>
      <c r="R483" s="81"/>
      <c r="S483" s="81"/>
      <c r="T483" s="81"/>
      <c r="U483" s="81"/>
      <c r="V483" s="81"/>
      <c r="W483" s="81"/>
      <c r="X483" s="81"/>
      <c r="Y483" s="81"/>
      <c r="Z483" s="81"/>
    </row>
    <row r="484" spans="1:26" ht="12" customHeight="1">
      <c r="A484" s="79"/>
      <c r="B484" s="79"/>
      <c r="C484" s="81"/>
      <c r="D484" s="81"/>
      <c r="E484" s="81"/>
      <c r="F484" s="82"/>
      <c r="G484" s="83"/>
      <c r="H484" s="83"/>
      <c r="I484" s="81"/>
      <c r="J484" s="84"/>
      <c r="K484" s="84"/>
      <c r="L484" s="84"/>
      <c r="M484" s="81"/>
      <c r="N484" s="81"/>
      <c r="O484" s="81"/>
      <c r="P484" s="81"/>
      <c r="Q484" s="81"/>
      <c r="R484" s="81"/>
      <c r="S484" s="81"/>
      <c r="T484" s="81"/>
      <c r="U484" s="81"/>
      <c r="V484" s="81"/>
      <c r="W484" s="81"/>
      <c r="X484" s="81"/>
      <c r="Y484" s="81"/>
      <c r="Z484" s="81"/>
    </row>
    <row r="485" spans="1:26" ht="12" customHeight="1">
      <c r="A485" s="79"/>
      <c r="B485" s="79"/>
      <c r="C485" s="81"/>
      <c r="D485" s="81"/>
      <c r="E485" s="81"/>
      <c r="F485" s="82"/>
      <c r="G485" s="83"/>
      <c r="H485" s="83"/>
      <c r="I485" s="81"/>
      <c r="J485" s="84"/>
      <c r="K485" s="84"/>
      <c r="L485" s="84"/>
      <c r="M485" s="81"/>
      <c r="N485" s="81"/>
      <c r="O485" s="81"/>
      <c r="P485" s="81"/>
      <c r="Q485" s="81"/>
      <c r="R485" s="81"/>
      <c r="S485" s="81"/>
      <c r="T485" s="81"/>
      <c r="U485" s="81"/>
      <c r="V485" s="81"/>
      <c r="W485" s="81"/>
      <c r="X485" s="81"/>
      <c r="Y485" s="81"/>
      <c r="Z485" s="81"/>
    </row>
    <row r="486" spans="1:26" ht="12" customHeight="1">
      <c r="A486" s="79"/>
      <c r="B486" s="79"/>
      <c r="C486" s="81"/>
      <c r="D486" s="81"/>
      <c r="E486" s="81"/>
      <c r="F486" s="82"/>
      <c r="G486" s="83"/>
      <c r="H486" s="83"/>
      <c r="I486" s="81"/>
      <c r="J486" s="84"/>
      <c r="K486" s="84"/>
      <c r="L486" s="84"/>
      <c r="M486" s="81"/>
      <c r="N486" s="81"/>
      <c r="O486" s="81"/>
      <c r="P486" s="81"/>
      <c r="Q486" s="81"/>
      <c r="R486" s="81"/>
      <c r="S486" s="81"/>
      <c r="T486" s="81"/>
      <c r="U486" s="81"/>
      <c r="V486" s="81"/>
      <c r="W486" s="81"/>
      <c r="X486" s="81"/>
      <c r="Y486" s="81"/>
      <c r="Z486" s="81"/>
    </row>
    <row r="487" spans="1:26" ht="12" customHeight="1">
      <c r="A487" s="79"/>
      <c r="B487" s="79"/>
      <c r="C487" s="81"/>
      <c r="D487" s="81"/>
      <c r="E487" s="81"/>
      <c r="F487" s="82"/>
      <c r="G487" s="83"/>
      <c r="H487" s="83"/>
      <c r="I487" s="81"/>
      <c r="J487" s="84"/>
      <c r="K487" s="84"/>
      <c r="L487" s="84"/>
      <c r="M487" s="81"/>
      <c r="N487" s="81"/>
      <c r="O487" s="81"/>
      <c r="P487" s="81"/>
      <c r="Q487" s="81"/>
      <c r="R487" s="81"/>
      <c r="S487" s="81"/>
      <c r="T487" s="81"/>
      <c r="U487" s="81"/>
      <c r="V487" s="81"/>
      <c r="W487" s="81"/>
      <c r="X487" s="81"/>
      <c r="Y487" s="81"/>
      <c r="Z487" s="81"/>
    </row>
    <row r="488" spans="1:26" ht="12" customHeight="1">
      <c r="A488" s="79"/>
      <c r="B488" s="79"/>
      <c r="C488" s="81"/>
      <c r="D488" s="81"/>
      <c r="E488" s="81"/>
      <c r="F488" s="82"/>
      <c r="G488" s="83"/>
      <c r="H488" s="83"/>
      <c r="I488" s="81"/>
      <c r="J488" s="84"/>
      <c r="K488" s="84"/>
      <c r="L488" s="84"/>
      <c r="M488" s="81"/>
      <c r="N488" s="81"/>
      <c r="O488" s="81"/>
      <c r="P488" s="81"/>
      <c r="Q488" s="81"/>
      <c r="R488" s="81"/>
      <c r="S488" s="81"/>
      <c r="T488" s="81"/>
      <c r="U488" s="81"/>
      <c r="V488" s="81"/>
      <c r="W488" s="81"/>
      <c r="X488" s="81"/>
      <c r="Y488" s="81"/>
      <c r="Z488" s="81"/>
    </row>
    <row r="489" spans="1:26" ht="12" customHeight="1">
      <c r="A489" s="79"/>
      <c r="B489" s="79"/>
      <c r="C489" s="81"/>
      <c r="D489" s="81"/>
      <c r="E489" s="81"/>
      <c r="F489" s="82"/>
      <c r="G489" s="83"/>
      <c r="H489" s="83"/>
      <c r="I489" s="81"/>
      <c r="J489" s="84"/>
      <c r="K489" s="84"/>
      <c r="L489" s="84"/>
      <c r="M489" s="81"/>
      <c r="N489" s="81"/>
      <c r="O489" s="81"/>
      <c r="P489" s="81"/>
      <c r="Q489" s="81"/>
      <c r="R489" s="81"/>
      <c r="S489" s="81"/>
      <c r="T489" s="81"/>
      <c r="U489" s="81"/>
      <c r="V489" s="81"/>
      <c r="W489" s="81"/>
      <c r="X489" s="81"/>
      <c r="Y489" s="81"/>
      <c r="Z489" s="81"/>
    </row>
    <row r="490" spans="1:26" ht="12" customHeight="1">
      <c r="A490" s="79"/>
      <c r="B490" s="79"/>
      <c r="C490" s="81"/>
      <c r="D490" s="81"/>
      <c r="E490" s="81"/>
      <c r="F490" s="82"/>
      <c r="G490" s="83"/>
      <c r="H490" s="83"/>
      <c r="I490" s="81"/>
      <c r="J490" s="84"/>
      <c r="K490" s="84"/>
      <c r="L490" s="84"/>
      <c r="M490" s="81"/>
      <c r="N490" s="81"/>
      <c r="O490" s="81"/>
      <c r="P490" s="81"/>
      <c r="Q490" s="81"/>
      <c r="R490" s="81"/>
      <c r="S490" s="81"/>
      <c r="T490" s="81"/>
      <c r="U490" s="81"/>
      <c r="V490" s="81"/>
      <c r="W490" s="81"/>
      <c r="X490" s="81"/>
      <c r="Y490" s="81"/>
      <c r="Z490" s="81"/>
    </row>
    <row r="491" spans="1:26" ht="12" customHeight="1">
      <c r="A491" s="79"/>
      <c r="B491" s="79"/>
      <c r="C491" s="81"/>
      <c r="D491" s="81"/>
      <c r="E491" s="81"/>
      <c r="F491" s="82"/>
      <c r="G491" s="83"/>
      <c r="H491" s="83"/>
      <c r="I491" s="81"/>
      <c r="J491" s="84"/>
      <c r="K491" s="84"/>
      <c r="L491" s="84"/>
      <c r="M491" s="81"/>
      <c r="N491" s="81"/>
      <c r="O491" s="81"/>
      <c r="P491" s="81"/>
      <c r="Q491" s="81"/>
      <c r="R491" s="81"/>
      <c r="S491" s="81"/>
      <c r="T491" s="81"/>
      <c r="U491" s="81"/>
      <c r="V491" s="81"/>
      <c r="W491" s="81"/>
      <c r="X491" s="81"/>
      <c r="Y491" s="81"/>
      <c r="Z491" s="81"/>
    </row>
    <row r="492" spans="1:26" ht="12" customHeight="1">
      <c r="A492" s="79"/>
      <c r="B492" s="79"/>
      <c r="C492" s="81"/>
      <c r="D492" s="81"/>
      <c r="E492" s="81"/>
      <c r="F492" s="82"/>
      <c r="G492" s="83"/>
      <c r="H492" s="83"/>
      <c r="I492" s="81"/>
      <c r="J492" s="84"/>
      <c r="K492" s="84"/>
      <c r="L492" s="84"/>
      <c r="M492" s="81"/>
      <c r="N492" s="81"/>
      <c r="O492" s="81"/>
      <c r="P492" s="81"/>
      <c r="Q492" s="81"/>
      <c r="R492" s="81"/>
      <c r="S492" s="81"/>
      <c r="T492" s="81"/>
      <c r="U492" s="81"/>
      <c r="V492" s="81"/>
      <c r="W492" s="81"/>
      <c r="X492" s="81"/>
      <c r="Y492" s="81"/>
      <c r="Z492" s="81"/>
    </row>
    <row r="493" spans="1:26" ht="12" customHeight="1">
      <c r="A493" s="79"/>
      <c r="B493" s="79"/>
      <c r="C493" s="81"/>
      <c r="D493" s="81"/>
      <c r="E493" s="81"/>
      <c r="F493" s="82"/>
      <c r="G493" s="83"/>
      <c r="H493" s="83"/>
      <c r="I493" s="81"/>
      <c r="J493" s="84"/>
      <c r="K493" s="84"/>
      <c r="L493" s="84"/>
      <c r="M493" s="81"/>
      <c r="N493" s="81"/>
      <c r="O493" s="81"/>
      <c r="P493" s="81"/>
      <c r="Q493" s="81"/>
      <c r="R493" s="81"/>
      <c r="S493" s="81"/>
      <c r="T493" s="81"/>
      <c r="U493" s="81"/>
      <c r="V493" s="81"/>
      <c r="W493" s="81"/>
      <c r="X493" s="81"/>
      <c r="Y493" s="81"/>
      <c r="Z493" s="81"/>
    </row>
    <row r="494" spans="1:26" ht="12" customHeight="1">
      <c r="A494" s="79"/>
      <c r="B494" s="79"/>
      <c r="C494" s="81"/>
      <c r="D494" s="81"/>
      <c r="E494" s="81"/>
      <c r="F494" s="82"/>
      <c r="G494" s="83"/>
      <c r="H494" s="83"/>
      <c r="I494" s="81"/>
      <c r="J494" s="84"/>
      <c r="K494" s="84"/>
      <c r="L494" s="84"/>
      <c r="M494" s="81"/>
      <c r="N494" s="81"/>
      <c r="O494" s="81"/>
      <c r="P494" s="81"/>
      <c r="Q494" s="81"/>
      <c r="R494" s="81"/>
      <c r="S494" s="81"/>
      <c r="T494" s="81"/>
      <c r="U494" s="81"/>
      <c r="V494" s="81"/>
      <c r="W494" s="81"/>
      <c r="X494" s="81"/>
      <c r="Y494" s="81"/>
      <c r="Z494" s="81"/>
    </row>
    <row r="495" spans="1:26" ht="12" customHeight="1">
      <c r="A495" s="79"/>
      <c r="B495" s="79"/>
      <c r="C495" s="81"/>
      <c r="D495" s="81"/>
      <c r="E495" s="81"/>
      <c r="F495" s="82"/>
      <c r="G495" s="83"/>
      <c r="H495" s="83"/>
      <c r="I495" s="81"/>
      <c r="J495" s="84"/>
      <c r="K495" s="84"/>
      <c r="L495" s="84"/>
      <c r="M495" s="81"/>
      <c r="N495" s="81"/>
      <c r="O495" s="81"/>
      <c r="P495" s="81"/>
      <c r="Q495" s="81"/>
      <c r="R495" s="81"/>
      <c r="S495" s="81"/>
      <c r="T495" s="81"/>
      <c r="U495" s="81"/>
      <c r="V495" s="81"/>
      <c r="W495" s="81"/>
      <c r="X495" s="81"/>
      <c r="Y495" s="81"/>
      <c r="Z495" s="81"/>
    </row>
    <row r="496" spans="1:26" ht="12" customHeight="1">
      <c r="A496" s="79"/>
      <c r="B496" s="79"/>
      <c r="C496" s="81"/>
      <c r="D496" s="81"/>
      <c r="E496" s="81"/>
      <c r="F496" s="82"/>
      <c r="G496" s="83"/>
      <c r="H496" s="83"/>
      <c r="I496" s="81"/>
      <c r="J496" s="84"/>
      <c r="K496" s="84"/>
      <c r="L496" s="84"/>
      <c r="M496" s="81"/>
      <c r="N496" s="81"/>
      <c r="O496" s="81"/>
      <c r="P496" s="81"/>
      <c r="Q496" s="81"/>
      <c r="R496" s="81"/>
      <c r="S496" s="81"/>
      <c r="T496" s="81"/>
      <c r="U496" s="81"/>
      <c r="V496" s="81"/>
      <c r="W496" s="81"/>
      <c r="X496" s="81"/>
      <c r="Y496" s="81"/>
      <c r="Z496" s="81"/>
    </row>
    <row r="497" spans="1:26" ht="12" customHeight="1">
      <c r="A497" s="79"/>
      <c r="B497" s="79"/>
      <c r="C497" s="81"/>
      <c r="D497" s="81"/>
      <c r="E497" s="81"/>
      <c r="F497" s="82"/>
      <c r="G497" s="83"/>
      <c r="H497" s="83"/>
      <c r="I497" s="81"/>
      <c r="J497" s="84"/>
      <c r="K497" s="84"/>
      <c r="L497" s="84"/>
      <c r="M497" s="81"/>
      <c r="N497" s="81"/>
      <c r="O497" s="81"/>
      <c r="P497" s="81"/>
      <c r="Q497" s="81"/>
      <c r="R497" s="81"/>
      <c r="S497" s="81"/>
      <c r="T497" s="81"/>
      <c r="U497" s="81"/>
      <c r="V497" s="81"/>
      <c r="W497" s="81"/>
      <c r="X497" s="81"/>
      <c r="Y497" s="81"/>
      <c r="Z497" s="81"/>
    </row>
    <row r="498" spans="1:26" ht="12" customHeight="1">
      <c r="A498" s="79"/>
      <c r="B498" s="79"/>
      <c r="C498" s="81"/>
      <c r="D498" s="81"/>
      <c r="E498" s="81"/>
      <c r="F498" s="82"/>
      <c r="G498" s="83"/>
      <c r="H498" s="83"/>
      <c r="I498" s="81"/>
      <c r="J498" s="84"/>
      <c r="K498" s="84"/>
      <c r="L498" s="84"/>
      <c r="M498" s="81"/>
      <c r="N498" s="81"/>
      <c r="O498" s="81"/>
      <c r="P498" s="81"/>
      <c r="Q498" s="81"/>
      <c r="R498" s="81"/>
      <c r="S498" s="81"/>
      <c r="T498" s="81"/>
      <c r="U498" s="81"/>
      <c r="V498" s="81"/>
      <c r="W498" s="81"/>
      <c r="X498" s="81"/>
      <c r="Y498" s="81"/>
      <c r="Z498" s="81"/>
    </row>
    <row r="499" spans="1:26" ht="12" customHeight="1">
      <c r="A499" s="79"/>
      <c r="B499" s="79"/>
      <c r="C499" s="81"/>
      <c r="D499" s="81"/>
      <c r="E499" s="81"/>
      <c r="F499" s="82"/>
      <c r="G499" s="83"/>
      <c r="H499" s="83"/>
      <c r="I499" s="81"/>
      <c r="J499" s="84"/>
      <c r="K499" s="84"/>
      <c r="L499" s="84"/>
      <c r="M499" s="81"/>
      <c r="N499" s="81"/>
      <c r="O499" s="81"/>
      <c r="P499" s="81"/>
      <c r="Q499" s="81"/>
      <c r="R499" s="81"/>
      <c r="S499" s="81"/>
      <c r="T499" s="81"/>
      <c r="U499" s="81"/>
      <c r="V499" s="81"/>
      <c r="W499" s="81"/>
      <c r="X499" s="81"/>
      <c r="Y499" s="81"/>
      <c r="Z499" s="81"/>
    </row>
    <row r="500" spans="1:26" ht="12" customHeight="1">
      <c r="A500" s="79"/>
      <c r="B500" s="79"/>
      <c r="C500" s="81"/>
      <c r="D500" s="81"/>
      <c r="E500" s="81"/>
      <c r="F500" s="82"/>
      <c r="G500" s="83"/>
      <c r="H500" s="83"/>
      <c r="I500" s="81"/>
      <c r="J500" s="84"/>
      <c r="K500" s="84"/>
      <c r="L500" s="84"/>
      <c r="M500" s="81"/>
      <c r="N500" s="81"/>
      <c r="O500" s="81"/>
      <c r="P500" s="81"/>
      <c r="Q500" s="81"/>
      <c r="R500" s="81"/>
      <c r="S500" s="81"/>
      <c r="T500" s="81"/>
      <c r="U500" s="81"/>
      <c r="V500" s="81"/>
      <c r="W500" s="81"/>
      <c r="X500" s="81"/>
      <c r="Y500" s="81"/>
      <c r="Z500" s="81"/>
    </row>
    <row r="501" spans="1:26" ht="12" customHeight="1">
      <c r="A501" s="79"/>
      <c r="B501" s="79"/>
      <c r="C501" s="81"/>
      <c r="D501" s="81"/>
      <c r="E501" s="81"/>
      <c r="F501" s="82"/>
      <c r="G501" s="83"/>
      <c r="H501" s="83"/>
      <c r="I501" s="81"/>
      <c r="J501" s="84"/>
      <c r="K501" s="84"/>
      <c r="L501" s="84"/>
      <c r="M501" s="81"/>
      <c r="N501" s="81"/>
      <c r="O501" s="81"/>
      <c r="P501" s="81"/>
      <c r="Q501" s="81"/>
      <c r="R501" s="81"/>
      <c r="S501" s="81"/>
      <c r="T501" s="81"/>
      <c r="U501" s="81"/>
      <c r="V501" s="81"/>
      <c r="W501" s="81"/>
      <c r="X501" s="81"/>
      <c r="Y501" s="81"/>
      <c r="Z501" s="81"/>
    </row>
    <row r="502" spans="1:26" ht="12" customHeight="1">
      <c r="A502" s="79"/>
      <c r="B502" s="79"/>
      <c r="C502" s="81"/>
      <c r="D502" s="81"/>
      <c r="E502" s="81"/>
      <c r="F502" s="82"/>
      <c r="G502" s="83"/>
      <c r="H502" s="83"/>
      <c r="I502" s="81"/>
      <c r="J502" s="84"/>
      <c r="K502" s="84"/>
      <c r="L502" s="84"/>
      <c r="M502" s="81"/>
      <c r="N502" s="81"/>
      <c r="O502" s="81"/>
      <c r="P502" s="81"/>
      <c r="Q502" s="81"/>
      <c r="R502" s="81"/>
      <c r="S502" s="81"/>
      <c r="T502" s="81"/>
      <c r="U502" s="81"/>
      <c r="V502" s="81"/>
      <c r="W502" s="81"/>
      <c r="X502" s="81"/>
      <c r="Y502" s="81"/>
      <c r="Z502" s="81"/>
    </row>
    <row r="503" spans="1:26" ht="12" customHeight="1">
      <c r="A503" s="79"/>
      <c r="B503" s="79"/>
      <c r="C503" s="81"/>
      <c r="D503" s="81"/>
      <c r="E503" s="81"/>
      <c r="F503" s="82"/>
      <c r="G503" s="83"/>
      <c r="H503" s="83"/>
      <c r="I503" s="81"/>
      <c r="J503" s="84"/>
      <c r="K503" s="84"/>
      <c r="L503" s="84"/>
      <c r="M503" s="81"/>
      <c r="N503" s="81"/>
      <c r="O503" s="81"/>
      <c r="P503" s="81"/>
      <c r="Q503" s="81"/>
      <c r="R503" s="81"/>
      <c r="S503" s="81"/>
      <c r="T503" s="81"/>
      <c r="U503" s="81"/>
      <c r="V503" s="81"/>
      <c r="W503" s="81"/>
      <c r="X503" s="81"/>
      <c r="Y503" s="81"/>
      <c r="Z503" s="81"/>
    </row>
    <row r="504" spans="1:26" ht="12" customHeight="1">
      <c r="A504" s="79"/>
      <c r="B504" s="79"/>
      <c r="C504" s="81"/>
      <c r="D504" s="81"/>
      <c r="E504" s="81"/>
      <c r="F504" s="82"/>
      <c r="G504" s="83"/>
      <c r="H504" s="83"/>
      <c r="I504" s="81"/>
      <c r="J504" s="84"/>
      <c r="K504" s="84"/>
      <c r="L504" s="84"/>
      <c r="M504" s="81"/>
      <c r="N504" s="81"/>
      <c r="O504" s="81"/>
      <c r="P504" s="81"/>
      <c r="Q504" s="81"/>
      <c r="R504" s="81"/>
      <c r="S504" s="81"/>
      <c r="T504" s="81"/>
      <c r="U504" s="81"/>
      <c r="V504" s="81"/>
      <c r="W504" s="81"/>
      <c r="X504" s="81"/>
      <c r="Y504" s="81"/>
      <c r="Z504" s="81"/>
    </row>
    <row r="505" spans="1:26" ht="12" customHeight="1">
      <c r="A505" s="79"/>
      <c r="B505" s="79"/>
      <c r="C505" s="81"/>
      <c r="D505" s="81"/>
      <c r="E505" s="81"/>
      <c r="F505" s="82"/>
      <c r="G505" s="83"/>
      <c r="H505" s="83"/>
      <c r="I505" s="81"/>
      <c r="J505" s="84"/>
      <c r="K505" s="84"/>
      <c r="L505" s="84"/>
      <c r="M505" s="81"/>
      <c r="N505" s="81"/>
      <c r="O505" s="81"/>
      <c r="P505" s="81"/>
      <c r="Q505" s="81"/>
      <c r="R505" s="81"/>
      <c r="S505" s="81"/>
      <c r="T505" s="81"/>
      <c r="U505" s="81"/>
      <c r="V505" s="81"/>
      <c r="W505" s="81"/>
      <c r="X505" s="81"/>
      <c r="Y505" s="81"/>
      <c r="Z505" s="81"/>
    </row>
    <row r="506" spans="1:26" ht="12" customHeight="1">
      <c r="A506" s="79"/>
      <c r="B506" s="79"/>
      <c r="C506" s="81"/>
      <c r="D506" s="81"/>
      <c r="E506" s="81"/>
      <c r="F506" s="82"/>
      <c r="G506" s="83"/>
      <c r="H506" s="83"/>
      <c r="I506" s="81"/>
      <c r="J506" s="84"/>
      <c r="K506" s="84"/>
      <c r="L506" s="84"/>
      <c r="M506" s="81"/>
      <c r="N506" s="81"/>
      <c r="O506" s="81"/>
      <c r="P506" s="81"/>
      <c r="Q506" s="81"/>
      <c r="R506" s="81"/>
      <c r="S506" s="81"/>
      <c r="T506" s="81"/>
      <c r="U506" s="81"/>
      <c r="V506" s="81"/>
      <c r="W506" s="81"/>
      <c r="X506" s="81"/>
      <c r="Y506" s="81"/>
      <c r="Z506" s="81"/>
    </row>
    <row r="507" spans="1:26" ht="12" customHeight="1">
      <c r="A507" s="79"/>
      <c r="B507" s="79"/>
      <c r="C507" s="81"/>
      <c r="D507" s="81"/>
      <c r="E507" s="81"/>
      <c r="F507" s="82"/>
      <c r="G507" s="83"/>
      <c r="H507" s="83"/>
      <c r="I507" s="81"/>
      <c r="J507" s="84"/>
      <c r="K507" s="84"/>
      <c r="L507" s="84"/>
      <c r="M507" s="81"/>
      <c r="N507" s="81"/>
      <c r="O507" s="81"/>
      <c r="P507" s="81"/>
      <c r="Q507" s="81"/>
      <c r="R507" s="81"/>
      <c r="S507" s="81"/>
      <c r="T507" s="81"/>
      <c r="U507" s="81"/>
      <c r="V507" s="81"/>
      <c r="W507" s="81"/>
      <c r="X507" s="81"/>
      <c r="Y507" s="81"/>
      <c r="Z507" s="81"/>
    </row>
    <row r="508" spans="1:26" ht="12" customHeight="1">
      <c r="A508" s="79"/>
      <c r="B508" s="79"/>
      <c r="C508" s="81"/>
      <c r="D508" s="81"/>
      <c r="E508" s="81"/>
      <c r="F508" s="82"/>
      <c r="G508" s="83"/>
      <c r="H508" s="83"/>
      <c r="I508" s="81"/>
      <c r="J508" s="84"/>
      <c r="K508" s="84"/>
      <c r="L508" s="84"/>
      <c r="M508" s="81"/>
      <c r="N508" s="81"/>
      <c r="O508" s="81"/>
      <c r="P508" s="81"/>
      <c r="Q508" s="81"/>
      <c r="R508" s="81"/>
      <c r="S508" s="81"/>
      <c r="T508" s="81"/>
      <c r="U508" s="81"/>
      <c r="V508" s="81"/>
      <c r="W508" s="81"/>
      <c r="X508" s="81"/>
      <c r="Y508" s="81"/>
      <c r="Z508" s="81"/>
    </row>
    <row r="509" spans="1:26" ht="12" customHeight="1">
      <c r="A509" s="79"/>
      <c r="B509" s="79"/>
      <c r="C509" s="81"/>
      <c r="D509" s="81"/>
      <c r="E509" s="81"/>
      <c r="F509" s="82"/>
      <c r="G509" s="83"/>
      <c r="H509" s="83"/>
      <c r="I509" s="81"/>
      <c r="J509" s="84"/>
      <c r="K509" s="84"/>
      <c r="L509" s="84"/>
      <c r="M509" s="81"/>
      <c r="N509" s="81"/>
      <c r="O509" s="81"/>
      <c r="P509" s="81"/>
      <c r="Q509" s="81"/>
      <c r="R509" s="81"/>
      <c r="S509" s="81"/>
      <c r="T509" s="81"/>
      <c r="U509" s="81"/>
      <c r="V509" s="81"/>
      <c r="W509" s="81"/>
      <c r="X509" s="81"/>
      <c r="Y509" s="81"/>
      <c r="Z509" s="81"/>
    </row>
    <row r="510" spans="1:26" ht="12" customHeight="1">
      <c r="A510" s="79"/>
      <c r="B510" s="79"/>
      <c r="C510" s="81"/>
      <c r="D510" s="81"/>
      <c r="E510" s="81"/>
      <c r="F510" s="82"/>
      <c r="G510" s="83"/>
      <c r="H510" s="83"/>
      <c r="I510" s="81"/>
      <c r="J510" s="84"/>
      <c r="K510" s="84"/>
      <c r="L510" s="84"/>
      <c r="M510" s="81"/>
      <c r="N510" s="81"/>
      <c r="O510" s="81"/>
      <c r="P510" s="81"/>
      <c r="Q510" s="81"/>
      <c r="R510" s="81"/>
      <c r="S510" s="81"/>
      <c r="T510" s="81"/>
      <c r="U510" s="81"/>
      <c r="V510" s="81"/>
      <c r="W510" s="81"/>
      <c r="X510" s="81"/>
      <c r="Y510" s="81"/>
      <c r="Z510" s="81"/>
    </row>
    <row r="511" spans="1:26" ht="12" customHeight="1">
      <c r="A511" s="79"/>
      <c r="B511" s="79"/>
      <c r="C511" s="81"/>
      <c r="D511" s="81"/>
      <c r="E511" s="81"/>
      <c r="F511" s="82"/>
      <c r="G511" s="83"/>
      <c r="H511" s="83"/>
      <c r="I511" s="81"/>
      <c r="J511" s="84"/>
      <c r="K511" s="84"/>
      <c r="L511" s="84"/>
      <c r="M511" s="81"/>
      <c r="N511" s="81"/>
      <c r="O511" s="81"/>
      <c r="P511" s="81"/>
      <c r="Q511" s="81"/>
      <c r="R511" s="81"/>
      <c r="S511" s="81"/>
      <c r="T511" s="81"/>
      <c r="U511" s="81"/>
      <c r="V511" s="81"/>
      <c r="W511" s="81"/>
      <c r="X511" s="81"/>
      <c r="Y511" s="81"/>
      <c r="Z511" s="81"/>
    </row>
    <row r="512" spans="1:26" ht="12" customHeight="1">
      <c r="A512" s="79"/>
      <c r="B512" s="79"/>
      <c r="C512" s="81"/>
      <c r="D512" s="81"/>
      <c r="E512" s="81"/>
      <c r="F512" s="82"/>
      <c r="G512" s="83"/>
      <c r="H512" s="83"/>
      <c r="I512" s="81"/>
      <c r="J512" s="84"/>
      <c r="K512" s="84"/>
      <c r="L512" s="84"/>
      <c r="M512" s="81"/>
      <c r="N512" s="81"/>
      <c r="O512" s="81"/>
      <c r="P512" s="81"/>
      <c r="Q512" s="81"/>
      <c r="R512" s="81"/>
      <c r="S512" s="81"/>
      <c r="T512" s="81"/>
      <c r="U512" s="81"/>
      <c r="V512" s="81"/>
      <c r="W512" s="81"/>
      <c r="X512" s="81"/>
      <c r="Y512" s="81"/>
      <c r="Z512" s="81"/>
    </row>
    <row r="513" spans="1:26" ht="12" customHeight="1">
      <c r="A513" s="79"/>
      <c r="B513" s="79"/>
      <c r="C513" s="81"/>
      <c r="D513" s="81"/>
      <c r="E513" s="81"/>
      <c r="F513" s="82"/>
      <c r="G513" s="83"/>
      <c r="H513" s="83"/>
      <c r="I513" s="81"/>
      <c r="J513" s="84"/>
      <c r="K513" s="84"/>
      <c r="L513" s="84"/>
      <c r="M513" s="81"/>
      <c r="N513" s="81"/>
      <c r="O513" s="81"/>
      <c r="P513" s="81"/>
      <c r="Q513" s="81"/>
      <c r="R513" s="81"/>
      <c r="S513" s="81"/>
      <c r="T513" s="81"/>
      <c r="U513" s="81"/>
      <c r="V513" s="81"/>
      <c r="W513" s="81"/>
      <c r="X513" s="81"/>
      <c r="Y513" s="81"/>
      <c r="Z513" s="81"/>
    </row>
    <row r="514" spans="1:26" ht="12" customHeight="1">
      <c r="A514" s="79"/>
      <c r="B514" s="79"/>
      <c r="C514" s="81"/>
      <c r="D514" s="81"/>
      <c r="E514" s="81"/>
      <c r="F514" s="82"/>
      <c r="G514" s="83"/>
      <c r="H514" s="83"/>
      <c r="I514" s="81"/>
      <c r="J514" s="84"/>
      <c r="K514" s="84"/>
      <c r="L514" s="84"/>
      <c r="M514" s="81"/>
      <c r="N514" s="81"/>
      <c r="O514" s="81"/>
      <c r="P514" s="81"/>
      <c r="Q514" s="81"/>
      <c r="R514" s="81"/>
      <c r="S514" s="81"/>
      <c r="T514" s="81"/>
      <c r="U514" s="81"/>
      <c r="V514" s="81"/>
      <c r="W514" s="81"/>
      <c r="X514" s="81"/>
      <c r="Y514" s="81"/>
      <c r="Z514" s="81"/>
    </row>
    <row r="515" spans="1:26" ht="12" customHeight="1">
      <c r="A515" s="79"/>
      <c r="B515" s="79"/>
      <c r="C515" s="81"/>
      <c r="D515" s="81"/>
      <c r="E515" s="81"/>
      <c r="F515" s="82"/>
      <c r="G515" s="83"/>
      <c r="H515" s="83"/>
      <c r="I515" s="81"/>
      <c r="J515" s="84"/>
      <c r="K515" s="84"/>
      <c r="L515" s="84"/>
      <c r="M515" s="81"/>
      <c r="N515" s="81"/>
      <c r="O515" s="81"/>
      <c r="P515" s="81"/>
      <c r="Q515" s="81"/>
      <c r="R515" s="81"/>
      <c r="S515" s="81"/>
      <c r="T515" s="81"/>
      <c r="U515" s="81"/>
      <c r="V515" s="81"/>
      <c r="W515" s="81"/>
      <c r="X515" s="81"/>
      <c r="Y515" s="81"/>
      <c r="Z515" s="81"/>
    </row>
    <row r="516" spans="1:26" ht="12" customHeight="1">
      <c r="A516" s="79"/>
      <c r="B516" s="79"/>
      <c r="C516" s="81"/>
      <c r="D516" s="81"/>
      <c r="E516" s="81"/>
      <c r="F516" s="82"/>
      <c r="G516" s="83"/>
      <c r="H516" s="83"/>
      <c r="I516" s="81"/>
      <c r="J516" s="84"/>
      <c r="K516" s="84"/>
      <c r="L516" s="84"/>
      <c r="M516" s="81"/>
      <c r="N516" s="81"/>
      <c r="O516" s="81"/>
      <c r="P516" s="81"/>
      <c r="Q516" s="81"/>
      <c r="R516" s="81"/>
      <c r="S516" s="81"/>
      <c r="T516" s="81"/>
      <c r="U516" s="81"/>
      <c r="V516" s="81"/>
      <c r="W516" s="81"/>
      <c r="X516" s="81"/>
      <c r="Y516" s="81"/>
      <c r="Z516" s="81"/>
    </row>
    <row r="517" spans="1:26" ht="12" customHeight="1">
      <c r="A517" s="79"/>
      <c r="B517" s="79"/>
      <c r="C517" s="81"/>
      <c r="D517" s="81"/>
      <c r="E517" s="81"/>
      <c r="F517" s="82"/>
      <c r="G517" s="83"/>
      <c r="H517" s="83"/>
      <c r="I517" s="81"/>
      <c r="J517" s="84"/>
      <c r="K517" s="84"/>
      <c r="L517" s="84"/>
      <c r="M517" s="81"/>
      <c r="N517" s="81"/>
      <c r="O517" s="81"/>
      <c r="P517" s="81"/>
      <c r="Q517" s="81"/>
      <c r="R517" s="81"/>
      <c r="S517" s="81"/>
      <c r="T517" s="81"/>
      <c r="U517" s="81"/>
      <c r="V517" s="81"/>
      <c r="W517" s="81"/>
      <c r="X517" s="81"/>
      <c r="Y517" s="81"/>
      <c r="Z517" s="81"/>
    </row>
    <row r="518" spans="1:26" ht="12" customHeight="1">
      <c r="A518" s="79"/>
      <c r="B518" s="79"/>
      <c r="C518" s="81"/>
      <c r="D518" s="81"/>
      <c r="E518" s="81"/>
      <c r="F518" s="82"/>
      <c r="G518" s="83"/>
      <c r="H518" s="83"/>
      <c r="I518" s="81"/>
      <c r="J518" s="84"/>
      <c r="K518" s="84"/>
      <c r="L518" s="84"/>
      <c r="M518" s="81"/>
      <c r="N518" s="81"/>
      <c r="O518" s="81"/>
      <c r="P518" s="81"/>
      <c r="Q518" s="81"/>
      <c r="R518" s="81"/>
      <c r="S518" s="81"/>
      <c r="T518" s="81"/>
      <c r="U518" s="81"/>
      <c r="V518" s="81"/>
      <c r="W518" s="81"/>
      <c r="X518" s="81"/>
      <c r="Y518" s="81"/>
      <c r="Z518" s="81"/>
    </row>
    <row r="519" spans="1:26" ht="12" customHeight="1">
      <c r="A519" s="79"/>
      <c r="B519" s="79"/>
      <c r="C519" s="81"/>
      <c r="D519" s="81"/>
      <c r="E519" s="81"/>
      <c r="F519" s="82"/>
      <c r="G519" s="83"/>
      <c r="H519" s="83"/>
      <c r="I519" s="81"/>
      <c r="J519" s="84"/>
      <c r="K519" s="84"/>
      <c r="L519" s="84"/>
      <c r="M519" s="81"/>
      <c r="N519" s="81"/>
      <c r="O519" s="81"/>
      <c r="P519" s="81"/>
      <c r="Q519" s="81"/>
      <c r="R519" s="81"/>
      <c r="S519" s="81"/>
      <c r="T519" s="81"/>
      <c r="U519" s="81"/>
      <c r="V519" s="81"/>
      <c r="W519" s="81"/>
      <c r="X519" s="81"/>
      <c r="Y519" s="81"/>
      <c r="Z519" s="81"/>
    </row>
    <row r="520" spans="1:26" ht="12" customHeight="1">
      <c r="A520" s="79"/>
      <c r="B520" s="79"/>
      <c r="C520" s="81"/>
      <c r="D520" s="81"/>
      <c r="E520" s="81"/>
      <c r="F520" s="82"/>
      <c r="G520" s="83"/>
      <c r="H520" s="83"/>
      <c r="I520" s="81"/>
      <c r="J520" s="84"/>
      <c r="K520" s="84"/>
      <c r="L520" s="84"/>
      <c r="M520" s="81"/>
      <c r="N520" s="81"/>
      <c r="O520" s="81"/>
      <c r="P520" s="81"/>
      <c r="Q520" s="81"/>
      <c r="R520" s="81"/>
      <c r="S520" s="81"/>
      <c r="T520" s="81"/>
      <c r="U520" s="81"/>
      <c r="V520" s="81"/>
      <c r="W520" s="81"/>
      <c r="X520" s="81"/>
      <c r="Y520" s="81"/>
      <c r="Z520" s="81"/>
    </row>
    <row r="521" spans="1:26" ht="12" customHeight="1">
      <c r="A521" s="79"/>
      <c r="B521" s="79"/>
      <c r="C521" s="81"/>
      <c r="D521" s="81"/>
      <c r="E521" s="81"/>
      <c r="F521" s="82"/>
      <c r="G521" s="83"/>
      <c r="H521" s="83"/>
      <c r="I521" s="81"/>
      <c r="J521" s="84"/>
      <c r="K521" s="84"/>
      <c r="L521" s="84"/>
      <c r="M521" s="81"/>
      <c r="N521" s="81"/>
      <c r="O521" s="81"/>
      <c r="P521" s="81"/>
      <c r="Q521" s="81"/>
      <c r="R521" s="81"/>
      <c r="S521" s="81"/>
      <c r="T521" s="81"/>
      <c r="U521" s="81"/>
      <c r="V521" s="81"/>
      <c r="W521" s="81"/>
      <c r="X521" s="81"/>
      <c r="Y521" s="81"/>
      <c r="Z521" s="81"/>
    </row>
    <row r="522" spans="1:26" ht="12" customHeight="1">
      <c r="A522" s="79"/>
      <c r="B522" s="79"/>
      <c r="C522" s="81"/>
      <c r="D522" s="81"/>
      <c r="E522" s="81"/>
      <c r="F522" s="82"/>
      <c r="G522" s="83"/>
      <c r="H522" s="83"/>
      <c r="I522" s="81"/>
      <c r="J522" s="84"/>
      <c r="K522" s="84"/>
      <c r="L522" s="84"/>
      <c r="M522" s="81"/>
      <c r="N522" s="81"/>
      <c r="O522" s="81"/>
      <c r="P522" s="81"/>
      <c r="Q522" s="81"/>
      <c r="R522" s="81"/>
      <c r="S522" s="81"/>
      <c r="T522" s="81"/>
      <c r="U522" s="81"/>
      <c r="V522" s="81"/>
      <c r="W522" s="81"/>
      <c r="X522" s="81"/>
      <c r="Y522" s="81"/>
      <c r="Z522" s="81"/>
    </row>
    <row r="523" spans="1:26" ht="12" customHeight="1">
      <c r="A523" s="79"/>
      <c r="B523" s="79"/>
      <c r="C523" s="81"/>
      <c r="D523" s="81"/>
      <c r="E523" s="81"/>
      <c r="F523" s="82"/>
      <c r="G523" s="83"/>
      <c r="H523" s="83"/>
      <c r="I523" s="81"/>
      <c r="J523" s="84"/>
      <c r="K523" s="84"/>
      <c r="L523" s="84"/>
      <c r="M523" s="81"/>
      <c r="N523" s="81"/>
      <c r="O523" s="81"/>
      <c r="P523" s="81"/>
      <c r="Q523" s="81"/>
      <c r="R523" s="81"/>
      <c r="S523" s="81"/>
      <c r="T523" s="81"/>
      <c r="U523" s="81"/>
      <c r="V523" s="81"/>
      <c r="W523" s="81"/>
      <c r="X523" s="81"/>
      <c r="Y523" s="81"/>
      <c r="Z523" s="81"/>
    </row>
    <row r="524" spans="1:26" ht="12" customHeight="1">
      <c r="A524" s="79"/>
      <c r="B524" s="79"/>
      <c r="C524" s="81"/>
      <c r="D524" s="81"/>
      <c r="E524" s="81"/>
      <c r="F524" s="82"/>
      <c r="G524" s="83"/>
      <c r="H524" s="83"/>
      <c r="I524" s="81"/>
      <c r="J524" s="84"/>
      <c r="K524" s="84"/>
      <c r="L524" s="84"/>
      <c r="M524" s="81"/>
      <c r="N524" s="81"/>
      <c r="O524" s="81"/>
      <c r="P524" s="81"/>
      <c r="Q524" s="81"/>
      <c r="R524" s="81"/>
      <c r="S524" s="81"/>
      <c r="T524" s="81"/>
      <c r="U524" s="81"/>
      <c r="V524" s="81"/>
      <c r="W524" s="81"/>
      <c r="X524" s="81"/>
      <c r="Y524" s="81"/>
      <c r="Z524" s="81"/>
    </row>
    <row r="525" spans="1:26" ht="12" customHeight="1">
      <c r="A525" s="79"/>
      <c r="B525" s="79"/>
      <c r="C525" s="81"/>
      <c r="D525" s="81"/>
      <c r="E525" s="81"/>
      <c r="F525" s="82"/>
      <c r="G525" s="83"/>
      <c r="H525" s="83"/>
      <c r="I525" s="81"/>
      <c r="J525" s="84"/>
      <c r="K525" s="84"/>
      <c r="L525" s="84"/>
      <c r="M525" s="81"/>
      <c r="N525" s="81"/>
      <c r="O525" s="81"/>
      <c r="P525" s="81"/>
      <c r="Q525" s="81"/>
      <c r="R525" s="81"/>
      <c r="S525" s="81"/>
      <c r="T525" s="81"/>
      <c r="U525" s="81"/>
      <c r="V525" s="81"/>
      <c r="W525" s="81"/>
      <c r="X525" s="81"/>
      <c r="Y525" s="81"/>
      <c r="Z525" s="81"/>
    </row>
    <row r="526" spans="1:26" ht="12" customHeight="1">
      <c r="A526" s="79"/>
      <c r="B526" s="79"/>
      <c r="C526" s="81"/>
      <c r="D526" s="81"/>
      <c r="E526" s="81"/>
      <c r="F526" s="82"/>
      <c r="G526" s="83"/>
      <c r="H526" s="83"/>
      <c r="I526" s="81"/>
      <c r="J526" s="84"/>
      <c r="K526" s="84"/>
      <c r="L526" s="84"/>
      <c r="M526" s="81"/>
      <c r="N526" s="81"/>
      <c r="O526" s="81"/>
      <c r="P526" s="81"/>
      <c r="Q526" s="81"/>
      <c r="R526" s="81"/>
      <c r="S526" s="81"/>
      <c r="T526" s="81"/>
      <c r="U526" s="81"/>
      <c r="V526" s="81"/>
      <c r="W526" s="81"/>
      <c r="X526" s="81"/>
      <c r="Y526" s="81"/>
      <c r="Z526" s="81"/>
    </row>
    <row r="527" spans="1:26" ht="12" customHeight="1">
      <c r="A527" s="79"/>
      <c r="B527" s="79"/>
      <c r="C527" s="81"/>
      <c r="D527" s="81"/>
      <c r="E527" s="81"/>
      <c r="F527" s="82"/>
      <c r="G527" s="83"/>
      <c r="H527" s="83"/>
      <c r="I527" s="81"/>
      <c r="J527" s="84"/>
      <c r="K527" s="84"/>
      <c r="L527" s="84"/>
      <c r="M527" s="81"/>
      <c r="N527" s="81"/>
      <c r="O527" s="81"/>
      <c r="P527" s="81"/>
      <c r="Q527" s="81"/>
      <c r="R527" s="81"/>
      <c r="S527" s="81"/>
      <c r="T527" s="81"/>
      <c r="U527" s="81"/>
      <c r="V527" s="81"/>
      <c r="W527" s="81"/>
      <c r="X527" s="81"/>
      <c r="Y527" s="81"/>
      <c r="Z527" s="81"/>
    </row>
    <row r="528" spans="1:26" ht="12" customHeight="1">
      <c r="A528" s="79"/>
      <c r="B528" s="79"/>
      <c r="C528" s="81"/>
      <c r="D528" s="81"/>
      <c r="E528" s="81"/>
      <c r="F528" s="82"/>
      <c r="G528" s="83"/>
      <c r="H528" s="83"/>
      <c r="I528" s="81"/>
      <c r="J528" s="84"/>
      <c r="K528" s="84"/>
      <c r="L528" s="84"/>
      <c r="M528" s="81"/>
      <c r="N528" s="81"/>
      <c r="O528" s="81"/>
      <c r="P528" s="81"/>
      <c r="Q528" s="81"/>
      <c r="R528" s="81"/>
      <c r="S528" s="81"/>
      <c r="T528" s="81"/>
      <c r="U528" s="81"/>
      <c r="V528" s="81"/>
      <c r="W528" s="81"/>
      <c r="X528" s="81"/>
      <c r="Y528" s="81"/>
      <c r="Z528" s="81"/>
    </row>
    <row r="529" spans="1:26" ht="12" customHeight="1">
      <c r="A529" s="79"/>
      <c r="B529" s="79"/>
      <c r="C529" s="81"/>
      <c r="D529" s="81"/>
      <c r="E529" s="81"/>
      <c r="F529" s="82"/>
      <c r="G529" s="83"/>
      <c r="H529" s="83"/>
      <c r="I529" s="81"/>
      <c r="J529" s="84"/>
      <c r="K529" s="84"/>
      <c r="L529" s="84"/>
      <c r="M529" s="81"/>
      <c r="N529" s="81"/>
      <c r="O529" s="81"/>
      <c r="P529" s="81"/>
      <c r="Q529" s="81"/>
      <c r="R529" s="81"/>
      <c r="S529" s="81"/>
      <c r="T529" s="81"/>
      <c r="U529" s="81"/>
      <c r="V529" s="81"/>
      <c r="W529" s="81"/>
      <c r="X529" s="81"/>
      <c r="Y529" s="81"/>
      <c r="Z529" s="81"/>
    </row>
    <row r="530" spans="1:26" ht="12" customHeight="1">
      <c r="A530" s="79"/>
      <c r="B530" s="79"/>
      <c r="C530" s="81"/>
      <c r="D530" s="81"/>
      <c r="E530" s="81"/>
      <c r="F530" s="82"/>
      <c r="G530" s="83"/>
      <c r="H530" s="83"/>
      <c r="I530" s="81"/>
      <c r="J530" s="84"/>
      <c r="K530" s="84"/>
      <c r="L530" s="84"/>
      <c r="M530" s="81"/>
      <c r="N530" s="81"/>
      <c r="O530" s="81"/>
      <c r="P530" s="81"/>
      <c r="Q530" s="81"/>
      <c r="R530" s="81"/>
      <c r="S530" s="81"/>
      <c r="T530" s="81"/>
      <c r="U530" s="81"/>
      <c r="V530" s="81"/>
      <c r="W530" s="81"/>
      <c r="X530" s="81"/>
      <c r="Y530" s="81"/>
      <c r="Z530" s="81"/>
    </row>
    <row r="531" spans="1:26" ht="12" customHeight="1">
      <c r="A531" s="79"/>
      <c r="B531" s="79"/>
      <c r="C531" s="81"/>
      <c r="D531" s="81"/>
      <c r="E531" s="81"/>
      <c r="F531" s="82"/>
      <c r="G531" s="83"/>
      <c r="H531" s="83"/>
      <c r="I531" s="81"/>
      <c r="J531" s="84"/>
      <c r="K531" s="84"/>
      <c r="L531" s="84"/>
      <c r="M531" s="81"/>
      <c r="N531" s="81"/>
      <c r="O531" s="81"/>
      <c r="P531" s="81"/>
      <c r="Q531" s="81"/>
      <c r="R531" s="81"/>
      <c r="S531" s="81"/>
      <c r="T531" s="81"/>
      <c r="U531" s="81"/>
      <c r="V531" s="81"/>
      <c r="W531" s="81"/>
      <c r="X531" s="81"/>
      <c r="Y531" s="81"/>
      <c r="Z531" s="81"/>
    </row>
    <row r="532" spans="1:26" ht="12" customHeight="1">
      <c r="A532" s="79"/>
      <c r="B532" s="79"/>
      <c r="C532" s="81"/>
      <c r="D532" s="81"/>
      <c r="E532" s="81"/>
      <c r="F532" s="82"/>
      <c r="G532" s="83"/>
      <c r="H532" s="83"/>
      <c r="I532" s="81"/>
      <c r="J532" s="84"/>
      <c r="K532" s="84"/>
      <c r="L532" s="84"/>
      <c r="M532" s="81"/>
      <c r="N532" s="81"/>
      <c r="O532" s="81"/>
      <c r="P532" s="81"/>
      <c r="Q532" s="81"/>
      <c r="R532" s="81"/>
      <c r="S532" s="81"/>
      <c r="T532" s="81"/>
      <c r="U532" s="81"/>
      <c r="V532" s="81"/>
      <c r="W532" s="81"/>
      <c r="X532" s="81"/>
      <c r="Y532" s="81"/>
      <c r="Z532" s="81"/>
    </row>
    <row r="533" spans="1:26" ht="12" customHeight="1">
      <c r="A533" s="79"/>
      <c r="B533" s="79"/>
      <c r="C533" s="81"/>
      <c r="D533" s="81"/>
      <c r="E533" s="81"/>
      <c r="F533" s="82"/>
      <c r="G533" s="83"/>
      <c r="H533" s="83"/>
      <c r="I533" s="81"/>
      <c r="J533" s="84"/>
      <c r="K533" s="84"/>
      <c r="L533" s="84"/>
      <c r="M533" s="81"/>
      <c r="N533" s="81"/>
      <c r="O533" s="81"/>
      <c r="P533" s="81"/>
      <c r="Q533" s="81"/>
      <c r="R533" s="81"/>
      <c r="S533" s="81"/>
      <c r="T533" s="81"/>
      <c r="U533" s="81"/>
      <c r="V533" s="81"/>
      <c r="W533" s="81"/>
      <c r="X533" s="81"/>
      <c r="Y533" s="81"/>
      <c r="Z533" s="81"/>
    </row>
    <row r="534" spans="1:26" ht="12" customHeight="1">
      <c r="A534" s="79"/>
      <c r="B534" s="79"/>
      <c r="C534" s="81"/>
      <c r="D534" s="81"/>
      <c r="E534" s="81"/>
      <c r="F534" s="82"/>
      <c r="G534" s="83"/>
      <c r="H534" s="83"/>
      <c r="I534" s="81"/>
      <c r="J534" s="84"/>
      <c r="K534" s="84"/>
      <c r="L534" s="84"/>
      <c r="M534" s="81"/>
      <c r="N534" s="81"/>
      <c r="O534" s="81"/>
      <c r="P534" s="81"/>
      <c r="Q534" s="81"/>
      <c r="R534" s="81"/>
      <c r="S534" s="81"/>
      <c r="T534" s="81"/>
      <c r="U534" s="81"/>
      <c r="V534" s="81"/>
      <c r="W534" s="81"/>
      <c r="X534" s="81"/>
      <c r="Y534" s="81"/>
      <c r="Z534" s="81"/>
    </row>
    <row r="535" spans="1:26" ht="12" customHeight="1">
      <c r="A535" s="79"/>
      <c r="B535" s="79"/>
      <c r="C535" s="81"/>
      <c r="D535" s="81"/>
      <c r="E535" s="81"/>
      <c r="F535" s="82"/>
      <c r="G535" s="83"/>
      <c r="H535" s="83"/>
      <c r="I535" s="81"/>
      <c r="J535" s="84"/>
      <c r="K535" s="84"/>
      <c r="L535" s="84"/>
      <c r="M535" s="81"/>
      <c r="N535" s="81"/>
      <c r="O535" s="81"/>
      <c r="P535" s="81"/>
      <c r="Q535" s="81"/>
      <c r="R535" s="81"/>
      <c r="S535" s="81"/>
      <c r="T535" s="81"/>
      <c r="U535" s="81"/>
      <c r="V535" s="81"/>
      <c r="W535" s="81"/>
      <c r="X535" s="81"/>
      <c r="Y535" s="81"/>
      <c r="Z535" s="81"/>
    </row>
    <row r="536" spans="1:26" ht="12" customHeight="1">
      <c r="A536" s="79"/>
      <c r="B536" s="79"/>
      <c r="C536" s="81"/>
      <c r="D536" s="81"/>
      <c r="E536" s="81"/>
      <c r="F536" s="82"/>
      <c r="G536" s="83"/>
      <c r="H536" s="83"/>
      <c r="I536" s="81"/>
      <c r="J536" s="84"/>
      <c r="K536" s="84"/>
      <c r="L536" s="84"/>
      <c r="M536" s="81"/>
      <c r="N536" s="81"/>
      <c r="O536" s="81"/>
      <c r="P536" s="81"/>
      <c r="Q536" s="81"/>
      <c r="R536" s="81"/>
      <c r="S536" s="81"/>
      <c r="T536" s="81"/>
      <c r="U536" s="81"/>
      <c r="V536" s="81"/>
      <c r="W536" s="81"/>
      <c r="X536" s="81"/>
      <c r="Y536" s="81"/>
      <c r="Z536" s="81"/>
    </row>
    <row r="537" spans="1:26" ht="12" customHeight="1">
      <c r="A537" s="79"/>
      <c r="B537" s="79"/>
      <c r="C537" s="81"/>
      <c r="D537" s="81"/>
      <c r="E537" s="81"/>
      <c r="F537" s="82"/>
      <c r="G537" s="83"/>
      <c r="H537" s="83"/>
      <c r="I537" s="81"/>
      <c r="J537" s="84"/>
      <c r="K537" s="84"/>
      <c r="L537" s="84"/>
      <c r="M537" s="81"/>
      <c r="N537" s="81"/>
      <c r="O537" s="81"/>
      <c r="P537" s="81"/>
      <c r="Q537" s="81"/>
      <c r="R537" s="81"/>
      <c r="S537" s="81"/>
      <c r="T537" s="81"/>
      <c r="U537" s="81"/>
      <c r="V537" s="81"/>
      <c r="W537" s="81"/>
      <c r="X537" s="81"/>
      <c r="Y537" s="81"/>
      <c r="Z537" s="81"/>
    </row>
    <row r="538" spans="1:26" ht="12" customHeight="1">
      <c r="A538" s="79"/>
      <c r="B538" s="79"/>
      <c r="C538" s="81"/>
      <c r="D538" s="81"/>
      <c r="E538" s="81"/>
      <c r="F538" s="82"/>
      <c r="G538" s="83"/>
      <c r="H538" s="83"/>
      <c r="I538" s="81"/>
      <c r="J538" s="84"/>
      <c r="K538" s="84"/>
      <c r="L538" s="84"/>
      <c r="M538" s="81"/>
      <c r="N538" s="81"/>
      <c r="O538" s="81"/>
      <c r="P538" s="81"/>
      <c r="Q538" s="81"/>
      <c r="R538" s="81"/>
      <c r="S538" s="81"/>
      <c r="T538" s="81"/>
      <c r="U538" s="81"/>
      <c r="V538" s="81"/>
      <c r="W538" s="81"/>
      <c r="X538" s="81"/>
      <c r="Y538" s="81"/>
      <c r="Z538" s="81"/>
    </row>
    <row r="539" spans="1:26" ht="12" customHeight="1">
      <c r="A539" s="79"/>
      <c r="B539" s="79"/>
      <c r="C539" s="81"/>
      <c r="D539" s="81"/>
      <c r="E539" s="81"/>
      <c r="F539" s="82"/>
      <c r="G539" s="83"/>
      <c r="H539" s="83"/>
      <c r="I539" s="81"/>
      <c r="J539" s="84"/>
      <c r="K539" s="84"/>
      <c r="L539" s="84"/>
      <c r="M539" s="81"/>
      <c r="N539" s="81"/>
      <c r="O539" s="81"/>
      <c r="P539" s="81"/>
      <c r="Q539" s="81"/>
      <c r="R539" s="81"/>
      <c r="S539" s="81"/>
      <c r="T539" s="81"/>
      <c r="U539" s="81"/>
      <c r="V539" s="81"/>
      <c r="W539" s="81"/>
      <c r="X539" s="81"/>
      <c r="Y539" s="81"/>
      <c r="Z539" s="81"/>
    </row>
    <row r="540" spans="1:26" ht="12" customHeight="1">
      <c r="A540" s="79"/>
      <c r="B540" s="79"/>
      <c r="C540" s="81"/>
      <c r="D540" s="81"/>
      <c r="E540" s="81"/>
      <c r="F540" s="82"/>
      <c r="G540" s="83"/>
      <c r="H540" s="83"/>
      <c r="I540" s="81"/>
      <c r="J540" s="84"/>
      <c r="K540" s="84"/>
      <c r="L540" s="84"/>
      <c r="M540" s="81"/>
      <c r="N540" s="81"/>
      <c r="O540" s="81"/>
      <c r="P540" s="81"/>
      <c r="Q540" s="81"/>
      <c r="R540" s="81"/>
      <c r="S540" s="81"/>
      <c r="T540" s="81"/>
      <c r="U540" s="81"/>
      <c r="V540" s="81"/>
      <c r="W540" s="81"/>
      <c r="X540" s="81"/>
      <c r="Y540" s="81"/>
      <c r="Z540" s="81"/>
    </row>
    <row r="541" spans="1:26" ht="12" customHeight="1">
      <c r="A541" s="79"/>
      <c r="B541" s="79"/>
      <c r="C541" s="81"/>
      <c r="D541" s="81"/>
      <c r="E541" s="81"/>
      <c r="F541" s="82"/>
      <c r="G541" s="83"/>
      <c r="H541" s="83"/>
      <c r="I541" s="81"/>
      <c r="J541" s="84"/>
      <c r="K541" s="84"/>
      <c r="L541" s="84"/>
      <c r="M541" s="81"/>
      <c r="N541" s="81"/>
      <c r="O541" s="81"/>
      <c r="P541" s="81"/>
      <c r="Q541" s="81"/>
      <c r="R541" s="81"/>
      <c r="S541" s="81"/>
      <c r="T541" s="81"/>
      <c r="U541" s="81"/>
      <c r="V541" s="81"/>
      <c r="W541" s="81"/>
      <c r="X541" s="81"/>
      <c r="Y541" s="81"/>
      <c r="Z541" s="81"/>
    </row>
    <row r="542" spans="1:26" ht="12" customHeight="1">
      <c r="A542" s="79"/>
      <c r="B542" s="79"/>
      <c r="C542" s="81"/>
      <c r="D542" s="81"/>
      <c r="E542" s="81"/>
      <c r="F542" s="82"/>
      <c r="G542" s="83"/>
      <c r="H542" s="83"/>
      <c r="I542" s="81"/>
      <c r="J542" s="84"/>
      <c r="K542" s="84"/>
      <c r="L542" s="84"/>
      <c r="M542" s="81"/>
      <c r="N542" s="81"/>
      <c r="O542" s="81"/>
      <c r="P542" s="81"/>
      <c r="Q542" s="81"/>
      <c r="R542" s="81"/>
      <c r="S542" s="81"/>
      <c r="T542" s="81"/>
      <c r="U542" s="81"/>
      <c r="V542" s="81"/>
      <c r="W542" s="81"/>
      <c r="X542" s="81"/>
      <c r="Y542" s="81"/>
      <c r="Z542" s="81"/>
    </row>
    <row r="543" spans="1:26" ht="12" customHeight="1">
      <c r="A543" s="79"/>
      <c r="B543" s="79"/>
      <c r="C543" s="81"/>
      <c r="D543" s="81"/>
      <c r="E543" s="81"/>
      <c r="F543" s="82"/>
      <c r="G543" s="83"/>
      <c r="H543" s="83"/>
      <c r="I543" s="81"/>
      <c r="J543" s="84"/>
      <c r="K543" s="84"/>
      <c r="L543" s="84"/>
      <c r="M543" s="81"/>
      <c r="N543" s="81"/>
      <c r="O543" s="81"/>
      <c r="P543" s="81"/>
      <c r="Q543" s="81"/>
      <c r="R543" s="81"/>
      <c r="S543" s="81"/>
      <c r="T543" s="81"/>
      <c r="U543" s="81"/>
      <c r="V543" s="81"/>
      <c r="W543" s="81"/>
      <c r="X543" s="81"/>
      <c r="Y543" s="81"/>
      <c r="Z543" s="81"/>
    </row>
    <row r="544" spans="1:26" ht="12" customHeight="1">
      <c r="A544" s="79"/>
      <c r="B544" s="79"/>
      <c r="C544" s="81"/>
      <c r="D544" s="81"/>
      <c r="E544" s="81"/>
      <c r="F544" s="82"/>
      <c r="G544" s="83"/>
      <c r="H544" s="83"/>
      <c r="I544" s="81"/>
      <c r="J544" s="84"/>
      <c r="K544" s="84"/>
      <c r="L544" s="84"/>
      <c r="M544" s="81"/>
      <c r="N544" s="81"/>
      <c r="O544" s="81"/>
      <c r="P544" s="81"/>
      <c r="Q544" s="81"/>
      <c r="R544" s="81"/>
      <c r="S544" s="81"/>
      <c r="T544" s="81"/>
      <c r="U544" s="81"/>
      <c r="V544" s="81"/>
      <c r="W544" s="81"/>
      <c r="X544" s="81"/>
      <c r="Y544" s="81"/>
      <c r="Z544" s="81"/>
    </row>
    <row r="545" spans="1:26" ht="12" customHeight="1">
      <c r="A545" s="79"/>
      <c r="B545" s="79"/>
      <c r="C545" s="81"/>
      <c r="D545" s="81"/>
      <c r="E545" s="81"/>
      <c r="F545" s="82"/>
      <c r="G545" s="83"/>
      <c r="H545" s="83"/>
      <c r="I545" s="81"/>
      <c r="J545" s="84"/>
      <c r="K545" s="84"/>
      <c r="L545" s="84"/>
      <c r="M545" s="81"/>
      <c r="N545" s="81"/>
      <c r="O545" s="81"/>
      <c r="P545" s="81"/>
      <c r="Q545" s="81"/>
      <c r="R545" s="81"/>
      <c r="S545" s="81"/>
      <c r="T545" s="81"/>
      <c r="U545" s="81"/>
      <c r="V545" s="81"/>
      <c r="W545" s="81"/>
      <c r="X545" s="81"/>
      <c r="Y545" s="81"/>
      <c r="Z545" s="81"/>
    </row>
    <row r="546" spans="1:26" ht="12" customHeight="1">
      <c r="A546" s="79"/>
      <c r="B546" s="79"/>
      <c r="C546" s="81"/>
      <c r="D546" s="81"/>
      <c r="E546" s="81"/>
      <c r="F546" s="82"/>
      <c r="G546" s="83"/>
      <c r="H546" s="83"/>
      <c r="I546" s="81"/>
      <c r="J546" s="84"/>
      <c r="K546" s="84"/>
      <c r="L546" s="84"/>
      <c r="M546" s="81"/>
      <c r="N546" s="81"/>
      <c r="O546" s="81"/>
      <c r="P546" s="81"/>
      <c r="Q546" s="81"/>
      <c r="R546" s="81"/>
      <c r="S546" s="81"/>
      <c r="T546" s="81"/>
      <c r="U546" s="81"/>
      <c r="V546" s="81"/>
      <c r="W546" s="81"/>
      <c r="X546" s="81"/>
      <c r="Y546" s="81"/>
      <c r="Z546" s="81"/>
    </row>
    <row r="547" spans="1:26" ht="12" customHeight="1">
      <c r="A547" s="79"/>
      <c r="B547" s="79"/>
      <c r="C547" s="81"/>
      <c r="D547" s="81"/>
      <c r="E547" s="81"/>
      <c r="F547" s="82"/>
      <c r="G547" s="83"/>
      <c r="H547" s="83"/>
      <c r="I547" s="81"/>
      <c r="J547" s="84"/>
      <c r="K547" s="84"/>
      <c r="L547" s="84"/>
      <c r="M547" s="81"/>
      <c r="N547" s="81"/>
      <c r="O547" s="81"/>
      <c r="P547" s="81"/>
      <c r="Q547" s="81"/>
      <c r="R547" s="81"/>
      <c r="S547" s="81"/>
      <c r="T547" s="81"/>
      <c r="U547" s="81"/>
      <c r="V547" s="81"/>
      <c r="W547" s="81"/>
      <c r="X547" s="81"/>
      <c r="Y547" s="81"/>
      <c r="Z547" s="81"/>
    </row>
    <row r="548" spans="1:26" ht="12" customHeight="1">
      <c r="A548" s="79"/>
      <c r="B548" s="79"/>
      <c r="C548" s="81"/>
      <c r="D548" s="81"/>
      <c r="E548" s="81"/>
      <c r="F548" s="82"/>
      <c r="G548" s="83"/>
      <c r="H548" s="83"/>
      <c r="I548" s="81"/>
      <c r="J548" s="84"/>
      <c r="K548" s="84"/>
      <c r="L548" s="84"/>
      <c r="M548" s="81"/>
      <c r="N548" s="81"/>
      <c r="O548" s="81"/>
      <c r="P548" s="81"/>
      <c r="Q548" s="81"/>
      <c r="R548" s="81"/>
      <c r="S548" s="81"/>
      <c r="T548" s="81"/>
      <c r="U548" s="81"/>
      <c r="V548" s="81"/>
      <c r="W548" s="81"/>
      <c r="X548" s="81"/>
      <c r="Y548" s="81"/>
      <c r="Z548" s="81"/>
    </row>
    <row r="549" spans="1:26" ht="12" customHeight="1">
      <c r="A549" s="79"/>
      <c r="B549" s="79"/>
      <c r="C549" s="81"/>
      <c r="D549" s="81"/>
      <c r="E549" s="81"/>
      <c r="F549" s="82"/>
      <c r="G549" s="83"/>
      <c r="H549" s="83"/>
      <c r="I549" s="81"/>
      <c r="J549" s="84"/>
      <c r="K549" s="84"/>
      <c r="L549" s="84"/>
      <c r="M549" s="81"/>
      <c r="N549" s="81"/>
      <c r="O549" s="81"/>
      <c r="P549" s="81"/>
      <c r="Q549" s="81"/>
      <c r="R549" s="81"/>
      <c r="S549" s="81"/>
      <c r="T549" s="81"/>
      <c r="U549" s="81"/>
      <c r="V549" s="81"/>
      <c r="W549" s="81"/>
      <c r="X549" s="81"/>
      <c r="Y549" s="81"/>
      <c r="Z549" s="81"/>
    </row>
    <row r="550" spans="1:26" ht="12" customHeight="1">
      <c r="A550" s="79"/>
      <c r="B550" s="79"/>
      <c r="C550" s="81"/>
      <c r="D550" s="81"/>
      <c r="E550" s="81"/>
      <c r="F550" s="82"/>
      <c r="G550" s="83"/>
      <c r="H550" s="83"/>
      <c r="I550" s="81"/>
      <c r="J550" s="84"/>
      <c r="K550" s="84"/>
      <c r="L550" s="84"/>
      <c r="M550" s="81"/>
      <c r="N550" s="81"/>
      <c r="O550" s="81"/>
      <c r="P550" s="81"/>
      <c r="Q550" s="81"/>
      <c r="R550" s="81"/>
      <c r="S550" s="81"/>
      <c r="T550" s="81"/>
      <c r="U550" s="81"/>
      <c r="V550" s="81"/>
      <c r="W550" s="81"/>
      <c r="X550" s="81"/>
      <c r="Y550" s="81"/>
      <c r="Z550" s="81"/>
    </row>
    <row r="551" spans="1:26" ht="12" customHeight="1">
      <c r="A551" s="79"/>
      <c r="B551" s="79"/>
      <c r="C551" s="81"/>
      <c r="D551" s="81"/>
      <c r="E551" s="81"/>
      <c r="F551" s="82"/>
      <c r="G551" s="83"/>
      <c r="H551" s="83"/>
      <c r="I551" s="81"/>
      <c r="J551" s="84"/>
      <c r="K551" s="84"/>
      <c r="L551" s="84"/>
      <c r="M551" s="81"/>
      <c r="N551" s="81"/>
      <c r="O551" s="81"/>
      <c r="P551" s="81"/>
      <c r="Q551" s="81"/>
      <c r="R551" s="81"/>
      <c r="S551" s="81"/>
      <c r="T551" s="81"/>
      <c r="U551" s="81"/>
      <c r="V551" s="81"/>
      <c r="W551" s="81"/>
      <c r="X551" s="81"/>
      <c r="Y551" s="81"/>
      <c r="Z551" s="81"/>
    </row>
    <row r="552" spans="1:26" ht="12" customHeight="1">
      <c r="A552" s="79"/>
      <c r="B552" s="79"/>
      <c r="C552" s="81"/>
      <c r="D552" s="81"/>
      <c r="E552" s="81"/>
      <c r="F552" s="82"/>
      <c r="G552" s="83"/>
      <c r="H552" s="83"/>
      <c r="I552" s="81"/>
      <c r="J552" s="84"/>
      <c r="K552" s="84"/>
      <c r="L552" s="84"/>
      <c r="M552" s="81"/>
      <c r="N552" s="81"/>
      <c r="O552" s="81"/>
      <c r="P552" s="81"/>
      <c r="Q552" s="81"/>
      <c r="R552" s="81"/>
      <c r="S552" s="81"/>
      <c r="T552" s="81"/>
      <c r="U552" s="81"/>
      <c r="V552" s="81"/>
      <c r="W552" s="81"/>
      <c r="X552" s="81"/>
      <c r="Y552" s="81"/>
      <c r="Z552" s="81"/>
    </row>
    <row r="553" spans="1:26" ht="12" customHeight="1">
      <c r="A553" s="79"/>
      <c r="B553" s="79"/>
      <c r="C553" s="81"/>
      <c r="D553" s="81"/>
      <c r="E553" s="81"/>
      <c r="F553" s="82"/>
      <c r="G553" s="83"/>
      <c r="H553" s="83"/>
      <c r="I553" s="81"/>
      <c r="J553" s="84"/>
      <c r="K553" s="84"/>
      <c r="L553" s="84"/>
      <c r="M553" s="81"/>
      <c r="N553" s="81"/>
      <c r="O553" s="81"/>
      <c r="P553" s="81"/>
      <c r="Q553" s="81"/>
      <c r="R553" s="81"/>
      <c r="S553" s="81"/>
      <c r="T553" s="81"/>
      <c r="U553" s="81"/>
      <c r="V553" s="81"/>
      <c r="W553" s="81"/>
      <c r="X553" s="81"/>
      <c r="Y553" s="81"/>
      <c r="Z553" s="81"/>
    </row>
    <row r="554" spans="1:26" ht="12" customHeight="1">
      <c r="A554" s="79"/>
      <c r="B554" s="79"/>
      <c r="C554" s="81"/>
      <c r="D554" s="81"/>
      <c r="E554" s="81"/>
      <c r="F554" s="82"/>
      <c r="G554" s="83"/>
      <c r="H554" s="83"/>
      <c r="I554" s="81"/>
      <c r="J554" s="84"/>
      <c r="K554" s="84"/>
      <c r="L554" s="84"/>
      <c r="M554" s="81"/>
      <c r="N554" s="81"/>
      <c r="O554" s="81"/>
      <c r="P554" s="81"/>
      <c r="Q554" s="81"/>
      <c r="R554" s="81"/>
      <c r="S554" s="81"/>
      <c r="T554" s="81"/>
      <c r="U554" s="81"/>
      <c r="V554" s="81"/>
      <c r="W554" s="81"/>
      <c r="X554" s="81"/>
      <c r="Y554" s="81"/>
      <c r="Z554" s="81"/>
    </row>
    <row r="555" spans="1:26" ht="12" customHeight="1">
      <c r="A555" s="79"/>
      <c r="B555" s="79"/>
      <c r="C555" s="81"/>
      <c r="D555" s="81"/>
      <c r="E555" s="81"/>
      <c r="F555" s="82"/>
      <c r="G555" s="83"/>
      <c r="H555" s="83"/>
      <c r="I555" s="81"/>
      <c r="J555" s="84"/>
      <c r="K555" s="84"/>
      <c r="L555" s="84"/>
      <c r="M555" s="81"/>
      <c r="N555" s="81"/>
      <c r="O555" s="81"/>
      <c r="P555" s="81"/>
      <c r="Q555" s="81"/>
      <c r="R555" s="81"/>
      <c r="S555" s="81"/>
      <c r="T555" s="81"/>
      <c r="U555" s="81"/>
      <c r="V555" s="81"/>
      <c r="W555" s="81"/>
      <c r="X555" s="81"/>
      <c r="Y555" s="81"/>
      <c r="Z555" s="81"/>
    </row>
    <row r="556" spans="1:26" ht="12" customHeight="1">
      <c r="A556" s="79"/>
      <c r="B556" s="79"/>
      <c r="C556" s="81"/>
      <c r="D556" s="81"/>
      <c r="E556" s="81"/>
      <c r="F556" s="82"/>
      <c r="G556" s="83"/>
      <c r="H556" s="83"/>
      <c r="I556" s="81"/>
      <c r="J556" s="84"/>
      <c r="K556" s="84"/>
      <c r="L556" s="84"/>
      <c r="M556" s="81"/>
      <c r="N556" s="81"/>
      <c r="O556" s="81"/>
      <c r="P556" s="81"/>
      <c r="Q556" s="81"/>
      <c r="R556" s="81"/>
      <c r="S556" s="81"/>
      <c r="T556" s="81"/>
      <c r="U556" s="81"/>
      <c r="V556" s="81"/>
      <c r="W556" s="81"/>
      <c r="X556" s="81"/>
      <c r="Y556" s="81"/>
      <c r="Z556" s="81"/>
    </row>
    <row r="557" spans="1:26" ht="12" customHeight="1">
      <c r="A557" s="79"/>
      <c r="B557" s="79"/>
      <c r="C557" s="81"/>
      <c r="D557" s="81"/>
      <c r="E557" s="81"/>
      <c r="F557" s="82"/>
      <c r="G557" s="83"/>
      <c r="H557" s="83"/>
      <c r="I557" s="81"/>
      <c r="J557" s="84"/>
      <c r="K557" s="84"/>
      <c r="L557" s="84"/>
      <c r="M557" s="81"/>
      <c r="N557" s="81"/>
      <c r="O557" s="81"/>
      <c r="P557" s="81"/>
      <c r="Q557" s="81"/>
      <c r="R557" s="81"/>
      <c r="S557" s="81"/>
      <c r="T557" s="81"/>
      <c r="U557" s="81"/>
      <c r="V557" s="81"/>
      <c r="W557" s="81"/>
      <c r="X557" s="81"/>
      <c r="Y557" s="81"/>
      <c r="Z557" s="81"/>
    </row>
    <row r="558" spans="1:26" ht="12" customHeight="1">
      <c r="A558" s="79"/>
      <c r="B558" s="79"/>
      <c r="C558" s="81"/>
      <c r="D558" s="81"/>
      <c r="E558" s="81"/>
      <c r="F558" s="82"/>
      <c r="G558" s="83"/>
      <c r="H558" s="83"/>
      <c r="I558" s="81"/>
      <c r="J558" s="84"/>
      <c r="K558" s="84"/>
      <c r="L558" s="84"/>
      <c r="M558" s="81"/>
      <c r="N558" s="81"/>
      <c r="O558" s="81"/>
      <c r="P558" s="81"/>
      <c r="Q558" s="81"/>
      <c r="R558" s="81"/>
      <c r="S558" s="81"/>
      <c r="T558" s="81"/>
      <c r="U558" s="81"/>
      <c r="V558" s="81"/>
      <c r="W558" s="81"/>
      <c r="X558" s="81"/>
      <c r="Y558" s="81"/>
      <c r="Z558" s="81"/>
    </row>
    <row r="559" spans="1:26" ht="12" customHeight="1">
      <c r="A559" s="79"/>
      <c r="B559" s="79"/>
      <c r="C559" s="81"/>
      <c r="D559" s="81"/>
      <c r="E559" s="81"/>
      <c r="F559" s="82"/>
      <c r="G559" s="83"/>
      <c r="H559" s="83"/>
      <c r="I559" s="81"/>
      <c r="J559" s="84"/>
      <c r="K559" s="84"/>
      <c r="L559" s="84"/>
      <c r="M559" s="81"/>
      <c r="N559" s="81"/>
      <c r="O559" s="81"/>
      <c r="P559" s="81"/>
      <c r="Q559" s="81"/>
      <c r="R559" s="81"/>
      <c r="S559" s="81"/>
      <c r="T559" s="81"/>
      <c r="U559" s="81"/>
      <c r="V559" s="81"/>
      <c r="W559" s="81"/>
      <c r="X559" s="81"/>
      <c r="Y559" s="81"/>
      <c r="Z559" s="81"/>
    </row>
    <row r="560" spans="1:26" ht="12" customHeight="1">
      <c r="A560" s="79"/>
      <c r="B560" s="79"/>
      <c r="C560" s="81"/>
      <c r="D560" s="81"/>
      <c r="E560" s="81"/>
      <c r="F560" s="82"/>
      <c r="G560" s="83"/>
      <c r="H560" s="83"/>
      <c r="I560" s="81"/>
      <c r="J560" s="84"/>
      <c r="K560" s="84"/>
      <c r="L560" s="84"/>
      <c r="M560" s="81"/>
      <c r="N560" s="81"/>
      <c r="O560" s="81"/>
      <c r="P560" s="81"/>
      <c r="Q560" s="81"/>
      <c r="R560" s="81"/>
      <c r="S560" s="81"/>
      <c r="T560" s="81"/>
      <c r="U560" s="81"/>
      <c r="V560" s="81"/>
      <c r="W560" s="81"/>
      <c r="X560" s="81"/>
      <c r="Y560" s="81"/>
      <c r="Z560" s="81"/>
    </row>
    <row r="561" spans="1:26" ht="12" customHeight="1">
      <c r="A561" s="79"/>
      <c r="B561" s="79"/>
      <c r="C561" s="81"/>
      <c r="D561" s="81"/>
      <c r="E561" s="81"/>
      <c r="F561" s="82"/>
      <c r="G561" s="83"/>
      <c r="H561" s="83"/>
      <c r="I561" s="81"/>
      <c r="J561" s="84"/>
      <c r="K561" s="84"/>
      <c r="L561" s="84"/>
      <c r="M561" s="81"/>
      <c r="N561" s="81"/>
      <c r="O561" s="81"/>
      <c r="P561" s="81"/>
      <c r="Q561" s="81"/>
      <c r="R561" s="81"/>
      <c r="S561" s="81"/>
      <c r="T561" s="81"/>
      <c r="U561" s="81"/>
      <c r="V561" s="81"/>
      <c r="W561" s="81"/>
      <c r="X561" s="81"/>
      <c r="Y561" s="81"/>
      <c r="Z561" s="81"/>
    </row>
    <row r="562" spans="1:26" ht="12" customHeight="1">
      <c r="A562" s="79"/>
      <c r="B562" s="79"/>
      <c r="C562" s="81"/>
      <c r="D562" s="81"/>
      <c r="E562" s="81"/>
      <c r="F562" s="82"/>
      <c r="G562" s="83"/>
      <c r="H562" s="83"/>
      <c r="I562" s="81"/>
      <c r="J562" s="84"/>
      <c r="K562" s="84"/>
      <c r="L562" s="84"/>
      <c r="M562" s="81"/>
      <c r="N562" s="81"/>
      <c r="O562" s="81"/>
      <c r="P562" s="81"/>
      <c r="Q562" s="81"/>
      <c r="R562" s="81"/>
      <c r="S562" s="81"/>
      <c r="T562" s="81"/>
      <c r="U562" s="81"/>
      <c r="V562" s="81"/>
      <c r="W562" s="81"/>
      <c r="X562" s="81"/>
      <c r="Y562" s="81"/>
      <c r="Z562" s="81"/>
    </row>
    <row r="563" spans="1:26" ht="12" customHeight="1">
      <c r="A563" s="79"/>
      <c r="B563" s="79"/>
      <c r="C563" s="81"/>
      <c r="D563" s="81"/>
      <c r="E563" s="81"/>
      <c r="F563" s="82"/>
      <c r="G563" s="83"/>
      <c r="H563" s="83"/>
      <c r="I563" s="81"/>
      <c r="J563" s="84"/>
      <c r="K563" s="84"/>
      <c r="L563" s="84"/>
      <c r="M563" s="81"/>
      <c r="N563" s="81"/>
      <c r="O563" s="81"/>
      <c r="P563" s="81"/>
      <c r="Q563" s="81"/>
      <c r="R563" s="81"/>
      <c r="S563" s="81"/>
      <c r="T563" s="81"/>
      <c r="U563" s="81"/>
      <c r="V563" s="81"/>
      <c r="W563" s="81"/>
      <c r="X563" s="81"/>
      <c r="Y563" s="81"/>
      <c r="Z563" s="81"/>
    </row>
    <row r="564" spans="1:26" ht="12" customHeight="1">
      <c r="A564" s="79"/>
      <c r="B564" s="79"/>
      <c r="C564" s="81"/>
      <c r="D564" s="81"/>
      <c r="E564" s="81"/>
      <c r="F564" s="82"/>
      <c r="G564" s="83"/>
      <c r="H564" s="83"/>
      <c r="I564" s="81"/>
      <c r="J564" s="84"/>
      <c r="K564" s="84"/>
      <c r="L564" s="84"/>
      <c r="M564" s="81"/>
      <c r="N564" s="81"/>
      <c r="O564" s="81"/>
      <c r="P564" s="81"/>
      <c r="Q564" s="81"/>
      <c r="R564" s="81"/>
      <c r="S564" s="81"/>
      <c r="T564" s="81"/>
      <c r="U564" s="81"/>
      <c r="V564" s="81"/>
      <c r="W564" s="81"/>
      <c r="X564" s="81"/>
      <c r="Y564" s="81"/>
      <c r="Z564" s="81"/>
    </row>
    <row r="565" spans="1:26" ht="12" customHeight="1">
      <c r="A565" s="79"/>
      <c r="B565" s="79"/>
      <c r="C565" s="81"/>
      <c r="D565" s="81"/>
      <c r="E565" s="81"/>
      <c r="F565" s="82"/>
      <c r="G565" s="83"/>
      <c r="H565" s="83"/>
      <c r="I565" s="81"/>
      <c r="J565" s="84"/>
      <c r="K565" s="84"/>
      <c r="L565" s="84"/>
      <c r="M565" s="81"/>
      <c r="N565" s="81"/>
      <c r="O565" s="81"/>
      <c r="P565" s="81"/>
      <c r="Q565" s="81"/>
      <c r="R565" s="81"/>
      <c r="S565" s="81"/>
      <c r="T565" s="81"/>
      <c r="U565" s="81"/>
      <c r="V565" s="81"/>
      <c r="W565" s="81"/>
      <c r="X565" s="81"/>
      <c r="Y565" s="81"/>
      <c r="Z565" s="81"/>
    </row>
    <row r="566" spans="1:26" ht="12" customHeight="1">
      <c r="A566" s="79"/>
      <c r="B566" s="79"/>
      <c r="C566" s="81"/>
      <c r="D566" s="81"/>
      <c r="E566" s="81"/>
      <c r="F566" s="82"/>
      <c r="G566" s="83"/>
      <c r="H566" s="83"/>
      <c r="I566" s="81"/>
      <c r="J566" s="84"/>
      <c r="K566" s="84"/>
      <c r="L566" s="84"/>
      <c r="M566" s="81"/>
      <c r="N566" s="81"/>
      <c r="O566" s="81"/>
      <c r="P566" s="81"/>
      <c r="Q566" s="81"/>
      <c r="R566" s="81"/>
      <c r="S566" s="81"/>
      <c r="T566" s="81"/>
      <c r="U566" s="81"/>
      <c r="V566" s="81"/>
      <c r="W566" s="81"/>
      <c r="X566" s="81"/>
      <c r="Y566" s="81"/>
      <c r="Z566" s="81"/>
    </row>
    <row r="567" spans="1:26" ht="12" customHeight="1">
      <c r="A567" s="79"/>
      <c r="B567" s="79"/>
      <c r="C567" s="81"/>
      <c r="D567" s="81"/>
      <c r="E567" s="81"/>
      <c r="F567" s="82"/>
      <c r="G567" s="83"/>
      <c r="H567" s="83"/>
      <c r="I567" s="81"/>
      <c r="J567" s="84"/>
      <c r="K567" s="84"/>
      <c r="L567" s="84"/>
      <c r="M567" s="81"/>
      <c r="N567" s="81"/>
      <c r="O567" s="81"/>
      <c r="P567" s="81"/>
      <c r="Q567" s="81"/>
      <c r="R567" s="81"/>
      <c r="S567" s="81"/>
      <c r="T567" s="81"/>
      <c r="U567" s="81"/>
      <c r="V567" s="81"/>
      <c r="W567" s="81"/>
      <c r="X567" s="81"/>
      <c r="Y567" s="81"/>
      <c r="Z567" s="81"/>
    </row>
    <row r="568" spans="1:26" ht="12" customHeight="1">
      <c r="A568" s="79"/>
      <c r="B568" s="79"/>
      <c r="C568" s="81"/>
      <c r="D568" s="81"/>
      <c r="E568" s="81"/>
      <c r="F568" s="82"/>
      <c r="G568" s="83"/>
      <c r="H568" s="83"/>
      <c r="I568" s="81"/>
      <c r="J568" s="84"/>
      <c r="K568" s="84"/>
      <c r="L568" s="84"/>
      <c r="M568" s="81"/>
      <c r="N568" s="81"/>
      <c r="O568" s="81"/>
      <c r="P568" s="81"/>
      <c r="Q568" s="81"/>
      <c r="R568" s="81"/>
      <c r="S568" s="81"/>
      <c r="T568" s="81"/>
      <c r="U568" s="81"/>
      <c r="V568" s="81"/>
      <c r="W568" s="81"/>
      <c r="X568" s="81"/>
      <c r="Y568" s="81"/>
      <c r="Z568" s="81"/>
    </row>
    <row r="569" spans="1:26" ht="12" customHeight="1">
      <c r="A569" s="79"/>
      <c r="B569" s="79"/>
      <c r="C569" s="81"/>
      <c r="D569" s="81"/>
      <c r="E569" s="81"/>
      <c r="F569" s="82"/>
      <c r="G569" s="83"/>
      <c r="H569" s="83"/>
      <c r="I569" s="81"/>
      <c r="J569" s="84"/>
      <c r="K569" s="84"/>
      <c r="L569" s="84"/>
      <c r="M569" s="81"/>
      <c r="N569" s="81"/>
      <c r="O569" s="81"/>
      <c r="P569" s="81"/>
      <c r="Q569" s="81"/>
      <c r="R569" s="81"/>
      <c r="S569" s="81"/>
      <c r="T569" s="81"/>
      <c r="U569" s="81"/>
      <c r="V569" s="81"/>
      <c r="W569" s="81"/>
      <c r="X569" s="81"/>
      <c r="Y569" s="81"/>
      <c r="Z569" s="81"/>
    </row>
    <row r="570" spans="1:26" ht="12" customHeight="1">
      <c r="A570" s="79"/>
      <c r="B570" s="79"/>
      <c r="C570" s="81"/>
      <c r="D570" s="81"/>
      <c r="E570" s="81"/>
      <c r="F570" s="82"/>
      <c r="G570" s="83"/>
      <c r="H570" s="83"/>
      <c r="I570" s="81"/>
      <c r="J570" s="84"/>
      <c r="K570" s="84"/>
      <c r="L570" s="84"/>
      <c r="M570" s="81"/>
      <c r="N570" s="81"/>
      <c r="O570" s="81"/>
      <c r="P570" s="81"/>
      <c r="Q570" s="81"/>
      <c r="R570" s="81"/>
      <c r="S570" s="81"/>
      <c r="T570" s="81"/>
      <c r="U570" s="81"/>
      <c r="V570" s="81"/>
      <c r="W570" s="81"/>
      <c r="X570" s="81"/>
      <c r="Y570" s="81"/>
      <c r="Z570" s="81"/>
    </row>
    <row r="571" spans="1:26" ht="12" customHeight="1">
      <c r="A571" s="79"/>
      <c r="B571" s="79"/>
      <c r="C571" s="81"/>
      <c r="D571" s="81"/>
      <c r="E571" s="81"/>
      <c r="F571" s="82"/>
      <c r="G571" s="83"/>
      <c r="H571" s="83"/>
      <c r="I571" s="81"/>
      <c r="J571" s="84"/>
      <c r="K571" s="84"/>
      <c r="L571" s="84"/>
      <c r="M571" s="81"/>
      <c r="N571" s="81"/>
      <c r="O571" s="81"/>
      <c r="P571" s="81"/>
      <c r="Q571" s="81"/>
      <c r="R571" s="81"/>
      <c r="S571" s="81"/>
      <c r="T571" s="81"/>
      <c r="U571" s="81"/>
      <c r="V571" s="81"/>
      <c r="W571" s="81"/>
      <c r="X571" s="81"/>
      <c r="Y571" s="81"/>
      <c r="Z571" s="81"/>
    </row>
    <row r="572" spans="1:26" ht="12" customHeight="1">
      <c r="A572" s="79"/>
      <c r="B572" s="79"/>
      <c r="C572" s="81"/>
      <c r="D572" s="81"/>
      <c r="E572" s="81"/>
      <c r="F572" s="82"/>
      <c r="G572" s="83"/>
      <c r="H572" s="83"/>
      <c r="I572" s="81"/>
      <c r="J572" s="84"/>
      <c r="K572" s="84"/>
      <c r="L572" s="84"/>
      <c r="M572" s="81"/>
      <c r="N572" s="81"/>
      <c r="O572" s="81"/>
      <c r="P572" s="81"/>
      <c r="Q572" s="81"/>
      <c r="R572" s="81"/>
      <c r="S572" s="81"/>
      <c r="T572" s="81"/>
      <c r="U572" s="81"/>
      <c r="V572" s="81"/>
      <c r="W572" s="81"/>
      <c r="X572" s="81"/>
      <c r="Y572" s="81"/>
      <c r="Z572" s="81"/>
    </row>
    <row r="573" spans="1:26" ht="12" customHeight="1">
      <c r="A573" s="79"/>
      <c r="B573" s="79"/>
      <c r="C573" s="81"/>
      <c r="D573" s="81"/>
      <c r="E573" s="81"/>
      <c r="F573" s="82"/>
      <c r="G573" s="83"/>
      <c r="H573" s="83"/>
      <c r="I573" s="81"/>
      <c r="J573" s="84"/>
      <c r="K573" s="84"/>
      <c r="L573" s="84"/>
      <c r="M573" s="81"/>
      <c r="N573" s="81"/>
      <c r="O573" s="81"/>
      <c r="P573" s="81"/>
      <c r="Q573" s="81"/>
      <c r="R573" s="81"/>
      <c r="S573" s="81"/>
      <c r="T573" s="81"/>
      <c r="U573" s="81"/>
      <c r="V573" s="81"/>
      <c r="W573" s="81"/>
      <c r="X573" s="81"/>
      <c r="Y573" s="81"/>
      <c r="Z573" s="81"/>
    </row>
    <row r="574" spans="1:26" ht="12" customHeight="1">
      <c r="A574" s="79"/>
      <c r="B574" s="79"/>
      <c r="C574" s="81"/>
      <c r="D574" s="81"/>
      <c r="E574" s="81"/>
      <c r="F574" s="82"/>
      <c r="G574" s="83"/>
      <c r="H574" s="83"/>
      <c r="I574" s="81"/>
      <c r="J574" s="84"/>
      <c r="K574" s="84"/>
      <c r="L574" s="84"/>
      <c r="M574" s="81"/>
      <c r="N574" s="81"/>
      <c r="O574" s="81"/>
      <c r="P574" s="81"/>
      <c r="Q574" s="81"/>
      <c r="R574" s="81"/>
      <c r="S574" s="81"/>
      <c r="T574" s="81"/>
      <c r="U574" s="81"/>
      <c r="V574" s="81"/>
      <c r="W574" s="81"/>
      <c r="X574" s="81"/>
      <c r="Y574" s="81"/>
      <c r="Z574" s="81"/>
    </row>
    <row r="575" spans="1:26" ht="12" customHeight="1">
      <c r="A575" s="79"/>
      <c r="B575" s="79"/>
      <c r="C575" s="81"/>
      <c r="D575" s="81"/>
      <c r="E575" s="81"/>
      <c r="F575" s="82"/>
      <c r="G575" s="83"/>
      <c r="H575" s="83"/>
      <c r="I575" s="81"/>
      <c r="J575" s="84"/>
      <c r="K575" s="84"/>
      <c r="L575" s="84"/>
      <c r="M575" s="81"/>
      <c r="N575" s="81"/>
      <c r="O575" s="81"/>
      <c r="P575" s="81"/>
      <c r="Q575" s="81"/>
      <c r="R575" s="81"/>
      <c r="S575" s="81"/>
      <c r="T575" s="81"/>
      <c r="U575" s="81"/>
      <c r="V575" s="81"/>
      <c r="W575" s="81"/>
      <c r="X575" s="81"/>
      <c r="Y575" s="81"/>
      <c r="Z575" s="81"/>
    </row>
    <row r="576" spans="1:26" ht="12" customHeight="1">
      <c r="A576" s="79"/>
      <c r="B576" s="79"/>
      <c r="C576" s="81"/>
      <c r="D576" s="81"/>
      <c r="E576" s="81"/>
      <c r="F576" s="82"/>
      <c r="G576" s="83"/>
      <c r="H576" s="83"/>
      <c r="I576" s="81"/>
      <c r="J576" s="84"/>
      <c r="K576" s="84"/>
      <c r="L576" s="84"/>
      <c r="M576" s="81"/>
      <c r="N576" s="81"/>
      <c r="O576" s="81"/>
      <c r="P576" s="81"/>
      <c r="Q576" s="81"/>
      <c r="R576" s="81"/>
      <c r="S576" s="81"/>
      <c r="T576" s="81"/>
      <c r="U576" s="81"/>
      <c r="V576" s="81"/>
      <c r="W576" s="81"/>
      <c r="X576" s="81"/>
      <c r="Y576" s="81"/>
      <c r="Z576" s="81"/>
    </row>
    <row r="577" spans="1:26" ht="12" customHeight="1">
      <c r="A577" s="79"/>
      <c r="B577" s="79"/>
      <c r="C577" s="81"/>
      <c r="D577" s="81"/>
      <c r="E577" s="81"/>
      <c r="F577" s="82"/>
      <c r="G577" s="83"/>
      <c r="H577" s="83"/>
      <c r="I577" s="81"/>
      <c r="J577" s="84"/>
      <c r="K577" s="84"/>
      <c r="L577" s="84"/>
      <c r="M577" s="81"/>
      <c r="N577" s="81"/>
      <c r="O577" s="81"/>
      <c r="P577" s="81"/>
      <c r="Q577" s="81"/>
      <c r="R577" s="81"/>
      <c r="S577" s="81"/>
      <c r="T577" s="81"/>
      <c r="U577" s="81"/>
      <c r="V577" s="81"/>
      <c r="W577" s="81"/>
      <c r="X577" s="81"/>
      <c r="Y577" s="81"/>
      <c r="Z577" s="81"/>
    </row>
    <row r="578" spans="1:26" ht="12" customHeight="1">
      <c r="A578" s="79"/>
      <c r="B578" s="79"/>
      <c r="C578" s="81"/>
      <c r="D578" s="81"/>
      <c r="E578" s="81"/>
      <c r="F578" s="82"/>
      <c r="G578" s="83"/>
      <c r="H578" s="83"/>
      <c r="I578" s="81"/>
      <c r="J578" s="84"/>
      <c r="K578" s="84"/>
      <c r="L578" s="84"/>
      <c r="M578" s="81"/>
      <c r="N578" s="81"/>
      <c r="O578" s="81"/>
      <c r="P578" s="81"/>
      <c r="Q578" s="81"/>
      <c r="R578" s="81"/>
      <c r="S578" s="81"/>
      <c r="T578" s="81"/>
      <c r="U578" s="81"/>
      <c r="V578" s="81"/>
      <c r="W578" s="81"/>
      <c r="X578" s="81"/>
      <c r="Y578" s="81"/>
      <c r="Z578" s="81"/>
    </row>
    <row r="579" spans="1:26" ht="12" customHeight="1">
      <c r="A579" s="79"/>
      <c r="B579" s="79"/>
      <c r="C579" s="81"/>
      <c r="D579" s="81"/>
      <c r="E579" s="81"/>
      <c r="F579" s="82"/>
      <c r="G579" s="83"/>
      <c r="H579" s="83"/>
      <c r="I579" s="81"/>
      <c r="J579" s="84"/>
      <c r="K579" s="84"/>
      <c r="L579" s="84"/>
      <c r="M579" s="81"/>
      <c r="N579" s="81"/>
      <c r="O579" s="81"/>
      <c r="P579" s="81"/>
      <c r="Q579" s="81"/>
      <c r="R579" s="81"/>
      <c r="S579" s="81"/>
      <c r="T579" s="81"/>
      <c r="U579" s="81"/>
      <c r="V579" s="81"/>
      <c r="W579" s="81"/>
      <c r="X579" s="81"/>
      <c r="Y579" s="81"/>
      <c r="Z579" s="81"/>
    </row>
    <row r="580" spans="1:26" ht="12" customHeight="1">
      <c r="A580" s="79"/>
      <c r="B580" s="79"/>
      <c r="C580" s="81"/>
      <c r="D580" s="81"/>
      <c r="E580" s="81"/>
      <c r="F580" s="82"/>
      <c r="G580" s="83"/>
      <c r="H580" s="83"/>
      <c r="I580" s="81"/>
      <c r="J580" s="84"/>
      <c r="K580" s="84"/>
      <c r="L580" s="84"/>
      <c r="M580" s="81"/>
      <c r="N580" s="81"/>
      <c r="O580" s="81"/>
      <c r="P580" s="81"/>
      <c r="Q580" s="81"/>
      <c r="R580" s="81"/>
      <c r="S580" s="81"/>
      <c r="T580" s="81"/>
      <c r="U580" s="81"/>
      <c r="V580" s="81"/>
      <c r="W580" s="81"/>
      <c r="X580" s="81"/>
      <c r="Y580" s="81"/>
      <c r="Z580" s="81"/>
    </row>
    <row r="581" spans="1:26" ht="12" customHeight="1">
      <c r="A581" s="79"/>
      <c r="B581" s="79"/>
      <c r="C581" s="81"/>
      <c r="D581" s="81"/>
      <c r="E581" s="81"/>
      <c r="F581" s="82"/>
      <c r="G581" s="83"/>
      <c r="H581" s="83"/>
      <c r="I581" s="81"/>
      <c r="J581" s="84"/>
      <c r="K581" s="84"/>
      <c r="L581" s="84"/>
      <c r="M581" s="81"/>
      <c r="N581" s="81"/>
      <c r="O581" s="81"/>
      <c r="P581" s="81"/>
      <c r="Q581" s="81"/>
      <c r="R581" s="81"/>
      <c r="S581" s="81"/>
      <c r="T581" s="81"/>
      <c r="U581" s="81"/>
      <c r="V581" s="81"/>
      <c r="W581" s="81"/>
      <c r="X581" s="81"/>
      <c r="Y581" s="81"/>
      <c r="Z581" s="81"/>
    </row>
    <row r="582" spans="1:26" ht="12" customHeight="1">
      <c r="A582" s="79"/>
      <c r="B582" s="79"/>
      <c r="C582" s="81"/>
      <c r="D582" s="81"/>
      <c r="E582" s="81"/>
      <c r="F582" s="82"/>
      <c r="G582" s="83"/>
      <c r="H582" s="83"/>
      <c r="I582" s="81"/>
      <c r="J582" s="84"/>
      <c r="K582" s="84"/>
      <c r="L582" s="84"/>
      <c r="M582" s="81"/>
      <c r="N582" s="81"/>
      <c r="O582" s="81"/>
      <c r="P582" s="81"/>
      <c r="Q582" s="81"/>
      <c r="R582" s="81"/>
      <c r="S582" s="81"/>
      <c r="T582" s="81"/>
      <c r="U582" s="81"/>
      <c r="V582" s="81"/>
      <c r="W582" s="81"/>
      <c r="X582" s="81"/>
      <c r="Y582" s="81"/>
      <c r="Z582" s="81"/>
    </row>
    <row r="583" spans="1:26" ht="12" customHeight="1">
      <c r="A583" s="79"/>
      <c r="B583" s="79"/>
      <c r="C583" s="81"/>
      <c r="D583" s="81"/>
      <c r="E583" s="81"/>
      <c r="F583" s="82"/>
      <c r="G583" s="83"/>
      <c r="H583" s="83"/>
      <c r="I583" s="81"/>
      <c r="J583" s="84"/>
      <c r="K583" s="84"/>
      <c r="L583" s="84"/>
      <c r="M583" s="81"/>
      <c r="N583" s="81"/>
      <c r="O583" s="81"/>
      <c r="P583" s="81"/>
      <c r="Q583" s="81"/>
      <c r="R583" s="81"/>
      <c r="S583" s="81"/>
      <c r="T583" s="81"/>
      <c r="U583" s="81"/>
      <c r="V583" s="81"/>
      <c r="W583" s="81"/>
      <c r="X583" s="81"/>
      <c r="Y583" s="81"/>
      <c r="Z583" s="81"/>
    </row>
    <row r="584" spans="1:26" ht="12" customHeight="1">
      <c r="A584" s="79"/>
      <c r="B584" s="79"/>
      <c r="C584" s="81"/>
      <c r="D584" s="81"/>
      <c r="E584" s="81"/>
      <c r="F584" s="82"/>
      <c r="G584" s="83"/>
      <c r="H584" s="83"/>
      <c r="I584" s="81"/>
      <c r="J584" s="84"/>
      <c r="K584" s="84"/>
      <c r="L584" s="84"/>
      <c r="M584" s="81"/>
      <c r="N584" s="81"/>
      <c r="O584" s="81"/>
      <c r="P584" s="81"/>
      <c r="Q584" s="81"/>
      <c r="R584" s="81"/>
      <c r="S584" s="81"/>
      <c r="T584" s="81"/>
      <c r="U584" s="81"/>
      <c r="V584" s="81"/>
      <c r="W584" s="81"/>
      <c r="X584" s="81"/>
      <c r="Y584" s="81"/>
      <c r="Z584" s="81"/>
    </row>
    <row r="585" spans="1:26" ht="12" customHeight="1">
      <c r="A585" s="79"/>
      <c r="B585" s="79"/>
      <c r="C585" s="81"/>
      <c r="D585" s="81"/>
      <c r="E585" s="81"/>
      <c r="F585" s="82"/>
      <c r="G585" s="83"/>
      <c r="H585" s="83"/>
      <c r="I585" s="81"/>
      <c r="J585" s="84"/>
      <c r="K585" s="84"/>
      <c r="L585" s="84"/>
      <c r="M585" s="81"/>
      <c r="N585" s="81"/>
      <c r="O585" s="81"/>
      <c r="P585" s="81"/>
      <c r="Q585" s="81"/>
      <c r="R585" s="81"/>
      <c r="S585" s="81"/>
      <c r="T585" s="81"/>
      <c r="U585" s="81"/>
      <c r="V585" s="81"/>
      <c r="W585" s="81"/>
      <c r="X585" s="81"/>
      <c r="Y585" s="81"/>
      <c r="Z585" s="81"/>
    </row>
    <row r="586" spans="1:26" ht="12" customHeight="1">
      <c r="A586" s="79"/>
      <c r="B586" s="79"/>
      <c r="C586" s="81"/>
      <c r="D586" s="81"/>
      <c r="E586" s="81"/>
      <c r="F586" s="82"/>
      <c r="G586" s="83"/>
      <c r="H586" s="83"/>
      <c r="I586" s="81"/>
      <c r="J586" s="84"/>
      <c r="K586" s="84"/>
      <c r="L586" s="84"/>
      <c r="M586" s="81"/>
      <c r="N586" s="81"/>
      <c r="O586" s="81"/>
      <c r="P586" s="81"/>
      <c r="Q586" s="81"/>
      <c r="R586" s="81"/>
      <c r="S586" s="81"/>
      <c r="T586" s="81"/>
      <c r="U586" s="81"/>
      <c r="V586" s="81"/>
      <c r="W586" s="81"/>
      <c r="X586" s="81"/>
      <c r="Y586" s="81"/>
      <c r="Z586" s="81"/>
    </row>
    <row r="587" spans="1:26" ht="12" customHeight="1">
      <c r="A587" s="79"/>
      <c r="B587" s="79"/>
      <c r="C587" s="81"/>
      <c r="D587" s="81"/>
      <c r="E587" s="81"/>
      <c r="F587" s="82"/>
      <c r="G587" s="83"/>
      <c r="H587" s="83"/>
      <c r="I587" s="81"/>
      <c r="J587" s="84"/>
      <c r="K587" s="84"/>
      <c r="L587" s="84"/>
      <c r="M587" s="81"/>
      <c r="N587" s="81"/>
      <c r="O587" s="81"/>
      <c r="P587" s="81"/>
      <c r="Q587" s="81"/>
      <c r="R587" s="81"/>
      <c r="S587" s="81"/>
      <c r="T587" s="81"/>
      <c r="U587" s="81"/>
      <c r="V587" s="81"/>
      <c r="W587" s="81"/>
      <c r="X587" s="81"/>
      <c r="Y587" s="81"/>
      <c r="Z587" s="81"/>
    </row>
    <row r="588" spans="1:26" ht="12" customHeight="1">
      <c r="A588" s="79"/>
      <c r="B588" s="79"/>
      <c r="C588" s="81"/>
      <c r="D588" s="81"/>
      <c r="E588" s="81"/>
      <c r="F588" s="82"/>
      <c r="G588" s="83"/>
      <c r="H588" s="83"/>
      <c r="I588" s="81"/>
      <c r="J588" s="84"/>
      <c r="K588" s="84"/>
      <c r="L588" s="84"/>
      <c r="M588" s="81"/>
      <c r="N588" s="81"/>
      <c r="O588" s="81"/>
      <c r="P588" s="81"/>
      <c r="Q588" s="81"/>
      <c r="R588" s="81"/>
      <c r="S588" s="81"/>
      <c r="T588" s="81"/>
      <c r="U588" s="81"/>
      <c r="V588" s="81"/>
      <c r="W588" s="81"/>
      <c r="X588" s="81"/>
      <c r="Y588" s="81"/>
      <c r="Z588" s="81"/>
    </row>
    <row r="589" spans="1:26" ht="12" customHeight="1">
      <c r="A589" s="79"/>
      <c r="B589" s="79"/>
      <c r="C589" s="81"/>
      <c r="D589" s="81"/>
      <c r="E589" s="81"/>
      <c r="F589" s="82"/>
      <c r="G589" s="83"/>
      <c r="H589" s="83"/>
      <c r="I589" s="81"/>
      <c r="J589" s="84"/>
      <c r="K589" s="84"/>
      <c r="L589" s="84"/>
      <c r="M589" s="81"/>
      <c r="N589" s="81"/>
      <c r="O589" s="81"/>
      <c r="P589" s="81"/>
      <c r="Q589" s="81"/>
      <c r="R589" s="81"/>
      <c r="S589" s="81"/>
      <c r="T589" s="81"/>
      <c r="U589" s="81"/>
      <c r="V589" s="81"/>
      <c r="W589" s="81"/>
      <c r="X589" s="81"/>
      <c r="Y589" s="81"/>
      <c r="Z589" s="81"/>
    </row>
    <row r="590" spans="1:26" ht="12" customHeight="1">
      <c r="A590" s="79"/>
      <c r="B590" s="79"/>
      <c r="C590" s="81"/>
      <c r="D590" s="81"/>
      <c r="E590" s="81"/>
      <c r="F590" s="82"/>
      <c r="G590" s="83"/>
      <c r="H590" s="83"/>
      <c r="I590" s="81"/>
      <c r="J590" s="84"/>
      <c r="K590" s="84"/>
      <c r="L590" s="84"/>
      <c r="M590" s="81"/>
      <c r="N590" s="81"/>
      <c r="O590" s="81"/>
      <c r="P590" s="81"/>
      <c r="Q590" s="81"/>
      <c r="R590" s="81"/>
      <c r="S590" s="81"/>
      <c r="T590" s="81"/>
      <c r="U590" s="81"/>
      <c r="V590" s="81"/>
      <c r="W590" s="81"/>
      <c r="X590" s="81"/>
      <c r="Y590" s="81"/>
      <c r="Z590" s="81"/>
    </row>
    <row r="591" spans="1:26" ht="12" customHeight="1">
      <c r="A591" s="79"/>
      <c r="B591" s="79"/>
      <c r="C591" s="81"/>
      <c r="D591" s="81"/>
      <c r="E591" s="81"/>
      <c r="F591" s="82"/>
      <c r="G591" s="83"/>
      <c r="H591" s="83"/>
      <c r="I591" s="81"/>
      <c r="J591" s="84"/>
      <c r="K591" s="84"/>
      <c r="L591" s="84"/>
      <c r="M591" s="81"/>
      <c r="N591" s="81"/>
      <c r="O591" s="81"/>
      <c r="P591" s="81"/>
      <c r="Q591" s="81"/>
      <c r="R591" s="81"/>
      <c r="S591" s="81"/>
      <c r="T591" s="81"/>
      <c r="U591" s="81"/>
      <c r="V591" s="81"/>
      <c r="W591" s="81"/>
      <c r="X591" s="81"/>
      <c r="Y591" s="81"/>
      <c r="Z591" s="81"/>
    </row>
    <row r="592" spans="1:26" ht="12" customHeight="1">
      <c r="A592" s="79"/>
      <c r="B592" s="79"/>
      <c r="C592" s="81"/>
      <c r="D592" s="81"/>
      <c r="E592" s="81"/>
      <c r="F592" s="82"/>
      <c r="G592" s="83"/>
      <c r="H592" s="83"/>
      <c r="I592" s="81"/>
      <c r="J592" s="84"/>
      <c r="K592" s="84"/>
      <c r="L592" s="84"/>
      <c r="M592" s="81"/>
      <c r="N592" s="81"/>
      <c r="O592" s="81"/>
      <c r="P592" s="81"/>
      <c r="Q592" s="81"/>
      <c r="R592" s="81"/>
      <c r="S592" s="81"/>
      <c r="T592" s="81"/>
      <c r="U592" s="81"/>
      <c r="V592" s="81"/>
      <c r="W592" s="81"/>
      <c r="X592" s="81"/>
      <c r="Y592" s="81"/>
      <c r="Z592" s="81"/>
    </row>
    <row r="593" spans="1:26" ht="12" customHeight="1">
      <c r="A593" s="79"/>
      <c r="B593" s="79"/>
      <c r="C593" s="81"/>
      <c r="D593" s="81"/>
      <c r="E593" s="81"/>
      <c r="F593" s="82"/>
      <c r="G593" s="83"/>
      <c r="H593" s="83"/>
      <c r="I593" s="81"/>
      <c r="J593" s="84"/>
      <c r="K593" s="84"/>
      <c r="L593" s="84"/>
      <c r="M593" s="81"/>
      <c r="N593" s="81"/>
      <c r="O593" s="81"/>
      <c r="P593" s="81"/>
      <c r="Q593" s="81"/>
      <c r="R593" s="81"/>
      <c r="S593" s="81"/>
      <c r="T593" s="81"/>
      <c r="U593" s="81"/>
      <c r="V593" s="81"/>
      <c r="W593" s="81"/>
      <c r="X593" s="81"/>
      <c r="Y593" s="81"/>
      <c r="Z593" s="81"/>
    </row>
    <row r="594" spans="1:26" ht="12" customHeight="1">
      <c r="A594" s="79"/>
      <c r="B594" s="79"/>
      <c r="C594" s="81"/>
      <c r="D594" s="81"/>
      <c r="E594" s="81"/>
      <c r="F594" s="82"/>
      <c r="G594" s="83"/>
      <c r="H594" s="83"/>
      <c r="I594" s="81"/>
      <c r="J594" s="84"/>
      <c r="K594" s="84"/>
      <c r="L594" s="84"/>
      <c r="M594" s="81"/>
      <c r="N594" s="81"/>
      <c r="O594" s="81"/>
      <c r="P594" s="81"/>
      <c r="Q594" s="81"/>
      <c r="R594" s="81"/>
      <c r="S594" s="81"/>
      <c r="T594" s="81"/>
      <c r="U594" s="81"/>
      <c r="V594" s="81"/>
      <c r="W594" s="81"/>
      <c r="X594" s="81"/>
      <c r="Y594" s="81"/>
      <c r="Z594" s="81"/>
    </row>
    <row r="595" spans="1:26" ht="12" customHeight="1">
      <c r="A595" s="79"/>
      <c r="B595" s="79"/>
      <c r="C595" s="81"/>
      <c r="D595" s="81"/>
      <c r="E595" s="81"/>
      <c r="F595" s="82"/>
      <c r="G595" s="83"/>
      <c r="H595" s="83"/>
      <c r="I595" s="81"/>
      <c r="J595" s="84"/>
      <c r="K595" s="84"/>
      <c r="L595" s="84"/>
      <c r="M595" s="81"/>
      <c r="N595" s="81"/>
      <c r="O595" s="81"/>
      <c r="P595" s="81"/>
      <c r="Q595" s="81"/>
      <c r="R595" s="81"/>
      <c r="S595" s="81"/>
      <c r="T595" s="81"/>
      <c r="U595" s="81"/>
      <c r="V595" s="81"/>
      <c r="W595" s="81"/>
      <c r="X595" s="81"/>
      <c r="Y595" s="81"/>
      <c r="Z595" s="81"/>
    </row>
    <row r="596" spans="1:26" ht="12" customHeight="1">
      <c r="A596" s="79"/>
      <c r="B596" s="79"/>
      <c r="C596" s="81"/>
      <c r="D596" s="81"/>
      <c r="E596" s="81"/>
      <c r="F596" s="82"/>
      <c r="G596" s="83"/>
      <c r="H596" s="83"/>
      <c r="I596" s="81"/>
      <c r="J596" s="84"/>
      <c r="K596" s="84"/>
      <c r="L596" s="84"/>
      <c r="M596" s="81"/>
      <c r="N596" s="81"/>
      <c r="O596" s="81"/>
      <c r="P596" s="81"/>
      <c r="Q596" s="81"/>
      <c r="R596" s="81"/>
      <c r="S596" s="81"/>
      <c r="T596" s="81"/>
      <c r="U596" s="81"/>
      <c r="V596" s="81"/>
      <c r="W596" s="81"/>
      <c r="X596" s="81"/>
      <c r="Y596" s="81"/>
      <c r="Z596" s="81"/>
    </row>
    <row r="597" spans="1:26" ht="12" customHeight="1">
      <c r="A597" s="79"/>
      <c r="B597" s="79"/>
      <c r="C597" s="81"/>
      <c r="D597" s="81"/>
      <c r="E597" s="81"/>
      <c r="F597" s="82"/>
      <c r="G597" s="83"/>
      <c r="H597" s="83"/>
      <c r="I597" s="81"/>
      <c r="J597" s="84"/>
      <c r="K597" s="84"/>
      <c r="L597" s="84"/>
      <c r="M597" s="81"/>
      <c r="N597" s="81"/>
      <c r="O597" s="81"/>
      <c r="P597" s="81"/>
      <c r="Q597" s="81"/>
      <c r="R597" s="81"/>
      <c r="S597" s="81"/>
      <c r="T597" s="81"/>
      <c r="U597" s="81"/>
      <c r="V597" s="81"/>
      <c r="W597" s="81"/>
      <c r="X597" s="81"/>
      <c r="Y597" s="81"/>
      <c r="Z597" s="81"/>
    </row>
    <row r="598" spans="1:26" ht="12" customHeight="1">
      <c r="A598" s="79"/>
      <c r="B598" s="79"/>
      <c r="C598" s="81"/>
      <c r="D598" s="81"/>
      <c r="E598" s="81"/>
      <c r="F598" s="82"/>
      <c r="G598" s="83"/>
      <c r="H598" s="83"/>
      <c r="I598" s="81"/>
      <c r="J598" s="84"/>
      <c r="K598" s="84"/>
      <c r="L598" s="84"/>
      <c r="M598" s="81"/>
      <c r="N598" s="81"/>
      <c r="O598" s="81"/>
      <c r="P598" s="81"/>
      <c r="Q598" s="81"/>
      <c r="R598" s="81"/>
      <c r="S598" s="81"/>
      <c r="T598" s="81"/>
      <c r="U598" s="81"/>
      <c r="V598" s="81"/>
      <c r="W598" s="81"/>
      <c r="X598" s="81"/>
      <c r="Y598" s="81"/>
      <c r="Z598" s="81"/>
    </row>
    <row r="599" spans="1:26" ht="12" customHeight="1">
      <c r="A599" s="79"/>
      <c r="B599" s="79"/>
      <c r="C599" s="81"/>
      <c r="D599" s="81"/>
      <c r="E599" s="81"/>
      <c r="F599" s="82"/>
      <c r="G599" s="83"/>
      <c r="H599" s="83"/>
      <c r="I599" s="81"/>
      <c r="J599" s="84"/>
      <c r="K599" s="84"/>
      <c r="L599" s="84"/>
      <c r="M599" s="81"/>
      <c r="N599" s="81"/>
      <c r="O599" s="81"/>
      <c r="P599" s="81"/>
      <c r="Q599" s="81"/>
      <c r="R599" s="81"/>
      <c r="S599" s="81"/>
      <c r="T599" s="81"/>
      <c r="U599" s="81"/>
      <c r="V599" s="81"/>
      <c r="W599" s="81"/>
      <c r="X599" s="81"/>
      <c r="Y599" s="81"/>
      <c r="Z599" s="81"/>
    </row>
    <row r="600" spans="1:26" ht="12" customHeight="1">
      <c r="A600" s="79"/>
      <c r="B600" s="79"/>
      <c r="C600" s="81"/>
      <c r="D600" s="81"/>
      <c r="E600" s="81"/>
      <c r="F600" s="82"/>
      <c r="G600" s="83"/>
      <c r="H600" s="83"/>
      <c r="I600" s="81"/>
      <c r="J600" s="84"/>
      <c r="K600" s="84"/>
      <c r="L600" s="84"/>
      <c r="M600" s="81"/>
      <c r="N600" s="81"/>
      <c r="O600" s="81"/>
      <c r="P600" s="81"/>
      <c r="Q600" s="81"/>
      <c r="R600" s="81"/>
      <c r="S600" s="81"/>
      <c r="T600" s="81"/>
      <c r="U600" s="81"/>
      <c r="V600" s="81"/>
      <c r="W600" s="81"/>
      <c r="X600" s="81"/>
      <c r="Y600" s="81"/>
      <c r="Z600" s="81"/>
    </row>
    <row r="601" spans="1:26" ht="12" customHeight="1">
      <c r="A601" s="79"/>
      <c r="B601" s="79"/>
      <c r="C601" s="81"/>
      <c r="D601" s="81"/>
      <c r="E601" s="81"/>
      <c r="F601" s="82"/>
      <c r="G601" s="83"/>
      <c r="H601" s="83"/>
      <c r="I601" s="81"/>
      <c r="J601" s="84"/>
      <c r="K601" s="84"/>
      <c r="L601" s="84"/>
      <c r="M601" s="81"/>
      <c r="N601" s="81"/>
      <c r="O601" s="81"/>
      <c r="P601" s="81"/>
      <c r="Q601" s="81"/>
      <c r="R601" s="81"/>
      <c r="S601" s="81"/>
      <c r="T601" s="81"/>
      <c r="U601" s="81"/>
      <c r="V601" s="81"/>
      <c r="W601" s="81"/>
      <c r="X601" s="81"/>
      <c r="Y601" s="81"/>
      <c r="Z601" s="81"/>
    </row>
    <row r="602" spans="1:26" ht="12" customHeight="1">
      <c r="A602" s="79"/>
      <c r="B602" s="79"/>
      <c r="C602" s="81"/>
      <c r="D602" s="81"/>
      <c r="E602" s="81"/>
      <c r="F602" s="82"/>
      <c r="G602" s="83"/>
      <c r="H602" s="83"/>
      <c r="I602" s="81"/>
      <c r="J602" s="84"/>
      <c r="K602" s="84"/>
      <c r="L602" s="84"/>
      <c r="M602" s="81"/>
      <c r="N602" s="81"/>
      <c r="O602" s="81"/>
      <c r="P602" s="81"/>
      <c r="Q602" s="81"/>
      <c r="R602" s="81"/>
      <c r="S602" s="81"/>
      <c r="T602" s="81"/>
      <c r="U602" s="81"/>
      <c r="V602" s="81"/>
      <c r="W602" s="81"/>
      <c r="X602" s="81"/>
      <c r="Y602" s="81"/>
      <c r="Z602" s="81"/>
    </row>
    <row r="603" spans="1:26" ht="12" customHeight="1">
      <c r="A603" s="79"/>
      <c r="B603" s="79"/>
      <c r="C603" s="81"/>
      <c r="D603" s="81"/>
      <c r="E603" s="81"/>
      <c r="F603" s="82"/>
      <c r="G603" s="83"/>
      <c r="H603" s="83"/>
      <c r="I603" s="81"/>
      <c r="J603" s="84"/>
      <c r="K603" s="84"/>
      <c r="L603" s="84"/>
      <c r="M603" s="81"/>
      <c r="N603" s="81"/>
      <c r="O603" s="81"/>
      <c r="P603" s="81"/>
      <c r="Q603" s="81"/>
      <c r="R603" s="81"/>
      <c r="S603" s="81"/>
      <c r="T603" s="81"/>
      <c r="U603" s="81"/>
      <c r="V603" s="81"/>
      <c r="W603" s="81"/>
      <c r="X603" s="81"/>
      <c r="Y603" s="81"/>
      <c r="Z603" s="81"/>
    </row>
    <row r="604" spans="1:26" ht="12" customHeight="1">
      <c r="A604" s="79"/>
      <c r="B604" s="79"/>
      <c r="C604" s="81"/>
      <c r="D604" s="81"/>
      <c r="E604" s="81"/>
      <c r="F604" s="82"/>
      <c r="G604" s="83"/>
      <c r="H604" s="83"/>
      <c r="I604" s="81"/>
      <c r="J604" s="84"/>
      <c r="K604" s="84"/>
      <c r="L604" s="84"/>
      <c r="M604" s="81"/>
      <c r="N604" s="81"/>
      <c r="O604" s="81"/>
      <c r="P604" s="81"/>
      <c r="Q604" s="81"/>
      <c r="R604" s="81"/>
      <c r="S604" s="81"/>
      <c r="T604" s="81"/>
      <c r="U604" s="81"/>
      <c r="V604" s="81"/>
      <c r="W604" s="81"/>
      <c r="X604" s="81"/>
      <c r="Y604" s="81"/>
      <c r="Z604" s="81"/>
    </row>
    <row r="605" spans="1:26" ht="12" customHeight="1">
      <c r="A605" s="79"/>
      <c r="B605" s="79"/>
      <c r="C605" s="81"/>
      <c r="D605" s="81"/>
      <c r="E605" s="81"/>
      <c r="F605" s="82"/>
      <c r="G605" s="83"/>
      <c r="H605" s="83"/>
      <c r="I605" s="81"/>
      <c r="J605" s="84"/>
      <c r="K605" s="84"/>
      <c r="L605" s="84"/>
      <c r="M605" s="81"/>
      <c r="N605" s="81"/>
      <c r="O605" s="81"/>
      <c r="P605" s="81"/>
      <c r="Q605" s="81"/>
      <c r="R605" s="81"/>
      <c r="S605" s="81"/>
      <c r="T605" s="81"/>
      <c r="U605" s="81"/>
      <c r="V605" s="81"/>
      <c r="W605" s="81"/>
      <c r="X605" s="81"/>
      <c r="Y605" s="81"/>
      <c r="Z605" s="81"/>
    </row>
    <row r="606" spans="1:26" ht="12" customHeight="1">
      <c r="A606" s="79"/>
      <c r="B606" s="79"/>
      <c r="C606" s="81"/>
      <c r="D606" s="81"/>
      <c r="E606" s="81"/>
      <c r="F606" s="82"/>
      <c r="G606" s="83"/>
      <c r="H606" s="83"/>
      <c r="I606" s="81"/>
      <c r="J606" s="84"/>
      <c r="K606" s="84"/>
      <c r="L606" s="84"/>
      <c r="M606" s="81"/>
      <c r="N606" s="81"/>
      <c r="O606" s="81"/>
      <c r="P606" s="81"/>
      <c r="Q606" s="81"/>
      <c r="R606" s="81"/>
      <c r="S606" s="81"/>
      <c r="T606" s="81"/>
      <c r="U606" s="81"/>
      <c r="V606" s="81"/>
      <c r="W606" s="81"/>
      <c r="X606" s="81"/>
      <c r="Y606" s="81"/>
      <c r="Z606" s="81"/>
    </row>
    <row r="607" spans="1:26" ht="12" customHeight="1">
      <c r="A607" s="79"/>
      <c r="B607" s="79"/>
      <c r="C607" s="81"/>
      <c r="D607" s="81"/>
      <c r="E607" s="81"/>
      <c r="F607" s="82"/>
      <c r="G607" s="83"/>
      <c r="H607" s="83"/>
      <c r="I607" s="81"/>
      <c r="J607" s="84"/>
      <c r="K607" s="84"/>
      <c r="L607" s="84"/>
      <c r="M607" s="81"/>
      <c r="N607" s="81"/>
      <c r="O607" s="81"/>
      <c r="P607" s="81"/>
      <c r="Q607" s="81"/>
      <c r="R607" s="81"/>
      <c r="S607" s="81"/>
      <c r="T607" s="81"/>
      <c r="U607" s="81"/>
      <c r="V607" s="81"/>
      <c r="W607" s="81"/>
      <c r="X607" s="81"/>
      <c r="Y607" s="81"/>
      <c r="Z607" s="81"/>
    </row>
    <row r="608" spans="1:26" ht="12" customHeight="1">
      <c r="A608" s="79"/>
      <c r="B608" s="79"/>
      <c r="C608" s="81"/>
      <c r="D608" s="81"/>
      <c r="E608" s="81"/>
      <c r="F608" s="82"/>
      <c r="G608" s="83"/>
      <c r="H608" s="83"/>
      <c r="I608" s="81"/>
      <c r="J608" s="84"/>
      <c r="K608" s="84"/>
      <c r="L608" s="84"/>
      <c r="M608" s="81"/>
      <c r="N608" s="81"/>
      <c r="O608" s="81"/>
      <c r="P608" s="81"/>
      <c r="Q608" s="81"/>
      <c r="R608" s="81"/>
      <c r="S608" s="81"/>
      <c r="T608" s="81"/>
      <c r="U608" s="81"/>
      <c r="V608" s="81"/>
      <c r="W608" s="81"/>
      <c r="X608" s="81"/>
      <c r="Y608" s="81"/>
      <c r="Z608" s="81"/>
    </row>
    <row r="609" spans="1:26" ht="12" customHeight="1">
      <c r="A609" s="79"/>
      <c r="B609" s="79"/>
      <c r="C609" s="81"/>
      <c r="D609" s="81"/>
      <c r="E609" s="81"/>
      <c r="F609" s="82"/>
      <c r="G609" s="83"/>
      <c r="H609" s="83"/>
      <c r="I609" s="81"/>
      <c r="J609" s="84"/>
      <c r="K609" s="84"/>
      <c r="L609" s="84"/>
      <c r="M609" s="81"/>
      <c r="N609" s="81"/>
      <c r="O609" s="81"/>
      <c r="P609" s="81"/>
      <c r="Q609" s="81"/>
      <c r="R609" s="81"/>
      <c r="S609" s="81"/>
      <c r="T609" s="81"/>
      <c r="U609" s="81"/>
      <c r="V609" s="81"/>
      <c r="W609" s="81"/>
      <c r="X609" s="81"/>
      <c r="Y609" s="81"/>
      <c r="Z609" s="81"/>
    </row>
    <row r="610" spans="1:26" ht="12" customHeight="1">
      <c r="A610" s="79"/>
      <c r="B610" s="79"/>
      <c r="C610" s="81"/>
      <c r="D610" s="81"/>
      <c r="E610" s="81"/>
      <c r="F610" s="82"/>
      <c r="G610" s="83"/>
      <c r="H610" s="83"/>
      <c r="I610" s="81"/>
      <c r="J610" s="84"/>
      <c r="K610" s="84"/>
      <c r="L610" s="84"/>
      <c r="M610" s="81"/>
      <c r="N610" s="81"/>
      <c r="O610" s="81"/>
      <c r="P610" s="81"/>
      <c r="Q610" s="81"/>
      <c r="R610" s="81"/>
      <c r="S610" s="81"/>
      <c r="T610" s="81"/>
      <c r="U610" s="81"/>
      <c r="V610" s="81"/>
      <c r="W610" s="81"/>
      <c r="X610" s="81"/>
      <c r="Y610" s="81"/>
      <c r="Z610" s="81"/>
    </row>
    <row r="611" spans="1:26" ht="12" customHeight="1">
      <c r="A611" s="79"/>
      <c r="B611" s="79"/>
      <c r="C611" s="81"/>
      <c r="D611" s="81"/>
      <c r="E611" s="81"/>
      <c r="F611" s="82"/>
      <c r="G611" s="83"/>
      <c r="H611" s="83"/>
      <c r="I611" s="81"/>
      <c r="J611" s="84"/>
      <c r="K611" s="84"/>
      <c r="L611" s="84"/>
      <c r="M611" s="81"/>
      <c r="N611" s="81"/>
      <c r="O611" s="81"/>
      <c r="P611" s="81"/>
      <c r="Q611" s="81"/>
      <c r="R611" s="81"/>
      <c r="S611" s="81"/>
      <c r="T611" s="81"/>
      <c r="U611" s="81"/>
      <c r="V611" s="81"/>
      <c r="W611" s="81"/>
      <c r="X611" s="81"/>
      <c r="Y611" s="81"/>
      <c r="Z611" s="81"/>
    </row>
    <row r="612" spans="1:26" ht="12" customHeight="1">
      <c r="A612" s="79"/>
      <c r="B612" s="79"/>
      <c r="C612" s="81"/>
      <c r="D612" s="81"/>
      <c r="E612" s="81"/>
      <c r="F612" s="82"/>
      <c r="G612" s="83"/>
      <c r="H612" s="83"/>
      <c r="I612" s="81"/>
      <c r="J612" s="84"/>
      <c r="K612" s="84"/>
      <c r="L612" s="84"/>
      <c r="M612" s="81"/>
      <c r="N612" s="81"/>
      <c r="O612" s="81"/>
      <c r="P612" s="81"/>
      <c r="Q612" s="81"/>
      <c r="R612" s="81"/>
      <c r="S612" s="81"/>
      <c r="T612" s="81"/>
      <c r="U612" s="81"/>
      <c r="V612" s="81"/>
      <c r="W612" s="81"/>
      <c r="X612" s="81"/>
      <c r="Y612" s="81"/>
      <c r="Z612" s="81"/>
    </row>
    <row r="613" spans="1:26" ht="12" customHeight="1">
      <c r="A613" s="79"/>
      <c r="B613" s="79"/>
      <c r="C613" s="81"/>
      <c r="D613" s="81"/>
      <c r="E613" s="81"/>
      <c r="F613" s="82"/>
      <c r="G613" s="83"/>
      <c r="H613" s="83"/>
      <c r="I613" s="81"/>
      <c r="J613" s="84"/>
      <c r="K613" s="84"/>
      <c r="L613" s="84"/>
      <c r="M613" s="81"/>
      <c r="N613" s="81"/>
      <c r="O613" s="81"/>
      <c r="P613" s="81"/>
      <c r="Q613" s="81"/>
      <c r="R613" s="81"/>
      <c r="S613" s="81"/>
      <c r="T613" s="81"/>
      <c r="U613" s="81"/>
      <c r="V613" s="81"/>
      <c r="W613" s="81"/>
      <c r="X613" s="81"/>
      <c r="Y613" s="81"/>
      <c r="Z613" s="81"/>
    </row>
    <row r="614" spans="1:26" ht="12" customHeight="1">
      <c r="A614" s="79"/>
      <c r="B614" s="79"/>
      <c r="C614" s="81"/>
      <c r="D614" s="81"/>
      <c r="E614" s="81"/>
      <c r="F614" s="82"/>
      <c r="G614" s="83"/>
      <c r="H614" s="83"/>
      <c r="I614" s="81"/>
      <c r="J614" s="84"/>
      <c r="K614" s="84"/>
      <c r="L614" s="84"/>
      <c r="M614" s="81"/>
      <c r="N614" s="81"/>
      <c r="O614" s="81"/>
      <c r="P614" s="81"/>
      <c r="Q614" s="81"/>
      <c r="R614" s="81"/>
      <c r="S614" s="81"/>
      <c r="T614" s="81"/>
      <c r="U614" s="81"/>
      <c r="V614" s="81"/>
      <c r="W614" s="81"/>
      <c r="X614" s="81"/>
      <c r="Y614" s="81"/>
      <c r="Z614" s="81"/>
    </row>
    <row r="615" spans="1:26" ht="12" customHeight="1">
      <c r="A615" s="79"/>
      <c r="B615" s="79"/>
      <c r="C615" s="81"/>
      <c r="D615" s="81"/>
      <c r="E615" s="81"/>
      <c r="F615" s="82"/>
      <c r="G615" s="83"/>
      <c r="H615" s="83"/>
      <c r="I615" s="81"/>
      <c r="J615" s="84"/>
      <c r="K615" s="84"/>
      <c r="L615" s="84"/>
      <c r="M615" s="81"/>
      <c r="N615" s="81"/>
      <c r="O615" s="81"/>
      <c r="P615" s="81"/>
      <c r="Q615" s="81"/>
      <c r="R615" s="81"/>
      <c r="S615" s="81"/>
      <c r="T615" s="81"/>
      <c r="U615" s="81"/>
      <c r="V615" s="81"/>
      <c r="W615" s="81"/>
      <c r="X615" s="81"/>
      <c r="Y615" s="81"/>
      <c r="Z615" s="81"/>
    </row>
    <row r="616" spans="1:26" ht="12" customHeight="1">
      <c r="A616" s="79"/>
      <c r="B616" s="79"/>
      <c r="C616" s="81"/>
      <c r="D616" s="81"/>
      <c r="E616" s="81"/>
      <c r="F616" s="82"/>
      <c r="G616" s="83"/>
      <c r="H616" s="83"/>
      <c r="I616" s="81"/>
      <c r="J616" s="84"/>
      <c r="K616" s="84"/>
      <c r="L616" s="84"/>
      <c r="M616" s="81"/>
      <c r="N616" s="81"/>
      <c r="O616" s="81"/>
      <c r="P616" s="81"/>
      <c r="Q616" s="81"/>
      <c r="R616" s="81"/>
      <c r="S616" s="81"/>
      <c r="T616" s="81"/>
      <c r="U616" s="81"/>
      <c r="V616" s="81"/>
      <c r="W616" s="81"/>
      <c r="X616" s="81"/>
      <c r="Y616" s="81"/>
      <c r="Z616" s="81"/>
    </row>
    <row r="617" spans="1:26" ht="12" customHeight="1">
      <c r="A617" s="79"/>
      <c r="B617" s="79"/>
      <c r="C617" s="81"/>
      <c r="D617" s="81"/>
      <c r="E617" s="81"/>
      <c r="F617" s="82"/>
      <c r="G617" s="83"/>
      <c r="H617" s="83"/>
      <c r="I617" s="81"/>
      <c r="J617" s="84"/>
      <c r="K617" s="84"/>
      <c r="L617" s="84"/>
      <c r="M617" s="81"/>
      <c r="N617" s="81"/>
      <c r="O617" s="81"/>
      <c r="P617" s="81"/>
      <c r="Q617" s="81"/>
      <c r="R617" s="81"/>
      <c r="S617" s="81"/>
      <c r="T617" s="81"/>
      <c r="U617" s="81"/>
      <c r="V617" s="81"/>
      <c r="W617" s="81"/>
      <c r="X617" s="81"/>
      <c r="Y617" s="81"/>
      <c r="Z617" s="81"/>
    </row>
    <row r="618" spans="1:26" ht="12" customHeight="1">
      <c r="A618" s="79"/>
      <c r="B618" s="79"/>
      <c r="C618" s="81"/>
      <c r="D618" s="81"/>
      <c r="E618" s="81"/>
      <c r="F618" s="82"/>
      <c r="G618" s="83"/>
      <c r="H618" s="83"/>
      <c r="I618" s="81"/>
      <c r="J618" s="84"/>
      <c r="K618" s="84"/>
      <c r="L618" s="84"/>
      <c r="M618" s="81"/>
      <c r="N618" s="81"/>
      <c r="O618" s="81"/>
      <c r="P618" s="81"/>
      <c r="Q618" s="81"/>
      <c r="R618" s="81"/>
      <c r="S618" s="81"/>
      <c r="T618" s="81"/>
      <c r="U618" s="81"/>
      <c r="V618" s="81"/>
      <c r="W618" s="81"/>
      <c r="X618" s="81"/>
      <c r="Y618" s="81"/>
      <c r="Z618" s="81"/>
    </row>
    <row r="619" spans="1:26" ht="12" customHeight="1">
      <c r="A619" s="79"/>
      <c r="B619" s="79"/>
      <c r="C619" s="81"/>
      <c r="D619" s="81"/>
      <c r="E619" s="81"/>
      <c r="F619" s="82"/>
      <c r="G619" s="83"/>
      <c r="H619" s="83"/>
      <c r="I619" s="81"/>
      <c r="J619" s="84"/>
      <c r="K619" s="84"/>
      <c r="L619" s="84"/>
      <c r="M619" s="81"/>
      <c r="N619" s="81"/>
      <c r="O619" s="81"/>
      <c r="P619" s="81"/>
      <c r="Q619" s="81"/>
      <c r="R619" s="81"/>
      <c r="S619" s="81"/>
      <c r="T619" s="81"/>
      <c r="U619" s="81"/>
      <c r="V619" s="81"/>
      <c r="W619" s="81"/>
      <c r="X619" s="81"/>
      <c r="Y619" s="81"/>
      <c r="Z619" s="81"/>
    </row>
    <row r="620" spans="1:26" ht="12" customHeight="1">
      <c r="A620" s="79"/>
      <c r="B620" s="79"/>
      <c r="C620" s="81"/>
      <c r="D620" s="81"/>
      <c r="E620" s="81"/>
      <c r="F620" s="82"/>
      <c r="G620" s="83"/>
      <c r="H620" s="83"/>
      <c r="I620" s="81"/>
      <c r="J620" s="84"/>
      <c r="K620" s="84"/>
      <c r="L620" s="84"/>
      <c r="M620" s="81"/>
      <c r="N620" s="81"/>
      <c r="O620" s="81"/>
      <c r="P620" s="81"/>
      <c r="Q620" s="81"/>
      <c r="R620" s="81"/>
      <c r="S620" s="81"/>
      <c r="T620" s="81"/>
      <c r="U620" s="81"/>
      <c r="V620" s="81"/>
      <c r="W620" s="81"/>
      <c r="X620" s="81"/>
      <c r="Y620" s="81"/>
      <c r="Z620" s="81"/>
    </row>
    <row r="621" spans="1:26" ht="12" customHeight="1">
      <c r="A621" s="79"/>
      <c r="B621" s="79"/>
      <c r="C621" s="81"/>
      <c r="D621" s="81"/>
      <c r="E621" s="81"/>
      <c r="F621" s="82"/>
      <c r="G621" s="83"/>
      <c r="H621" s="83"/>
      <c r="I621" s="81"/>
      <c r="J621" s="84"/>
      <c r="K621" s="84"/>
      <c r="L621" s="84"/>
      <c r="M621" s="81"/>
      <c r="N621" s="81"/>
      <c r="O621" s="81"/>
      <c r="P621" s="81"/>
      <c r="Q621" s="81"/>
      <c r="R621" s="81"/>
      <c r="S621" s="81"/>
      <c r="T621" s="81"/>
      <c r="U621" s="81"/>
      <c r="V621" s="81"/>
      <c r="W621" s="81"/>
      <c r="X621" s="81"/>
      <c r="Y621" s="81"/>
      <c r="Z621" s="81"/>
    </row>
    <row r="622" spans="1:26" ht="12" customHeight="1">
      <c r="A622" s="79"/>
      <c r="B622" s="79"/>
      <c r="C622" s="81"/>
      <c r="D622" s="81"/>
      <c r="E622" s="81"/>
      <c r="F622" s="82"/>
      <c r="G622" s="83"/>
      <c r="H622" s="83"/>
      <c r="I622" s="81"/>
      <c r="J622" s="84"/>
      <c r="K622" s="84"/>
      <c r="L622" s="84"/>
      <c r="M622" s="81"/>
      <c r="N622" s="81"/>
      <c r="O622" s="81"/>
      <c r="P622" s="81"/>
      <c r="Q622" s="81"/>
      <c r="R622" s="81"/>
      <c r="S622" s="81"/>
      <c r="T622" s="81"/>
      <c r="U622" s="81"/>
      <c r="V622" s="81"/>
      <c r="W622" s="81"/>
      <c r="X622" s="81"/>
      <c r="Y622" s="81"/>
      <c r="Z622" s="81"/>
    </row>
    <row r="623" spans="1:26" ht="12" customHeight="1">
      <c r="A623" s="79"/>
      <c r="B623" s="79"/>
      <c r="C623" s="81"/>
      <c r="D623" s="81"/>
      <c r="E623" s="81"/>
      <c r="F623" s="82"/>
      <c r="G623" s="83"/>
      <c r="H623" s="83"/>
      <c r="I623" s="81"/>
      <c r="J623" s="84"/>
      <c r="K623" s="84"/>
      <c r="L623" s="84"/>
      <c r="M623" s="81"/>
      <c r="N623" s="81"/>
      <c r="O623" s="81"/>
      <c r="P623" s="81"/>
      <c r="Q623" s="81"/>
      <c r="R623" s="81"/>
      <c r="S623" s="81"/>
      <c r="T623" s="81"/>
      <c r="U623" s="81"/>
      <c r="V623" s="81"/>
      <c r="W623" s="81"/>
      <c r="X623" s="81"/>
      <c r="Y623" s="81"/>
      <c r="Z623" s="81"/>
    </row>
    <row r="624" spans="1:26" ht="12" customHeight="1">
      <c r="A624" s="79"/>
      <c r="B624" s="79"/>
      <c r="C624" s="81"/>
      <c r="D624" s="81"/>
      <c r="E624" s="81"/>
      <c r="F624" s="82"/>
      <c r="G624" s="83"/>
      <c r="H624" s="83"/>
      <c r="I624" s="81"/>
      <c r="J624" s="84"/>
      <c r="K624" s="84"/>
      <c r="L624" s="84"/>
      <c r="M624" s="81"/>
      <c r="N624" s="81"/>
      <c r="O624" s="81"/>
      <c r="P624" s="81"/>
      <c r="Q624" s="81"/>
      <c r="R624" s="81"/>
      <c r="S624" s="81"/>
      <c r="T624" s="81"/>
      <c r="U624" s="81"/>
      <c r="V624" s="81"/>
      <c r="W624" s="81"/>
      <c r="X624" s="81"/>
      <c r="Y624" s="81"/>
      <c r="Z624" s="81"/>
    </row>
    <row r="625" spans="1:26" ht="12" customHeight="1">
      <c r="A625" s="79"/>
      <c r="B625" s="79"/>
      <c r="C625" s="81"/>
      <c r="D625" s="81"/>
      <c r="E625" s="81"/>
      <c r="F625" s="82"/>
      <c r="G625" s="83"/>
      <c r="H625" s="83"/>
      <c r="I625" s="81"/>
      <c r="J625" s="84"/>
      <c r="K625" s="84"/>
      <c r="L625" s="84"/>
      <c r="M625" s="81"/>
      <c r="N625" s="81"/>
      <c r="O625" s="81"/>
      <c r="P625" s="81"/>
      <c r="Q625" s="81"/>
      <c r="R625" s="81"/>
      <c r="S625" s="81"/>
      <c r="T625" s="81"/>
      <c r="U625" s="81"/>
      <c r="V625" s="81"/>
      <c r="W625" s="81"/>
      <c r="X625" s="81"/>
      <c r="Y625" s="81"/>
      <c r="Z625" s="81"/>
    </row>
    <row r="626" spans="1:26" ht="12" customHeight="1">
      <c r="A626" s="79"/>
      <c r="B626" s="79"/>
      <c r="C626" s="81"/>
      <c r="D626" s="81"/>
      <c r="E626" s="81"/>
      <c r="F626" s="82"/>
      <c r="G626" s="83"/>
      <c r="H626" s="83"/>
      <c r="I626" s="81"/>
      <c r="J626" s="84"/>
      <c r="K626" s="84"/>
      <c r="L626" s="84"/>
      <c r="M626" s="81"/>
      <c r="N626" s="81"/>
      <c r="O626" s="81"/>
      <c r="P626" s="81"/>
      <c r="Q626" s="81"/>
      <c r="R626" s="81"/>
      <c r="S626" s="81"/>
      <c r="T626" s="81"/>
      <c r="U626" s="81"/>
      <c r="V626" s="81"/>
      <c r="W626" s="81"/>
      <c r="X626" s="81"/>
      <c r="Y626" s="81"/>
      <c r="Z626" s="81"/>
    </row>
    <row r="627" spans="1:26" ht="12" customHeight="1">
      <c r="A627" s="79"/>
      <c r="B627" s="79"/>
      <c r="C627" s="81"/>
      <c r="D627" s="81"/>
      <c r="E627" s="81"/>
      <c r="F627" s="82"/>
      <c r="G627" s="83"/>
      <c r="H627" s="83"/>
      <c r="I627" s="81"/>
      <c r="J627" s="84"/>
      <c r="K627" s="84"/>
      <c r="L627" s="84"/>
      <c r="M627" s="81"/>
      <c r="N627" s="81"/>
      <c r="O627" s="81"/>
      <c r="P627" s="81"/>
      <c r="Q627" s="81"/>
      <c r="R627" s="81"/>
      <c r="S627" s="81"/>
      <c r="T627" s="81"/>
      <c r="U627" s="81"/>
      <c r="V627" s="81"/>
      <c r="W627" s="81"/>
      <c r="X627" s="81"/>
      <c r="Y627" s="81"/>
      <c r="Z627" s="81"/>
    </row>
    <row r="628" spans="1:26" ht="12" customHeight="1">
      <c r="A628" s="79"/>
      <c r="B628" s="79"/>
      <c r="C628" s="81"/>
      <c r="D628" s="81"/>
      <c r="E628" s="81"/>
      <c r="F628" s="82"/>
      <c r="G628" s="83"/>
      <c r="H628" s="83"/>
      <c r="I628" s="81"/>
      <c r="J628" s="84"/>
      <c r="K628" s="84"/>
      <c r="L628" s="84"/>
      <c r="M628" s="81"/>
      <c r="N628" s="81"/>
      <c r="O628" s="81"/>
      <c r="P628" s="81"/>
      <c r="Q628" s="81"/>
      <c r="R628" s="81"/>
      <c r="S628" s="81"/>
      <c r="T628" s="81"/>
      <c r="U628" s="81"/>
      <c r="V628" s="81"/>
      <c r="W628" s="81"/>
      <c r="X628" s="81"/>
      <c r="Y628" s="81"/>
      <c r="Z628" s="81"/>
    </row>
    <row r="629" spans="1:26" ht="12" customHeight="1">
      <c r="A629" s="79"/>
      <c r="B629" s="79"/>
      <c r="C629" s="81"/>
      <c r="D629" s="81"/>
      <c r="E629" s="81"/>
      <c r="F629" s="82"/>
      <c r="G629" s="83"/>
      <c r="H629" s="83"/>
      <c r="I629" s="81"/>
      <c r="J629" s="84"/>
      <c r="K629" s="84"/>
      <c r="L629" s="84"/>
      <c r="M629" s="81"/>
      <c r="N629" s="81"/>
      <c r="O629" s="81"/>
      <c r="P629" s="81"/>
      <c r="Q629" s="81"/>
      <c r="R629" s="81"/>
      <c r="S629" s="81"/>
      <c r="T629" s="81"/>
      <c r="U629" s="81"/>
      <c r="V629" s="81"/>
      <c r="W629" s="81"/>
      <c r="X629" s="81"/>
      <c r="Y629" s="81"/>
      <c r="Z629" s="81"/>
    </row>
    <row r="630" spans="1:26" ht="12" customHeight="1">
      <c r="A630" s="79"/>
      <c r="B630" s="79"/>
      <c r="C630" s="81"/>
      <c r="D630" s="81"/>
      <c r="E630" s="81"/>
      <c r="F630" s="82"/>
      <c r="G630" s="83"/>
      <c r="H630" s="83"/>
      <c r="I630" s="81"/>
      <c r="J630" s="84"/>
      <c r="K630" s="84"/>
      <c r="L630" s="84"/>
      <c r="M630" s="81"/>
      <c r="N630" s="81"/>
      <c r="O630" s="81"/>
      <c r="P630" s="81"/>
      <c r="Q630" s="81"/>
      <c r="R630" s="81"/>
      <c r="S630" s="81"/>
      <c r="T630" s="81"/>
      <c r="U630" s="81"/>
      <c r="V630" s="81"/>
      <c r="W630" s="81"/>
      <c r="X630" s="81"/>
      <c r="Y630" s="81"/>
      <c r="Z630" s="81"/>
    </row>
    <row r="631" spans="1:26" ht="12" customHeight="1">
      <c r="A631" s="79"/>
      <c r="B631" s="79"/>
      <c r="C631" s="81"/>
      <c r="D631" s="81"/>
      <c r="E631" s="81"/>
      <c r="F631" s="82"/>
      <c r="G631" s="83"/>
      <c r="H631" s="83"/>
      <c r="I631" s="81"/>
      <c r="J631" s="84"/>
      <c r="K631" s="84"/>
      <c r="L631" s="84"/>
      <c r="M631" s="81"/>
      <c r="N631" s="81"/>
      <c r="O631" s="81"/>
      <c r="P631" s="81"/>
      <c r="Q631" s="81"/>
      <c r="R631" s="81"/>
      <c r="S631" s="81"/>
      <c r="T631" s="81"/>
      <c r="U631" s="81"/>
      <c r="V631" s="81"/>
      <c r="W631" s="81"/>
      <c r="X631" s="81"/>
      <c r="Y631" s="81"/>
      <c r="Z631" s="81"/>
    </row>
    <row r="632" spans="1:26" ht="12" customHeight="1">
      <c r="A632" s="79"/>
      <c r="B632" s="79"/>
      <c r="C632" s="81"/>
      <c r="D632" s="81"/>
      <c r="E632" s="81"/>
      <c r="F632" s="82"/>
      <c r="G632" s="83"/>
      <c r="H632" s="83"/>
      <c r="I632" s="81"/>
      <c r="J632" s="84"/>
      <c r="K632" s="84"/>
      <c r="L632" s="84"/>
      <c r="M632" s="81"/>
      <c r="N632" s="81"/>
      <c r="O632" s="81"/>
      <c r="P632" s="81"/>
      <c r="Q632" s="81"/>
      <c r="R632" s="81"/>
      <c r="S632" s="81"/>
      <c r="T632" s="81"/>
      <c r="U632" s="81"/>
      <c r="V632" s="81"/>
      <c r="W632" s="81"/>
      <c r="X632" s="81"/>
      <c r="Y632" s="81"/>
      <c r="Z632" s="81"/>
    </row>
    <row r="633" spans="1:26" ht="12" customHeight="1">
      <c r="A633" s="79"/>
      <c r="B633" s="79"/>
      <c r="C633" s="81"/>
      <c r="D633" s="81"/>
      <c r="E633" s="81"/>
      <c r="F633" s="82"/>
      <c r="G633" s="83"/>
      <c r="H633" s="83"/>
      <c r="I633" s="81"/>
      <c r="J633" s="84"/>
      <c r="K633" s="84"/>
      <c r="L633" s="84"/>
      <c r="M633" s="81"/>
      <c r="N633" s="81"/>
      <c r="O633" s="81"/>
      <c r="P633" s="81"/>
      <c r="Q633" s="81"/>
      <c r="R633" s="81"/>
      <c r="S633" s="81"/>
      <c r="T633" s="81"/>
      <c r="U633" s="81"/>
      <c r="V633" s="81"/>
      <c r="W633" s="81"/>
      <c r="X633" s="81"/>
      <c r="Y633" s="81"/>
      <c r="Z633" s="81"/>
    </row>
    <row r="634" spans="1:26" ht="12" customHeight="1">
      <c r="A634" s="79"/>
      <c r="B634" s="79"/>
      <c r="C634" s="81"/>
      <c r="D634" s="81"/>
      <c r="E634" s="81"/>
      <c r="F634" s="82"/>
      <c r="G634" s="83"/>
      <c r="H634" s="83"/>
      <c r="I634" s="81"/>
      <c r="J634" s="84"/>
      <c r="K634" s="84"/>
      <c r="L634" s="84"/>
      <c r="M634" s="81"/>
      <c r="N634" s="81"/>
      <c r="O634" s="81"/>
      <c r="P634" s="81"/>
      <c r="Q634" s="81"/>
      <c r="R634" s="81"/>
      <c r="S634" s="81"/>
      <c r="T634" s="81"/>
      <c r="U634" s="81"/>
      <c r="V634" s="81"/>
      <c r="W634" s="81"/>
      <c r="X634" s="81"/>
      <c r="Y634" s="81"/>
      <c r="Z634" s="81"/>
    </row>
    <row r="635" spans="1:26" ht="12" customHeight="1">
      <c r="A635" s="79"/>
      <c r="B635" s="79"/>
      <c r="C635" s="81"/>
      <c r="D635" s="81"/>
      <c r="E635" s="81"/>
      <c r="F635" s="82"/>
      <c r="G635" s="83"/>
      <c r="H635" s="83"/>
      <c r="I635" s="81"/>
      <c r="J635" s="84"/>
      <c r="K635" s="84"/>
      <c r="L635" s="84"/>
      <c r="M635" s="81"/>
      <c r="N635" s="81"/>
      <c r="O635" s="81"/>
      <c r="P635" s="81"/>
      <c r="Q635" s="81"/>
      <c r="R635" s="81"/>
      <c r="S635" s="81"/>
      <c r="T635" s="81"/>
      <c r="U635" s="81"/>
      <c r="V635" s="81"/>
      <c r="W635" s="81"/>
      <c r="X635" s="81"/>
      <c r="Y635" s="81"/>
      <c r="Z635" s="81"/>
    </row>
    <row r="636" spans="1:26" ht="12" customHeight="1">
      <c r="A636" s="79"/>
      <c r="B636" s="79"/>
      <c r="C636" s="81"/>
      <c r="D636" s="81"/>
      <c r="E636" s="81"/>
      <c r="F636" s="82"/>
      <c r="G636" s="83"/>
      <c r="H636" s="83"/>
      <c r="I636" s="81"/>
      <c r="J636" s="84"/>
      <c r="K636" s="84"/>
      <c r="L636" s="84"/>
      <c r="M636" s="81"/>
      <c r="N636" s="81"/>
      <c r="O636" s="81"/>
      <c r="P636" s="81"/>
      <c r="Q636" s="81"/>
      <c r="R636" s="81"/>
      <c r="S636" s="81"/>
      <c r="T636" s="81"/>
      <c r="U636" s="81"/>
      <c r="V636" s="81"/>
      <c r="W636" s="81"/>
      <c r="X636" s="81"/>
      <c r="Y636" s="81"/>
      <c r="Z636" s="81"/>
    </row>
    <row r="637" spans="1:26" ht="12" customHeight="1">
      <c r="A637" s="79"/>
      <c r="B637" s="79"/>
      <c r="C637" s="81"/>
      <c r="D637" s="81"/>
      <c r="E637" s="81"/>
      <c r="F637" s="82"/>
      <c r="G637" s="83"/>
      <c r="H637" s="83"/>
      <c r="I637" s="81"/>
      <c r="J637" s="84"/>
      <c r="K637" s="84"/>
      <c r="L637" s="84"/>
      <c r="M637" s="81"/>
      <c r="N637" s="81"/>
      <c r="O637" s="81"/>
      <c r="P637" s="81"/>
      <c r="Q637" s="81"/>
      <c r="R637" s="81"/>
      <c r="S637" s="81"/>
      <c r="T637" s="81"/>
      <c r="U637" s="81"/>
      <c r="V637" s="81"/>
      <c r="W637" s="81"/>
      <c r="X637" s="81"/>
      <c r="Y637" s="81"/>
      <c r="Z637" s="81"/>
    </row>
    <row r="638" spans="1:26" ht="12" customHeight="1">
      <c r="A638" s="79"/>
      <c r="B638" s="79"/>
      <c r="C638" s="81"/>
      <c r="D638" s="81"/>
      <c r="E638" s="81"/>
      <c r="F638" s="82"/>
      <c r="G638" s="83"/>
      <c r="H638" s="83"/>
      <c r="I638" s="81"/>
      <c r="J638" s="84"/>
      <c r="K638" s="84"/>
      <c r="L638" s="84"/>
      <c r="M638" s="81"/>
      <c r="N638" s="81"/>
      <c r="O638" s="81"/>
      <c r="P638" s="81"/>
      <c r="Q638" s="81"/>
      <c r="R638" s="81"/>
      <c r="S638" s="81"/>
      <c r="T638" s="81"/>
      <c r="U638" s="81"/>
      <c r="V638" s="81"/>
      <c r="W638" s="81"/>
      <c r="X638" s="81"/>
      <c r="Y638" s="81"/>
      <c r="Z638" s="81"/>
    </row>
    <row r="639" spans="1:26" ht="12" customHeight="1">
      <c r="A639" s="79"/>
      <c r="B639" s="79"/>
      <c r="C639" s="81"/>
      <c r="D639" s="81"/>
      <c r="E639" s="81"/>
      <c r="F639" s="82"/>
      <c r="G639" s="83"/>
      <c r="H639" s="83"/>
      <c r="I639" s="81"/>
      <c r="J639" s="84"/>
      <c r="K639" s="84"/>
      <c r="L639" s="84"/>
      <c r="M639" s="81"/>
      <c r="N639" s="81"/>
      <c r="O639" s="81"/>
      <c r="P639" s="81"/>
      <c r="Q639" s="81"/>
      <c r="R639" s="81"/>
      <c r="S639" s="81"/>
      <c r="T639" s="81"/>
      <c r="U639" s="81"/>
      <c r="V639" s="81"/>
      <c r="W639" s="81"/>
      <c r="X639" s="81"/>
      <c r="Y639" s="81"/>
      <c r="Z639" s="81"/>
    </row>
    <row r="640" spans="1:26" ht="12" customHeight="1">
      <c r="A640" s="79"/>
      <c r="B640" s="79"/>
      <c r="C640" s="81"/>
      <c r="D640" s="81"/>
      <c r="E640" s="81"/>
      <c r="F640" s="82"/>
      <c r="G640" s="83"/>
      <c r="H640" s="83"/>
      <c r="I640" s="81"/>
      <c r="J640" s="84"/>
      <c r="K640" s="84"/>
      <c r="L640" s="84"/>
      <c r="M640" s="81"/>
      <c r="N640" s="81"/>
      <c r="O640" s="81"/>
      <c r="P640" s="81"/>
      <c r="Q640" s="81"/>
      <c r="R640" s="81"/>
      <c r="S640" s="81"/>
      <c r="T640" s="81"/>
      <c r="U640" s="81"/>
      <c r="V640" s="81"/>
      <c r="W640" s="81"/>
      <c r="X640" s="81"/>
      <c r="Y640" s="81"/>
      <c r="Z640" s="81"/>
    </row>
    <row r="641" spans="1:26" ht="12" customHeight="1">
      <c r="A641" s="79"/>
      <c r="B641" s="79"/>
      <c r="C641" s="81"/>
      <c r="D641" s="81"/>
      <c r="E641" s="81"/>
      <c r="F641" s="82"/>
      <c r="G641" s="83"/>
      <c r="H641" s="83"/>
      <c r="I641" s="81"/>
      <c r="J641" s="84"/>
      <c r="K641" s="84"/>
      <c r="L641" s="84"/>
      <c r="M641" s="81"/>
      <c r="N641" s="81"/>
      <c r="O641" s="81"/>
      <c r="P641" s="81"/>
      <c r="Q641" s="81"/>
      <c r="R641" s="81"/>
      <c r="S641" s="81"/>
      <c r="T641" s="81"/>
      <c r="U641" s="81"/>
      <c r="V641" s="81"/>
      <c r="W641" s="81"/>
      <c r="X641" s="81"/>
      <c r="Y641" s="81"/>
      <c r="Z641" s="81"/>
    </row>
    <row r="642" spans="1:26" ht="12" customHeight="1">
      <c r="A642" s="79"/>
      <c r="B642" s="79"/>
      <c r="C642" s="81"/>
      <c r="D642" s="81"/>
      <c r="E642" s="81"/>
      <c r="F642" s="82"/>
      <c r="G642" s="83"/>
      <c r="H642" s="83"/>
      <c r="I642" s="81"/>
      <c r="J642" s="84"/>
      <c r="K642" s="84"/>
      <c r="L642" s="84"/>
      <c r="M642" s="81"/>
      <c r="N642" s="81"/>
      <c r="O642" s="81"/>
      <c r="P642" s="81"/>
      <c r="Q642" s="81"/>
      <c r="R642" s="81"/>
      <c r="S642" s="81"/>
      <c r="T642" s="81"/>
      <c r="U642" s="81"/>
      <c r="V642" s="81"/>
      <c r="W642" s="81"/>
      <c r="X642" s="81"/>
      <c r="Y642" s="81"/>
      <c r="Z642" s="81"/>
    </row>
    <row r="643" spans="1:26" ht="12" customHeight="1">
      <c r="A643" s="79"/>
      <c r="B643" s="79"/>
      <c r="C643" s="81"/>
      <c r="D643" s="81"/>
      <c r="E643" s="81"/>
      <c r="F643" s="82"/>
      <c r="G643" s="83"/>
      <c r="H643" s="83"/>
      <c r="I643" s="81"/>
      <c r="J643" s="84"/>
      <c r="K643" s="84"/>
      <c r="L643" s="84"/>
      <c r="M643" s="81"/>
      <c r="N643" s="81"/>
      <c r="O643" s="81"/>
      <c r="P643" s="81"/>
      <c r="Q643" s="81"/>
      <c r="R643" s="81"/>
      <c r="S643" s="81"/>
      <c r="T643" s="81"/>
      <c r="U643" s="81"/>
      <c r="V643" s="81"/>
      <c r="W643" s="81"/>
      <c r="X643" s="81"/>
      <c r="Y643" s="81"/>
      <c r="Z643" s="81"/>
    </row>
    <row r="644" spans="1:26" ht="12" customHeight="1">
      <c r="A644" s="79"/>
      <c r="B644" s="79"/>
      <c r="C644" s="81"/>
      <c r="D644" s="81"/>
      <c r="E644" s="81"/>
      <c r="F644" s="82"/>
      <c r="G644" s="83"/>
      <c r="H644" s="83"/>
      <c r="I644" s="81"/>
      <c r="J644" s="84"/>
      <c r="K644" s="84"/>
      <c r="L644" s="84"/>
      <c r="M644" s="81"/>
      <c r="N644" s="81"/>
      <c r="O644" s="81"/>
      <c r="P644" s="81"/>
      <c r="Q644" s="81"/>
      <c r="R644" s="81"/>
      <c r="S644" s="81"/>
      <c r="T644" s="81"/>
      <c r="U644" s="81"/>
      <c r="V644" s="81"/>
      <c r="W644" s="81"/>
      <c r="X644" s="81"/>
      <c r="Y644" s="81"/>
      <c r="Z644" s="81"/>
    </row>
    <row r="645" spans="1:26" ht="12" customHeight="1">
      <c r="A645" s="79"/>
      <c r="B645" s="79"/>
      <c r="C645" s="81"/>
      <c r="D645" s="81"/>
      <c r="E645" s="81"/>
      <c r="F645" s="82"/>
      <c r="G645" s="83"/>
      <c r="H645" s="83"/>
      <c r="I645" s="81"/>
      <c r="J645" s="84"/>
      <c r="K645" s="84"/>
      <c r="L645" s="84"/>
      <c r="M645" s="81"/>
      <c r="N645" s="81"/>
      <c r="O645" s="81"/>
      <c r="P645" s="81"/>
      <c r="Q645" s="81"/>
      <c r="R645" s="81"/>
      <c r="S645" s="81"/>
      <c r="T645" s="81"/>
      <c r="U645" s="81"/>
      <c r="V645" s="81"/>
      <c r="W645" s="81"/>
      <c r="X645" s="81"/>
      <c r="Y645" s="81"/>
      <c r="Z645" s="81"/>
    </row>
    <row r="646" spans="1:26" ht="12" customHeight="1">
      <c r="A646" s="79"/>
      <c r="B646" s="79"/>
      <c r="C646" s="81"/>
      <c r="D646" s="81"/>
      <c r="E646" s="81"/>
      <c r="F646" s="82"/>
      <c r="G646" s="83"/>
      <c r="H646" s="83"/>
      <c r="I646" s="81"/>
      <c r="J646" s="84"/>
      <c r="K646" s="84"/>
      <c r="L646" s="84"/>
      <c r="M646" s="81"/>
      <c r="N646" s="81"/>
      <c r="O646" s="81"/>
      <c r="P646" s="81"/>
      <c r="Q646" s="81"/>
      <c r="R646" s="81"/>
      <c r="S646" s="81"/>
      <c r="T646" s="81"/>
      <c r="U646" s="81"/>
      <c r="V646" s="81"/>
      <c r="W646" s="81"/>
      <c r="X646" s="81"/>
      <c r="Y646" s="81"/>
      <c r="Z646" s="81"/>
    </row>
    <row r="647" spans="1:26" ht="12" customHeight="1">
      <c r="A647" s="79"/>
      <c r="B647" s="79"/>
      <c r="C647" s="81"/>
      <c r="D647" s="81"/>
      <c r="E647" s="81"/>
      <c r="F647" s="82"/>
      <c r="G647" s="83"/>
      <c r="H647" s="83"/>
      <c r="I647" s="81"/>
      <c r="J647" s="84"/>
      <c r="K647" s="84"/>
      <c r="L647" s="84"/>
      <c r="M647" s="81"/>
      <c r="N647" s="81"/>
      <c r="O647" s="81"/>
      <c r="P647" s="81"/>
      <c r="Q647" s="81"/>
      <c r="R647" s="81"/>
      <c r="S647" s="81"/>
      <c r="T647" s="81"/>
      <c r="U647" s="81"/>
      <c r="V647" s="81"/>
      <c r="W647" s="81"/>
      <c r="X647" s="81"/>
      <c r="Y647" s="81"/>
      <c r="Z647" s="81"/>
    </row>
    <row r="648" spans="1:26" ht="12" customHeight="1">
      <c r="A648" s="79"/>
      <c r="B648" s="79"/>
      <c r="C648" s="81"/>
      <c r="D648" s="81"/>
      <c r="E648" s="81"/>
      <c r="F648" s="82"/>
      <c r="G648" s="83"/>
      <c r="H648" s="83"/>
      <c r="I648" s="81"/>
      <c r="J648" s="84"/>
      <c r="K648" s="84"/>
      <c r="L648" s="84"/>
      <c r="M648" s="81"/>
      <c r="N648" s="81"/>
      <c r="O648" s="81"/>
      <c r="P648" s="81"/>
      <c r="Q648" s="81"/>
      <c r="R648" s="81"/>
      <c r="S648" s="81"/>
      <c r="T648" s="81"/>
      <c r="U648" s="81"/>
      <c r="V648" s="81"/>
      <c r="W648" s="81"/>
      <c r="X648" s="81"/>
      <c r="Y648" s="81"/>
      <c r="Z648" s="81"/>
    </row>
    <row r="649" spans="1:26" ht="12" customHeight="1">
      <c r="A649" s="79"/>
      <c r="B649" s="79"/>
      <c r="C649" s="81"/>
      <c r="D649" s="81"/>
      <c r="E649" s="81"/>
      <c r="F649" s="82"/>
      <c r="G649" s="83"/>
      <c r="H649" s="83"/>
      <c r="I649" s="81"/>
      <c r="J649" s="84"/>
      <c r="K649" s="84"/>
      <c r="L649" s="84"/>
      <c r="M649" s="81"/>
      <c r="N649" s="81"/>
      <c r="O649" s="81"/>
      <c r="P649" s="81"/>
      <c r="Q649" s="81"/>
      <c r="R649" s="81"/>
      <c r="S649" s="81"/>
      <c r="T649" s="81"/>
      <c r="U649" s="81"/>
      <c r="V649" s="81"/>
      <c r="W649" s="81"/>
      <c r="X649" s="81"/>
      <c r="Y649" s="81"/>
      <c r="Z649" s="81"/>
    </row>
    <row r="650" spans="1:26" ht="12" customHeight="1">
      <c r="A650" s="79"/>
      <c r="B650" s="79"/>
      <c r="C650" s="81"/>
      <c r="D650" s="81"/>
      <c r="E650" s="81"/>
      <c r="F650" s="82"/>
      <c r="G650" s="83"/>
      <c r="H650" s="83"/>
      <c r="I650" s="81"/>
      <c r="J650" s="84"/>
      <c r="K650" s="84"/>
      <c r="L650" s="84"/>
      <c r="M650" s="81"/>
      <c r="N650" s="81"/>
      <c r="O650" s="81"/>
      <c r="P650" s="81"/>
      <c r="Q650" s="81"/>
      <c r="R650" s="81"/>
      <c r="S650" s="81"/>
      <c r="T650" s="81"/>
      <c r="U650" s="81"/>
      <c r="V650" s="81"/>
      <c r="W650" s="81"/>
      <c r="X650" s="81"/>
      <c r="Y650" s="81"/>
      <c r="Z650" s="81"/>
    </row>
    <row r="651" spans="1:26" ht="12" customHeight="1">
      <c r="A651" s="79"/>
      <c r="B651" s="79"/>
      <c r="C651" s="81"/>
      <c r="D651" s="81"/>
      <c r="E651" s="81"/>
      <c r="F651" s="82"/>
      <c r="G651" s="83"/>
      <c r="H651" s="83"/>
      <c r="I651" s="81"/>
      <c r="J651" s="84"/>
      <c r="K651" s="84"/>
      <c r="L651" s="84"/>
      <c r="M651" s="81"/>
      <c r="N651" s="81"/>
      <c r="O651" s="81"/>
      <c r="P651" s="81"/>
      <c r="Q651" s="81"/>
      <c r="R651" s="81"/>
      <c r="S651" s="81"/>
      <c r="T651" s="81"/>
      <c r="U651" s="81"/>
      <c r="V651" s="81"/>
      <c r="W651" s="81"/>
      <c r="X651" s="81"/>
      <c r="Y651" s="81"/>
      <c r="Z651" s="81"/>
    </row>
    <row r="652" spans="1:26" ht="12" customHeight="1">
      <c r="A652" s="79"/>
      <c r="B652" s="79"/>
      <c r="C652" s="81"/>
      <c r="D652" s="81"/>
      <c r="E652" s="81"/>
      <c r="F652" s="82"/>
      <c r="G652" s="83"/>
      <c r="H652" s="83"/>
      <c r="I652" s="81"/>
      <c r="J652" s="84"/>
      <c r="K652" s="84"/>
      <c r="L652" s="84"/>
      <c r="M652" s="81"/>
      <c r="N652" s="81"/>
      <c r="O652" s="81"/>
      <c r="P652" s="81"/>
      <c r="Q652" s="81"/>
      <c r="R652" s="81"/>
      <c r="S652" s="81"/>
      <c r="T652" s="81"/>
      <c r="U652" s="81"/>
      <c r="V652" s="81"/>
      <c r="W652" s="81"/>
      <c r="X652" s="81"/>
      <c r="Y652" s="81"/>
      <c r="Z652" s="81"/>
    </row>
    <row r="653" spans="1:26" ht="12" customHeight="1">
      <c r="A653" s="79"/>
      <c r="B653" s="79"/>
      <c r="C653" s="81"/>
      <c r="D653" s="81"/>
      <c r="E653" s="81"/>
      <c r="F653" s="82"/>
      <c r="G653" s="83"/>
      <c r="H653" s="83"/>
      <c r="I653" s="81"/>
      <c r="J653" s="84"/>
      <c r="K653" s="84"/>
      <c r="L653" s="84"/>
      <c r="M653" s="81"/>
      <c r="N653" s="81"/>
      <c r="O653" s="81"/>
      <c r="P653" s="81"/>
      <c r="Q653" s="81"/>
      <c r="R653" s="81"/>
      <c r="S653" s="81"/>
      <c r="T653" s="81"/>
      <c r="U653" s="81"/>
      <c r="V653" s="81"/>
      <c r="W653" s="81"/>
      <c r="X653" s="81"/>
      <c r="Y653" s="81"/>
      <c r="Z653" s="81"/>
    </row>
    <row r="654" spans="1:26" ht="12" customHeight="1">
      <c r="A654" s="79"/>
      <c r="B654" s="79"/>
      <c r="C654" s="81"/>
      <c r="D654" s="81"/>
      <c r="E654" s="81"/>
      <c r="F654" s="82"/>
      <c r="G654" s="83"/>
      <c r="H654" s="83"/>
      <c r="I654" s="81"/>
      <c r="J654" s="84"/>
      <c r="K654" s="84"/>
      <c r="L654" s="84"/>
      <c r="M654" s="81"/>
      <c r="N654" s="81"/>
      <c r="O654" s="81"/>
      <c r="P654" s="81"/>
      <c r="Q654" s="81"/>
      <c r="R654" s="81"/>
      <c r="S654" s="81"/>
      <c r="T654" s="81"/>
      <c r="U654" s="81"/>
      <c r="V654" s="81"/>
      <c r="W654" s="81"/>
      <c r="X654" s="81"/>
      <c r="Y654" s="81"/>
      <c r="Z654" s="81"/>
    </row>
    <row r="655" spans="1:26" ht="12" customHeight="1">
      <c r="A655" s="79"/>
      <c r="B655" s="79"/>
      <c r="C655" s="81"/>
      <c r="D655" s="81"/>
      <c r="E655" s="81"/>
      <c r="F655" s="82"/>
      <c r="G655" s="83"/>
      <c r="H655" s="83"/>
      <c r="I655" s="81"/>
      <c r="J655" s="84"/>
      <c r="K655" s="84"/>
      <c r="L655" s="84"/>
      <c r="M655" s="81"/>
      <c r="N655" s="81"/>
      <c r="O655" s="81"/>
      <c r="P655" s="81"/>
      <c r="Q655" s="81"/>
      <c r="R655" s="81"/>
      <c r="S655" s="81"/>
      <c r="T655" s="81"/>
      <c r="U655" s="81"/>
      <c r="V655" s="81"/>
      <c r="W655" s="81"/>
      <c r="X655" s="81"/>
      <c r="Y655" s="81"/>
      <c r="Z655" s="81"/>
    </row>
    <row r="656" spans="1:26" ht="12" customHeight="1">
      <c r="A656" s="79"/>
      <c r="B656" s="79"/>
      <c r="C656" s="81"/>
      <c r="D656" s="81"/>
      <c r="E656" s="81"/>
      <c r="F656" s="82"/>
      <c r="G656" s="83"/>
      <c r="H656" s="83"/>
      <c r="I656" s="81"/>
      <c r="J656" s="84"/>
      <c r="K656" s="84"/>
      <c r="L656" s="84"/>
      <c r="M656" s="81"/>
      <c r="N656" s="81"/>
      <c r="O656" s="81"/>
      <c r="P656" s="81"/>
      <c r="Q656" s="81"/>
      <c r="R656" s="81"/>
      <c r="S656" s="81"/>
      <c r="T656" s="81"/>
      <c r="U656" s="81"/>
      <c r="V656" s="81"/>
      <c r="W656" s="81"/>
      <c r="X656" s="81"/>
      <c r="Y656" s="81"/>
      <c r="Z656" s="81"/>
    </row>
    <row r="657" spans="1:26" ht="12" customHeight="1">
      <c r="A657" s="79"/>
      <c r="B657" s="79"/>
      <c r="C657" s="81"/>
      <c r="D657" s="81"/>
      <c r="E657" s="81"/>
      <c r="F657" s="82"/>
      <c r="G657" s="83"/>
      <c r="H657" s="83"/>
      <c r="I657" s="81"/>
      <c r="J657" s="84"/>
      <c r="K657" s="84"/>
      <c r="L657" s="84"/>
      <c r="M657" s="81"/>
      <c r="N657" s="81"/>
      <c r="O657" s="81"/>
      <c r="P657" s="81"/>
      <c r="Q657" s="81"/>
      <c r="R657" s="81"/>
      <c r="S657" s="81"/>
      <c r="T657" s="81"/>
      <c r="U657" s="81"/>
      <c r="V657" s="81"/>
      <c r="W657" s="81"/>
      <c r="X657" s="81"/>
      <c r="Y657" s="81"/>
      <c r="Z657" s="81"/>
    </row>
    <row r="658" spans="1:26" ht="12" customHeight="1">
      <c r="A658" s="79"/>
      <c r="B658" s="79"/>
      <c r="C658" s="81"/>
      <c r="D658" s="81"/>
      <c r="E658" s="81"/>
      <c r="F658" s="82"/>
      <c r="G658" s="83"/>
      <c r="H658" s="83"/>
      <c r="I658" s="81"/>
      <c r="J658" s="84"/>
      <c r="K658" s="84"/>
      <c r="L658" s="84"/>
      <c r="M658" s="81"/>
      <c r="N658" s="81"/>
      <c r="O658" s="81"/>
      <c r="P658" s="81"/>
      <c r="Q658" s="81"/>
      <c r="R658" s="81"/>
      <c r="S658" s="81"/>
      <c r="T658" s="81"/>
      <c r="U658" s="81"/>
      <c r="V658" s="81"/>
      <c r="W658" s="81"/>
      <c r="X658" s="81"/>
      <c r="Y658" s="81"/>
      <c r="Z658" s="81"/>
    </row>
    <row r="659" spans="1:26" ht="12" customHeight="1">
      <c r="A659" s="79"/>
      <c r="B659" s="79"/>
      <c r="C659" s="81"/>
      <c r="D659" s="81"/>
      <c r="E659" s="81"/>
      <c r="F659" s="82"/>
      <c r="G659" s="83"/>
      <c r="H659" s="83"/>
      <c r="I659" s="81"/>
      <c r="J659" s="84"/>
      <c r="K659" s="84"/>
      <c r="L659" s="84"/>
      <c r="M659" s="81"/>
      <c r="N659" s="81"/>
      <c r="O659" s="81"/>
      <c r="P659" s="81"/>
      <c r="Q659" s="81"/>
      <c r="R659" s="81"/>
      <c r="S659" s="81"/>
      <c r="T659" s="81"/>
      <c r="U659" s="81"/>
      <c r="V659" s="81"/>
      <c r="W659" s="81"/>
      <c r="X659" s="81"/>
      <c r="Y659" s="81"/>
      <c r="Z659" s="81"/>
    </row>
    <row r="660" spans="1:26" ht="12" customHeight="1">
      <c r="A660" s="79"/>
      <c r="B660" s="79"/>
      <c r="C660" s="81"/>
      <c r="D660" s="81"/>
      <c r="E660" s="81"/>
      <c r="F660" s="82"/>
      <c r="G660" s="83"/>
      <c r="H660" s="83"/>
      <c r="I660" s="81"/>
      <c r="J660" s="84"/>
      <c r="K660" s="84"/>
      <c r="L660" s="84"/>
      <c r="M660" s="81"/>
      <c r="N660" s="81"/>
      <c r="O660" s="81"/>
      <c r="P660" s="81"/>
      <c r="Q660" s="81"/>
      <c r="R660" s="81"/>
      <c r="S660" s="81"/>
      <c r="T660" s="81"/>
      <c r="U660" s="81"/>
      <c r="V660" s="81"/>
      <c r="W660" s="81"/>
      <c r="X660" s="81"/>
      <c r="Y660" s="81"/>
      <c r="Z660" s="81"/>
    </row>
    <row r="661" spans="1:26" ht="12" customHeight="1">
      <c r="A661" s="79"/>
      <c r="B661" s="79"/>
      <c r="C661" s="81"/>
      <c r="D661" s="81"/>
      <c r="E661" s="81"/>
      <c r="F661" s="82"/>
      <c r="G661" s="83"/>
      <c r="H661" s="83"/>
      <c r="I661" s="81"/>
      <c r="J661" s="84"/>
      <c r="K661" s="84"/>
      <c r="L661" s="84"/>
      <c r="M661" s="81"/>
      <c r="N661" s="81"/>
      <c r="O661" s="81"/>
      <c r="P661" s="81"/>
      <c r="Q661" s="81"/>
      <c r="R661" s="81"/>
      <c r="S661" s="81"/>
      <c r="T661" s="81"/>
      <c r="U661" s="81"/>
      <c r="V661" s="81"/>
      <c r="W661" s="81"/>
      <c r="X661" s="81"/>
      <c r="Y661" s="81"/>
      <c r="Z661" s="81"/>
    </row>
    <row r="662" spans="1:26" ht="12" customHeight="1">
      <c r="A662" s="79"/>
      <c r="B662" s="79"/>
      <c r="C662" s="81"/>
      <c r="D662" s="81"/>
      <c r="E662" s="81"/>
      <c r="F662" s="82"/>
      <c r="G662" s="83"/>
      <c r="H662" s="83"/>
      <c r="I662" s="81"/>
      <c r="J662" s="84"/>
      <c r="K662" s="84"/>
      <c r="L662" s="84"/>
      <c r="M662" s="81"/>
      <c r="N662" s="81"/>
      <c r="O662" s="81"/>
      <c r="P662" s="81"/>
      <c r="Q662" s="81"/>
      <c r="R662" s="81"/>
      <c r="S662" s="81"/>
      <c r="T662" s="81"/>
      <c r="U662" s="81"/>
      <c r="V662" s="81"/>
      <c r="W662" s="81"/>
      <c r="X662" s="81"/>
      <c r="Y662" s="81"/>
      <c r="Z662" s="81"/>
    </row>
    <row r="663" spans="1:26" ht="12" customHeight="1">
      <c r="A663" s="79"/>
      <c r="B663" s="79"/>
      <c r="C663" s="81"/>
      <c r="D663" s="81"/>
      <c r="E663" s="81"/>
      <c r="F663" s="82"/>
      <c r="G663" s="83"/>
      <c r="H663" s="83"/>
      <c r="I663" s="81"/>
      <c r="J663" s="84"/>
      <c r="K663" s="84"/>
      <c r="L663" s="84"/>
      <c r="M663" s="81"/>
      <c r="N663" s="81"/>
      <c r="O663" s="81"/>
      <c r="P663" s="81"/>
      <c r="Q663" s="81"/>
      <c r="R663" s="81"/>
      <c r="S663" s="81"/>
      <c r="T663" s="81"/>
      <c r="U663" s="81"/>
      <c r="V663" s="81"/>
      <c r="W663" s="81"/>
      <c r="X663" s="81"/>
      <c r="Y663" s="81"/>
      <c r="Z663" s="81"/>
    </row>
    <row r="664" spans="1:26" ht="12" customHeight="1">
      <c r="A664" s="79"/>
      <c r="B664" s="79"/>
      <c r="C664" s="81"/>
      <c r="D664" s="81"/>
      <c r="E664" s="81"/>
      <c r="F664" s="82"/>
      <c r="G664" s="83"/>
      <c r="H664" s="83"/>
      <c r="I664" s="81"/>
      <c r="J664" s="84"/>
      <c r="K664" s="84"/>
      <c r="L664" s="84"/>
      <c r="M664" s="81"/>
      <c r="N664" s="81"/>
      <c r="O664" s="81"/>
      <c r="P664" s="81"/>
      <c r="Q664" s="81"/>
      <c r="R664" s="81"/>
      <c r="S664" s="81"/>
      <c r="T664" s="81"/>
      <c r="U664" s="81"/>
      <c r="V664" s="81"/>
      <c r="W664" s="81"/>
      <c r="X664" s="81"/>
      <c r="Y664" s="81"/>
      <c r="Z664" s="81"/>
    </row>
    <row r="665" spans="1:26" ht="12" customHeight="1">
      <c r="A665" s="79"/>
      <c r="B665" s="79"/>
      <c r="C665" s="81"/>
      <c r="D665" s="81"/>
      <c r="E665" s="81"/>
      <c r="F665" s="82"/>
      <c r="G665" s="83"/>
      <c r="H665" s="83"/>
      <c r="I665" s="81"/>
      <c r="J665" s="84"/>
      <c r="K665" s="84"/>
      <c r="L665" s="84"/>
      <c r="M665" s="81"/>
      <c r="N665" s="81"/>
      <c r="O665" s="81"/>
      <c r="P665" s="81"/>
      <c r="Q665" s="81"/>
      <c r="R665" s="81"/>
      <c r="S665" s="81"/>
      <c r="T665" s="81"/>
      <c r="U665" s="81"/>
      <c r="V665" s="81"/>
      <c r="W665" s="81"/>
      <c r="X665" s="81"/>
      <c r="Y665" s="81"/>
      <c r="Z665" s="81"/>
    </row>
    <row r="666" spans="1:26" ht="12" customHeight="1">
      <c r="A666" s="79"/>
      <c r="B666" s="79"/>
      <c r="C666" s="81"/>
      <c r="D666" s="81"/>
      <c r="E666" s="81"/>
      <c r="F666" s="82"/>
      <c r="G666" s="83"/>
      <c r="H666" s="83"/>
      <c r="I666" s="81"/>
      <c r="J666" s="84"/>
      <c r="K666" s="84"/>
      <c r="L666" s="84"/>
      <c r="M666" s="81"/>
      <c r="N666" s="81"/>
      <c r="O666" s="81"/>
      <c r="P666" s="81"/>
      <c r="Q666" s="81"/>
      <c r="R666" s="81"/>
      <c r="S666" s="81"/>
      <c r="T666" s="81"/>
      <c r="U666" s="81"/>
      <c r="V666" s="81"/>
      <c r="W666" s="81"/>
      <c r="X666" s="81"/>
      <c r="Y666" s="81"/>
      <c r="Z666" s="81"/>
    </row>
    <row r="667" spans="1:26" ht="12" customHeight="1">
      <c r="A667" s="79"/>
      <c r="B667" s="79"/>
      <c r="C667" s="81"/>
      <c r="D667" s="81"/>
      <c r="E667" s="81"/>
      <c r="F667" s="82"/>
      <c r="G667" s="83"/>
      <c r="H667" s="83"/>
      <c r="I667" s="81"/>
      <c r="J667" s="84"/>
      <c r="K667" s="84"/>
      <c r="L667" s="84"/>
      <c r="M667" s="81"/>
      <c r="N667" s="81"/>
      <c r="O667" s="81"/>
      <c r="P667" s="81"/>
      <c r="Q667" s="81"/>
      <c r="R667" s="81"/>
      <c r="S667" s="81"/>
      <c r="T667" s="81"/>
      <c r="U667" s="81"/>
      <c r="V667" s="81"/>
      <c r="W667" s="81"/>
      <c r="X667" s="81"/>
      <c r="Y667" s="81"/>
      <c r="Z667" s="81"/>
    </row>
    <row r="668" spans="1:26" ht="12" customHeight="1">
      <c r="A668" s="79"/>
      <c r="B668" s="79"/>
      <c r="C668" s="81"/>
      <c r="D668" s="81"/>
      <c r="E668" s="81"/>
      <c r="F668" s="82"/>
      <c r="G668" s="83"/>
      <c r="H668" s="83"/>
      <c r="I668" s="81"/>
      <c r="J668" s="84"/>
      <c r="K668" s="84"/>
      <c r="L668" s="84"/>
      <c r="M668" s="81"/>
      <c r="N668" s="81"/>
      <c r="O668" s="81"/>
      <c r="P668" s="81"/>
      <c r="Q668" s="81"/>
      <c r="R668" s="81"/>
      <c r="S668" s="81"/>
      <c r="T668" s="81"/>
      <c r="U668" s="81"/>
      <c r="V668" s="81"/>
      <c r="W668" s="81"/>
      <c r="X668" s="81"/>
      <c r="Y668" s="81"/>
      <c r="Z668" s="81"/>
    </row>
    <row r="669" spans="1:26" ht="12" customHeight="1">
      <c r="A669" s="79"/>
      <c r="B669" s="79"/>
      <c r="C669" s="81"/>
      <c r="D669" s="81"/>
      <c r="E669" s="81"/>
      <c r="F669" s="82"/>
      <c r="G669" s="83"/>
      <c r="H669" s="83"/>
      <c r="I669" s="81"/>
      <c r="J669" s="84"/>
      <c r="K669" s="84"/>
      <c r="L669" s="84"/>
      <c r="M669" s="81"/>
      <c r="N669" s="81"/>
      <c r="O669" s="81"/>
      <c r="P669" s="81"/>
      <c r="Q669" s="81"/>
      <c r="R669" s="81"/>
      <c r="S669" s="81"/>
      <c r="T669" s="81"/>
      <c r="U669" s="81"/>
      <c r="V669" s="81"/>
      <c r="W669" s="81"/>
      <c r="X669" s="81"/>
      <c r="Y669" s="81"/>
      <c r="Z669" s="81"/>
    </row>
    <row r="670" spans="1:26" ht="12" customHeight="1">
      <c r="A670" s="79"/>
      <c r="B670" s="79"/>
      <c r="C670" s="81"/>
      <c r="D670" s="81"/>
      <c r="E670" s="81"/>
      <c r="F670" s="82"/>
      <c r="G670" s="83"/>
      <c r="H670" s="83"/>
      <c r="I670" s="81"/>
      <c r="J670" s="84"/>
      <c r="K670" s="84"/>
      <c r="L670" s="84"/>
      <c r="M670" s="81"/>
      <c r="N670" s="81"/>
      <c r="O670" s="81"/>
      <c r="P670" s="81"/>
      <c r="Q670" s="81"/>
      <c r="R670" s="81"/>
      <c r="S670" s="81"/>
      <c r="T670" s="81"/>
      <c r="U670" s="81"/>
      <c r="V670" s="81"/>
      <c r="W670" s="81"/>
      <c r="X670" s="81"/>
      <c r="Y670" s="81"/>
      <c r="Z670" s="81"/>
    </row>
    <row r="671" spans="1:26" ht="12" customHeight="1">
      <c r="A671" s="79"/>
      <c r="B671" s="79"/>
      <c r="C671" s="81"/>
      <c r="D671" s="81"/>
      <c r="E671" s="81"/>
      <c r="F671" s="82"/>
      <c r="G671" s="83"/>
      <c r="H671" s="83"/>
      <c r="I671" s="81"/>
      <c r="J671" s="84"/>
      <c r="K671" s="84"/>
      <c r="L671" s="84"/>
      <c r="M671" s="81"/>
      <c r="N671" s="81"/>
      <c r="O671" s="81"/>
      <c r="P671" s="81"/>
      <c r="Q671" s="81"/>
      <c r="R671" s="81"/>
      <c r="S671" s="81"/>
      <c r="T671" s="81"/>
      <c r="U671" s="81"/>
      <c r="V671" s="81"/>
      <c r="W671" s="81"/>
      <c r="X671" s="81"/>
      <c r="Y671" s="81"/>
      <c r="Z671" s="81"/>
    </row>
    <row r="672" spans="1:26" ht="12" customHeight="1">
      <c r="A672" s="79"/>
      <c r="B672" s="79"/>
      <c r="C672" s="81"/>
      <c r="D672" s="81"/>
      <c r="E672" s="81"/>
      <c r="F672" s="82"/>
      <c r="G672" s="83"/>
      <c r="H672" s="83"/>
      <c r="I672" s="81"/>
      <c r="J672" s="84"/>
      <c r="K672" s="84"/>
      <c r="L672" s="84"/>
      <c r="M672" s="81"/>
      <c r="N672" s="81"/>
      <c r="O672" s="81"/>
      <c r="P672" s="81"/>
      <c r="Q672" s="81"/>
      <c r="R672" s="81"/>
      <c r="S672" s="81"/>
      <c r="T672" s="81"/>
      <c r="U672" s="81"/>
      <c r="V672" s="81"/>
      <c r="W672" s="81"/>
      <c r="X672" s="81"/>
      <c r="Y672" s="81"/>
      <c r="Z672" s="81"/>
    </row>
    <row r="673" spans="1:26" ht="12" customHeight="1">
      <c r="A673" s="79"/>
      <c r="B673" s="79"/>
      <c r="C673" s="81"/>
      <c r="D673" s="81"/>
      <c r="E673" s="81"/>
      <c r="F673" s="82"/>
      <c r="G673" s="83"/>
      <c r="H673" s="83"/>
      <c r="I673" s="81"/>
      <c r="J673" s="84"/>
      <c r="K673" s="84"/>
      <c r="L673" s="84"/>
      <c r="M673" s="81"/>
      <c r="N673" s="81"/>
      <c r="O673" s="81"/>
      <c r="P673" s="81"/>
      <c r="Q673" s="81"/>
      <c r="R673" s="81"/>
      <c r="S673" s="81"/>
      <c r="T673" s="81"/>
      <c r="U673" s="81"/>
      <c r="V673" s="81"/>
      <c r="W673" s="81"/>
      <c r="X673" s="81"/>
      <c r="Y673" s="81"/>
      <c r="Z673" s="81"/>
    </row>
    <row r="674" spans="1:26" ht="12" customHeight="1">
      <c r="A674" s="79"/>
      <c r="B674" s="79"/>
      <c r="C674" s="81"/>
      <c r="D674" s="81"/>
      <c r="E674" s="81"/>
      <c r="F674" s="82"/>
      <c r="G674" s="83"/>
      <c r="H674" s="83"/>
      <c r="I674" s="81"/>
      <c r="J674" s="84"/>
      <c r="K674" s="84"/>
      <c r="L674" s="84"/>
      <c r="M674" s="81"/>
      <c r="N674" s="81"/>
      <c r="O674" s="81"/>
      <c r="P674" s="81"/>
      <c r="Q674" s="81"/>
      <c r="R674" s="81"/>
      <c r="S674" s="81"/>
      <c r="T674" s="81"/>
      <c r="U674" s="81"/>
      <c r="V674" s="81"/>
      <c r="W674" s="81"/>
      <c r="X674" s="81"/>
      <c r="Y674" s="81"/>
      <c r="Z674" s="81"/>
    </row>
    <row r="675" spans="1:26" ht="12" customHeight="1">
      <c r="A675" s="79"/>
      <c r="B675" s="79"/>
      <c r="C675" s="81"/>
      <c r="D675" s="81"/>
      <c r="E675" s="81"/>
      <c r="F675" s="82"/>
      <c r="G675" s="83"/>
      <c r="H675" s="83"/>
      <c r="I675" s="81"/>
      <c r="J675" s="84"/>
      <c r="K675" s="84"/>
      <c r="L675" s="84"/>
      <c r="M675" s="81"/>
      <c r="N675" s="81"/>
      <c r="O675" s="81"/>
      <c r="P675" s="81"/>
      <c r="Q675" s="81"/>
      <c r="R675" s="81"/>
      <c r="S675" s="81"/>
      <c r="T675" s="81"/>
      <c r="U675" s="81"/>
      <c r="V675" s="81"/>
      <c r="W675" s="81"/>
      <c r="X675" s="81"/>
      <c r="Y675" s="81"/>
      <c r="Z675" s="81"/>
    </row>
    <row r="676" spans="1:26" ht="12" customHeight="1">
      <c r="A676" s="79"/>
      <c r="B676" s="79"/>
      <c r="C676" s="81"/>
      <c r="D676" s="81"/>
      <c r="E676" s="81"/>
      <c r="F676" s="82"/>
      <c r="G676" s="83"/>
      <c r="H676" s="83"/>
      <c r="I676" s="81"/>
      <c r="J676" s="84"/>
      <c r="K676" s="84"/>
      <c r="L676" s="84"/>
      <c r="M676" s="81"/>
      <c r="N676" s="81"/>
      <c r="O676" s="81"/>
      <c r="P676" s="81"/>
      <c r="Q676" s="81"/>
      <c r="R676" s="81"/>
      <c r="S676" s="81"/>
      <c r="T676" s="81"/>
      <c r="U676" s="81"/>
      <c r="V676" s="81"/>
      <c r="W676" s="81"/>
      <c r="X676" s="81"/>
      <c r="Y676" s="81"/>
      <c r="Z676" s="81"/>
    </row>
    <row r="677" spans="1:26" ht="12" customHeight="1">
      <c r="A677" s="79"/>
      <c r="B677" s="79"/>
      <c r="C677" s="81"/>
      <c r="D677" s="81"/>
      <c r="E677" s="81"/>
      <c r="F677" s="82"/>
      <c r="G677" s="83"/>
      <c r="H677" s="83"/>
      <c r="I677" s="81"/>
      <c r="J677" s="84"/>
      <c r="K677" s="84"/>
      <c r="L677" s="84"/>
      <c r="M677" s="81"/>
      <c r="N677" s="81"/>
      <c r="O677" s="81"/>
      <c r="P677" s="81"/>
      <c r="Q677" s="81"/>
      <c r="R677" s="81"/>
      <c r="S677" s="81"/>
      <c r="T677" s="81"/>
      <c r="U677" s="81"/>
      <c r="V677" s="81"/>
      <c r="W677" s="81"/>
      <c r="X677" s="81"/>
      <c r="Y677" s="81"/>
      <c r="Z677" s="81"/>
    </row>
    <row r="678" spans="1:26" ht="12" customHeight="1">
      <c r="A678" s="79"/>
      <c r="B678" s="79"/>
      <c r="C678" s="81"/>
      <c r="D678" s="81"/>
      <c r="E678" s="81"/>
      <c r="F678" s="82"/>
      <c r="G678" s="83"/>
      <c r="H678" s="83"/>
      <c r="I678" s="81"/>
      <c r="J678" s="84"/>
      <c r="K678" s="84"/>
      <c r="L678" s="84"/>
      <c r="M678" s="81"/>
      <c r="N678" s="81"/>
      <c r="O678" s="81"/>
      <c r="P678" s="81"/>
      <c r="Q678" s="81"/>
      <c r="R678" s="81"/>
      <c r="S678" s="81"/>
      <c r="T678" s="81"/>
      <c r="U678" s="81"/>
      <c r="V678" s="81"/>
      <c r="W678" s="81"/>
      <c r="X678" s="81"/>
      <c r="Y678" s="81"/>
      <c r="Z678" s="81"/>
    </row>
    <row r="679" spans="1:26" ht="12" customHeight="1">
      <c r="A679" s="79"/>
      <c r="B679" s="79"/>
      <c r="C679" s="81"/>
      <c r="D679" s="81"/>
      <c r="E679" s="81"/>
      <c r="F679" s="82"/>
      <c r="G679" s="83"/>
      <c r="H679" s="83"/>
      <c r="I679" s="81"/>
      <c r="J679" s="84"/>
      <c r="K679" s="84"/>
      <c r="L679" s="84"/>
      <c r="M679" s="81"/>
      <c r="N679" s="81"/>
      <c r="O679" s="81"/>
      <c r="P679" s="81"/>
      <c r="Q679" s="81"/>
      <c r="R679" s="81"/>
      <c r="S679" s="81"/>
      <c r="T679" s="81"/>
      <c r="U679" s="81"/>
      <c r="V679" s="81"/>
      <c r="W679" s="81"/>
      <c r="X679" s="81"/>
      <c r="Y679" s="81"/>
      <c r="Z679" s="81"/>
    </row>
    <row r="680" spans="1:26" ht="12" customHeight="1">
      <c r="A680" s="79"/>
      <c r="B680" s="79"/>
      <c r="C680" s="81"/>
      <c r="D680" s="81"/>
      <c r="E680" s="81"/>
      <c r="F680" s="82"/>
      <c r="G680" s="83"/>
      <c r="H680" s="83"/>
      <c r="I680" s="81"/>
      <c r="J680" s="84"/>
      <c r="K680" s="84"/>
      <c r="L680" s="84"/>
      <c r="M680" s="81"/>
      <c r="N680" s="81"/>
      <c r="O680" s="81"/>
      <c r="P680" s="81"/>
      <c r="Q680" s="81"/>
      <c r="R680" s="81"/>
      <c r="S680" s="81"/>
      <c r="T680" s="81"/>
      <c r="U680" s="81"/>
      <c r="V680" s="81"/>
      <c r="W680" s="81"/>
      <c r="X680" s="81"/>
      <c r="Y680" s="81"/>
      <c r="Z680" s="81"/>
    </row>
    <row r="681" spans="1:26" ht="12" customHeight="1">
      <c r="A681" s="79"/>
      <c r="B681" s="79"/>
      <c r="C681" s="81"/>
      <c r="D681" s="81"/>
      <c r="E681" s="81"/>
      <c r="F681" s="82"/>
      <c r="G681" s="83"/>
      <c r="H681" s="83"/>
      <c r="I681" s="81"/>
      <c r="J681" s="84"/>
      <c r="K681" s="84"/>
      <c r="L681" s="84"/>
      <c r="M681" s="81"/>
      <c r="N681" s="81"/>
      <c r="O681" s="81"/>
      <c r="P681" s="81"/>
      <c r="Q681" s="81"/>
      <c r="R681" s="81"/>
      <c r="S681" s="81"/>
      <c r="T681" s="81"/>
      <c r="U681" s="81"/>
      <c r="V681" s="81"/>
      <c r="W681" s="81"/>
      <c r="X681" s="81"/>
      <c r="Y681" s="81"/>
      <c r="Z681" s="81"/>
    </row>
    <row r="682" spans="1:26" ht="12" customHeight="1">
      <c r="A682" s="79"/>
      <c r="B682" s="79"/>
      <c r="C682" s="81"/>
      <c r="D682" s="81"/>
      <c r="E682" s="81"/>
      <c r="F682" s="82"/>
      <c r="G682" s="83"/>
      <c r="H682" s="83"/>
      <c r="I682" s="81"/>
      <c r="J682" s="84"/>
      <c r="K682" s="84"/>
      <c r="L682" s="84"/>
      <c r="M682" s="81"/>
      <c r="N682" s="81"/>
      <c r="O682" s="81"/>
      <c r="P682" s="81"/>
      <c r="Q682" s="81"/>
      <c r="R682" s="81"/>
      <c r="S682" s="81"/>
      <c r="T682" s="81"/>
      <c r="U682" s="81"/>
      <c r="V682" s="81"/>
      <c r="W682" s="81"/>
      <c r="X682" s="81"/>
      <c r="Y682" s="81"/>
      <c r="Z682" s="81"/>
    </row>
    <row r="683" spans="1:26" ht="12" customHeight="1">
      <c r="A683" s="79"/>
      <c r="B683" s="79"/>
      <c r="C683" s="81"/>
      <c r="D683" s="81"/>
      <c r="E683" s="81"/>
      <c r="F683" s="82"/>
      <c r="G683" s="83"/>
      <c r="H683" s="83"/>
      <c r="I683" s="81"/>
      <c r="J683" s="84"/>
      <c r="K683" s="84"/>
      <c r="L683" s="84"/>
      <c r="M683" s="81"/>
      <c r="N683" s="81"/>
      <c r="O683" s="81"/>
      <c r="P683" s="81"/>
      <c r="Q683" s="81"/>
      <c r="R683" s="81"/>
      <c r="S683" s="81"/>
      <c r="T683" s="81"/>
      <c r="U683" s="81"/>
      <c r="V683" s="81"/>
      <c r="W683" s="81"/>
      <c r="X683" s="81"/>
      <c r="Y683" s="81"/>
      <c r="Z683" s="81"/>
    </row>
    <row r="684" spans="1:26" ht="12" customHeight="1">
      <c r="A684" s="79"/>
      <c r="B684" s="79"/>
      <c r="C684" s="81"/>
      <c r="D684" s="81"/>
      <c r="E684" s="81"/>
      <c r="F684" s="82"/>
      <c r="G684" s="83"/>
      <c r="H684" s="83"/>
      <c r="I684" s="81"/>
      <c r="J684" s="84"/>
      <c r="K684" s="84"/>
      <c r="L684" s="84"/>
      <c r="M684" s="81"/>
      <c r="N684" s="81"/>
      <c r="O684" s="81"/>
      <c r="P684" s="81"/>
      <c r="Q684" s="81"/>
      <c r="R684" s="81"/>
      <c r="S684" s="81"/>
      <c r="T684" s="81"/>
      <c r="U684" s="81"/>
      <c r="V684" s="81"/>
      <c r="W684" s="81"/>
      <c r="X684" s="81"/>
      <c r="Y684" s="81"/>
      <c r="Z684" s="81"/>
    </row>
    <row r="685" spans="1:26" ht="12" customHeight="1">
      <c r="A685" s="79"/>
      <c r="B685" s="79"/>
      <c r="C685" s="81"/>
      <c r="D685" s="81"/>
      <c r="E685" s="81"/>
      <c r="F685" s="82"/>
      <c r="G685" s="83"/>
      <c r="H685" s="83"/>
      <c r="I685" s="81"/>
      <c r="J685" s="84"/>
      <c r="K685" s="84"/>
      <c r="L685" s="84"/>
      <c r="M685" s="81"/>
      <c r="N685" s="81"/>
      <c r="O685" s="81"/>
      <c r="P685" s="81"/>
      <c r="Q685" s="81"/>
      <c r="R685" s="81"/>
      <c r="S685" s="81"/>
      <c r="T685" s="81"/>
      <c r="U685" s="81"/>
      <c r="V685" s="81"/>
      <c r="W685" s="81"/>
      <c r="X685" s="81"/>
      <c r="Y685" s="81"/>
      <c r="Z685" s="81"/>
    </row>
    <row r="686" spans="1:26" ht="12" customHeight="1">
      <c r="A686" s="79"/>
      <c r="B686" s="79"/>
      <c r="C686" s="81"/>
      <c r="D686" s="81"/>
      <c r="E686" s="81"/>
      <c r="F686" s="82"/>
      <c r="G686" s="83"/>
      <c r="H686" s="83"/>
      <c r="I686" s="81"/>
      <c r="J686" s="84"/>
      <c r="K686" s="84"/>
      <c r="L686" s="84"/>
      <c r="M686" s="81"/>
      <c r="N686" s="81"/>
      <c r="O686" s="81"/>
      <c r="P686" s="81"/>
      <c r="Q686" s="81"/>
      <c r="R686" s="81"/>
      <c r="S686" s="81"/>
      <c r="T686" s="81"/>
      <c r="U686" s="81"/>
      <c r="V686" s="81"/>
      <c r="W686" s="81"/>
      <c r="X686" s="81"/>
      <c r="Y686" s="81"/>
      <c r="Z686" s="81"/>
    </row>
    <row r="687" spans="1:26" ht="12" customHeight="1">
      <c r="A687" s="79"/>
      <c r="B687" s="79"/>
      <c r="C687" s="81"/>
      <c r="D687" s="81"/>
      <c r="E687" s="81"/>
      <c r="F687" s="82"/>
      <c r="G687" s="83"/>
      <c r="H687" s="83"/>
      <c r="I687" s="81"/>
      <c r="J687" s="84"/>
      <c r="K687" s="84"/>
      <c r="L687" s="84"/>
      <c r="M687" s="81"/>
      <c r="N687" s="81"/>
      <c r="O687" s="81"/>
      <c r="P687" s="81"/>
      <c r="Q687" s="81"/>
      <c r="R687" s="81"/>
      <c r="S687" s="81"/>
      <c r="T687" s="81"/>
      <c r="U687" s="81"/>
      <c r="V687" s="81"/>
      <c r="W687" s="81"/>
      <c r="X687" s="81"/>
      <c r="Y687" s="81"/>
      <c r="Z687" s="81"/>
    </row>
    <row r="688" spans="1:26" ht="12" customHeight="1">
      <c r="A688" s="79"/>
      <c r="B688" s="79"/>
      <c r="C688" s="81"/>
      <c r="D688" s="81"/>
      <c r="E688" s="81"/>
      <c r="F688" s="82"/>
      <c r="G688" s="83"/>
      <c r="H688" s="83"/>
      <c r="I688" s="81"/>
      <c r="J688" s="84"/>
      <c r="K688" s="84"/>
      <c r="L688" s="84"/>
      <c r="M688" s="81"/>
      <c r="N688" s="81"/>
      <c r="O688" s="81"/>
      <c r="P688" s="81"/>
      <c r="Q688" s="81"/>
      <c r="R688" s="81"/>
      <c r="S688" s="81"/>
      <c r="T688" s="81"/>
      <c r="U688" s="81"/>
      <c r="V688" s="81"/>
      <c r="W688" s="81"/>
      <c r="X688" s="81"/>
      <c r="Y688" s="81"/>
      <c r="Z688" s="81"/>
    </row>
    <row r="689" spans="1:26" ht="12" customHeight="1">
      <c r="A689" s="79"/>
      <c r="B689" s="79"/>
      <c r="C689" s="81"/>
      <c r="D689" s="81"/>
      <c r="E689" s="81"/>
      <c r="F689" s="82"/>
      <c r="G689" s="83"/>
      <c r="H689" s="83"/>
      <c r="I689" s="81"/>
      <c r="J689" s="84"/>
      <c r="K689" s="84"/>
      <c r="L689" s="84"/>
      <c r="M689" s="81"/>
      <c r="N689" s="81"/>
      <c r="O689" s="81"/>
      <c r="P689" s="81"/>
      <c r="Q689" s="81"/>
      <c r="R689" s="81"/>
      <c r="S689" s="81"/>
      <c r="T689" s="81"/>
      <c r="U689" s="81"/>
      <c r="V689" s="81"/>
      <c r="W689" s="81"/>
      <c r="X689" s="81"/>
      <c r="Y689" s="81"/>
      <c r="Z689" s="81"/>
    </row>
    <row r="690" spans="1:26" ht="12" customHeight="1">
      <c r="A690" s="79"/>
      <c r="B690" s="79"/>
      <c r="C690" s="81"/>
      <c r="D690" s="81"/>
      <c r="E690" s="81"/>
      <c r="F690" s="82"/>
      <c r="G690" s="83"/>
      <c r="H690" s="83"/>
      <c r="I690" s="81"/>
      <c r="J690" s="84"/>
      <c r="K690" s="84"/>
      <c r="L690" s="84"/>
      <c r="M690" s="81"/>
      <c r="N690" s="81"/>
      <c r="O690" s="81"/>
      <c r="P690" s="81"/>
      <c r="Q690" s="81"/>
      <c r="R690" s="81"/>
      <c r="S690" s="81"/>
      <c r="T690" s="81"/>
      <c r="U690" s="81"/>
      <c r="V690" s="81"/>
      <c r="W690" s="81"/>
      <c r="X690" s="81"/>
      <c r="Y690" s="81"/>
      <c r="Z690" s="81"/>
    </row>
    <row r="691" spans="1:26" ht="12" customHeight="1">
      <c r="A691" s="79"/>
      <c r="B691" s="79"/>
      <c r="C691" s="81"/>
      <c r="D691" s="81"/>
      <c r="E691" s="81"/>
      <c r="F691" s="82"/>
      <c r="G691" s="83"/>
      <c r="H691" s="83"/>
      <c r="I691" s="81"/>
      <c r="J691" s="84"/>
      <c r="K691" s="84"/>
      <c r="L691" s="84"/>
      <c r="M691" s="81"/>
      <c r="N691" s="81"/>
      <c r="O691" s="81"/>
      <c r="P691" s="81"/>
      <c r="Q691" s="81"/>
      <c r="R691" s="81"/>
      <c r="S691" s="81"/>
      <c r="T691" s="81"/>
      <c r="U691" s="81"/>
      <c r="V691" s="81"/>
      <c r="W691" s="81"/>
      <c r="X691" s="81"/>
      <c r="Y691" s="81"/>
      <c r="Z691" s="81"/>
    </row>
    <row r="692" spans="1:26" ht="12" customHeight="1">
      <c r="A692" s="79"/>
      <c r="B692" s="79"/>
      <c r="C692" s="81"/>
      <c r="D692" s="81"/>
      <c r="E692" s="81"/>
      <c r="F692" s="82"/>
      <c r="G692" s="83"/>
      <c r="H692" s="83"/>
      <c r="I692" s="81"/>
      <c r="J692" s="84"/>
      <c r="K692" s="84"/>
      <c r="L692" s="84"/>
      <c r="M692" s="81"/>
      <c r="N692" s="81"/>
      <c r="O692" s="81"/>
      <c r="P692" s="81"/>
      <c r="Q692" s="81"/>
      <c r="R692" s="81"/>
      <c r="S692" s="81"/>
      <c r="T692" s="81"/>
      <c r="U692" s="81"/>
      <c r="V692" s="81"/>
      <c r="W692" s="81"/>
      <c r="X692" s="81"/>
      <c r="Y692" s="81"/>
      <c r="Z692" s="81"/>
    </row>
    <row r="693" spans="1:26" ht="12" customHeight="1">
      <c r="A693" s="79"/>
      <c r="B693" s="79"/>
      <c r="C693" s="81"/>
      <c r="D693" s="81"/>
      <c r="E693" s="81"/>
      <c r="F693" s="82"/>
      <c r="G693" s="83"/>
      <c r="H693" s="83"/>
      <c r="I693" s="81"/>
      <c r="J693" s="84"/>
      <c r="K693" s="84"/>
      <c r="L693" s="84"/>
      <c r="M693" s="81"/>
      <c r="N693" s="81"/>
      <c r="O693" s="81"/>
      <c r="P693" s="81"/>
      <c r="Q693" s="81"/>
      <c r="R693" s="81"/>
      <c r="S693" s="81"/>
      <c r="T693" s="81"/>
      <c r="U693" s="81"/>
      <c r="V693" s="81"/>
      <c r="W693" s="81"/>
      <c r="X693" s="81"/>
      <c r="Y693" s="81"/>
      <c r="Z693" s="81"/>
    </row>
    <row r="694" spans="1:26" ht="12" customHeight="1">
      <c r="A694" s="79"/>
      <c r="B694" s="79"/>
      <c r="C694" s="81"/>
      <c r="D694" s="81"/>
      <c r="E694" s="81"/>
      <c r="F694" s="82"/>
      <c r="G694" s="83"/>
      <c r="H694" s="83"/>
      <c r="I694" s="81"/>
      <c r="J694" s="84"/>
      <c r="K694" s="84"/>
      <c r="L694" s="84"/>
      <c r="M694" s="81"/>
      <c r="N694" s="81"/>
      <c r="O694" s="81"/>
      <c r="P694" s="81"/>
      <c r="Q694" s="81"/>
      <c r="R694" s="81"/>
      <c r="S694" s="81"/>
      <c r="T694" s="81"/>
      <c r="U694" s="81"/>
      <c r="V694" s="81"/>
      <c r="W694" s="81"/>
      <c r="X694" s="81"/>
      <c r="Y694" s="81"/>
      <c r="Z694" s="81"/>
    </row>
    <row r="695" spans="1:26" ht="12" customHeight="1">
      <c r="A695" s="79"/>
      <c r="B695" s="79"/>
      <c r="C695" s="81"/>
      <c r="D695" s="81"/>
      <c r="E695" s="81"/>
      <c r="F695" s="82"/>
      <c r="G695" s="83"/>
      <c r="H695" s="83"/>
      <c r="I695" s="81"/>
      <c r="J695" s="84"/>
      <c r="K695" s="84"/>
      <c r="L695" s="84"/>
      <c r="M695" s="81"/>
      <c r="N695" s="81"/>
      <c r="O695" s="81"/>
      <c r="P695" s="81"/>
      <c r="Q695" s="81"/>
      <c r="R695" s="81"/>
      <c r="S695" s="81"/>
      <c r="T695" s="81"/>
      <c r="U695" s="81"/>
      <c r="V695" s="81"/>
      <c r="W695" s="81"/>
      <c r="X695" s="81"/>
      <c r="Y695" s="81"/>
      <c r="Z695" s="81"/>
    </row>
    <row r="696" spans="1:26" ht="12" customHeight="1">
      <c r="A696" s="79"/>
      <c r="B696" s="79"/>
      <c r="C696" s="81"/>
      <c r="D696" s="81"/>
      <c r="E696" s="81"/>
      <c r="F696" s="82"/>
      <c r="G696" s="83"/>
      <c r="H696" s="83"/>
      <c r="I696" s="81"/>
      <c r="J696" s="84"/>
      <c r="K696" s="84"/>
      <c r="L696" s="84"/>
      <c r="M696" s="81"/>
      <c r="N696" s="81"/>
      <c r="O696" s="81"/>
      <c r="P696" s="81"/>
      <c r="Q696" s="81"/>
      <c r="R696" s="81"/>
      <c r="S696" s="81"/>
      <c r="T696" s="81"/>
      <c r="U696" s="81"/>
      <c r="V696" s="81"/>
      <c r="W696" s="81"/>
      <c r="X696" s="81"/>
      <c r="Y696" s="81"/>
      <c r="Z696" s="81"/>
    </row>
    <row r="697" spans="1:26" ht="12" customHeight="1">
      <c r="A697" s="79"/>
      <c r="B697" s="79"/>
      <c r="C697" s="81"/>
      <c r="D697" s="81"/>
      <c r="E697" s="81"/>
      <c r="F697" s="82"/>
      <c r="G697" s="83"/>
      <c r="H697" s="83"/>
      <c r="I697" s="81"/>
      <c r="J697" s="84"/>
      <c r="K697" s="84"/>
      <c r="L697" s="84"/>
      <c r="M697" s="81"/>
      <c r="N697" s="81"/>
      <c r="O697" s="81"/>
      <c r="P697" s="81"/>
      <c r="Q697" s="81"/>
      <c r="R697" s="81"/>
      <c r="S697" s="81"/>
      <c r="T697" s="81"/>
      <c r="U697" s="81"/>
      <c r="V697" s="81"/>
      <c r="W697" s="81"/>
      <c r="X697" s="81"/>
      <c r="Y697" s="81"/>
      <c r="Z697" s="81"/>
    </row>
    <row r="698" spans="1:26" ht="12" customHeight="1">
      <c r="A698" s="79"/>
      <c r="B698" s="79"/>
      <c r="C698" s="81"/>
      <c r="D698" s="81"/>
      <c r="E698" s="81"/>
      <c r="F698" s="82"/>
      <c r="G698" s="83"/>
      <c r="H698" s="83"/>
      <c r="I698" s="81"/>
      <c r="J698" s="84"/>
      <c r="K698" s="84"/>
      <c r="L698" s="84"/>
      <c r="M698" s="81"/>
      <c r="N698" s="81"/>
      <c r="O698" s="81"/>
      <c r="P698" s="81"/>
      <c r="Q698" s="81"/>
      <c r="R698" s="81"/>
      <c r="S698" s="81"/>
      <c r="T698" s="81"/>
      <c r="U698" s="81"/>
      <c r="V698" s="81"/>
      <c r="W698" s="81"/>
      <c r="X698" s="81"/>
      <c r="Y698" s="81"/>
      <c r="Z698" s="81"/>
    </row>
    <row r="699" spans="1:26" ht="12" customHeight="1">
      <c r="A699" s="79"/>
      <c r="B699" s="79"/>
      <c r="C699" s="81"/>
      <c r="D699" s="81"/>
      <c r="E699" s="81"/>
      <c r="F699" s="82"/>
      <c r="G699" s="83"/>
      <c r="H699" s="83"/>
      <c r="I699" s="81"/>
      <c r="J699" s="84"/>
      <c r="K699" s="84"/>
      <c r="L699" s="84"/>
      <c r="M699" s="81"/>
      <c r="N699" s="81"/>
      <c r="O699" s="81"/>
      <c r="P699" s="81"/>
      <c r="Q699" s="81"/>
      <c r="R699" s="81"/>
      <c r="S699" s="81"/>
      <c r="T699" s="81"/>
      <c r="U699" s="81"/>
      <c r="V699" s="81"/>
      <c r="W699" s="81"/>
      <c r="X699" s="81"/>
      <c r="Y699" s="81"/>
      <c r="Z699" s="81"/>
    </row>
    <row r="700" spans="1:26" ht="12" customHeight="1">
      <c r="A700" s="79"/>
      <c r="B700" s="79"/>
      <c r="C700" s="81"/>
      <c r="D700" s="81"/>
      <c r="E700" s="81"/>
      <c r="F700" s="82"/>
      <c r="G700" s="83"/>
      <c r="H700" s="83"/>
      <c r="I700" s="81"/>
      <c r="J700" s="84"/>
      <c r="K700" s="84"/>
      <c r="L700" s="84"/>
      <c r="M700" s="81"/>
      <c r="N700" s="81"/>
      <c r="O700" s="81"/>
      <c r="P700" s="81"/>
      <c r="Q700" s="81"/>
      <c r="R700" s="81"/>
      <c r="S700" s="81"/>
      <c r="T700" s="81"/>
      <c r="U700" s="81"/>
      <c r="V700" s="81"/>
      <c r="W700" s="81"/>
      <c r="X700" s="81"/>
      <c r="Y700" s="81"/>
      <c r="Z700" s="81"/>
    </row>
    <row r="701" spans="1:26" ht="12" customHeight="1">
      <c r="A701" s="79"/>
      <c r="B701" s="79"/>
      <c r="C701" s="81"/>
      <c r="D701" s="81"/>
      <c r="E701" s="81"/>
      <c r="F701" s="82"/>
      <c r="G701" s="83"/>
      <c r="H701" s="83"/>
      <c r="I701" s="81"/>
      <c r="J701" s="84"/>
      <c r="K701" s="84"/>
      <c r="L701" s="84"/>
      <c r="M701" s="81"/>
      <c r="N701" s="81"/>
      <c r="O701" s="81"/>
      <c r="P701" s="81"/>
      <c r="Q701" s="81"/>
      <c r="R701" s="81"/>
      <c r="S701" s="81"/>
      <c r="T701" s="81"/>
      <c r="U701" s="81"/>
      <c r="V701" s="81"/>
      <c r="W701" s="81"/>
      <c r="X701" s="81"/>
      <c r="Y701" s="81"/>
      <c r="Z701" s="81"/>
    </row>
    <row r="702" spans="1:26" ht="12" customHeight="1">
      <c r="A702" s="79"/>
      <c r="B702" s="79"/>
      <c r="C702" s="81"/>
      <c r="D702" s="81"/>
      <c r="E702" s="81"/>
      <c r="F702" s="82"/>
      <c r="G702" s="83"/>
      <c r="H702" s="83"/>
      <c r="I702" s="81"/>
      <c r="J702" s="84"/>
      <c r="K702" s="84"/>
      <c r="L702" s="84"/>
      <c r="M702" s="81"/>
      <c r="N702" s="81"/>
      <c r="O702" s="81"/>
      <c r="P702" s="81"/>
      <c r="Q702" s="81"/>
      <c r="R702" s="81"/>
      <c r="S702" s="81"/>
      <c r="T702" s="81"/>
      <c r="U702" s="81"/>
      <c r="V702" s="81"/>
      <c r="W702" s="81"/>
      <c r="X702" s="81"/>
      <c r="Y702" s="81"/>
      <c r="Z702" s="81"/>
    </row>
    <row r="703" spans="1:26" ht="12" customHeight="1">
      <c r="A703" s="79"/>
      <c r="B703" s="79"/>
      <c r="C703" s="81"/>
      <c r="D703" s="81"/>
      <c r="E703" s="81"/>
      <c r="F703" s="82"/>
      <c r="G703" s="83"/>
      <c r="H703" s="83"/>
      <c r="I703" s="81"/>
      <c r="J703" s="84"/>
      <c r="K703" s="84"/>
      <c r="L703" s="84"/>
      <c r="M703" s="81"/>
      <c r="N703" s="81"/>
      <c r="O703" s="81"/>
      <c r="P703" s="81"/>
      <c r="Q703" s="81"/>
      <c r="R703" s="81"/>
      <c r="S703" s="81"/>
      <c r="T703" s="81"/>
      <c r="U703" s="81"/>
      <c r="V703" s="81"/>
      <c r="W703" s="81"/>
      <c r="X703" s="81"/>
      <c r="Y703" s="81"/>
      <c r="Z703" s="81"/>
    </row>
    <row r="704" spans="1:26" ht="12" customHeight="1">
      <c r="A704" s="79"/>
      <c r="B704" s="79"/>
      <c r="C704" s="81"/>
      <c r="D704" s="81"/>
      <c r="E704" s="81"/>
      <c r="F704" s="82"/>
      <c r="G704" s="83"/>
      <c r="H704" s="83"/>
      <c r="I704" s="81"/>
      <c r="J704" s="84"/>
      <c r="K704" s="84"/>
      <c r="L704" s="84"/>
      <c r="M704" s="81"/>
      <c r="N704" s="81"/>
      <c r="O704" s="81"/>
      <c r="P704" s="81"/>
      <c r="Q704" s="81"/>
      <c r="R704" s="81"/>
      <c r="S704" s="81"/>
      <c r="T704" s="81"/>
      <c r="U704" s="81"/>
      <c r="V704" s="81"/>
      <c r="W704" s="81"/>
      <c r="X704" s="81"/>
      <c r="Y704" s="81"/>
      <c r="Z704" s="81"/>
    </row>
    <row r="705" spans="1:26" ht="12" customHeight="1">
      <c r="A705" s="79"/>
      <c r="B705" s="79"/>
      <c r="C705" s="81"/>
      <c r="D705" s="81"/>
      <c r="E705" s="81"/>
      <c r="F705" s="82"/>
      <c r="G705" s="83"/>
      <c r="H705" s="83"/>
      <c r="I705" s="81"/>
      <c r="J705" s="84"/>
      <c r="K705" s="84"/>
      <c r="L705" s="84"/>
      <c r="M705" s="81"/>
      <c r="N705" s="81"/>
      <c r="O705" s="81"/>
      <c r="P705" s="81"/>
      <c r="Q705" s="81"/>
      <c r="R705" s="81"/>
      <c r="S705" s="81"/>
      <c r="T705" s="81"/>
      <c r="U705" s="81"/>
      <c r="V705" s="81"/>
      <c r="W705" s="81"/>
      <c r="X705" s="81"/>
      <c r="Y705" s="81"/>
      <c r="Z705" s="81"/>
    </row>
    <row r="706" spans="1:26" ht="12" customHeight="1">
      <c r="A706" s="79"/>
      <c r="B706" s="79"/>
      <c r="C706" s="81"/>
      <c r="D706" s="81"/>
      <c r="E706" s="81"/>
      <c r="F706" s="82"/>
      <c r="G706" s="83"/>
      <c r="H706" s="83"/>
      <c r="I706" s="81"/>
      <c r="J706" s="84"/>
      <c r="K706" s="84"/>
      <c r="L706" s="84"/>
      <c r="M706" s="81"/>
      <c r="N706" s="81"/>
      <c r="O706" s="81"/>
      <c r="P706" s="81"/>
      <c r="Q706" s="81"/>
      <c r="R706" s="81"/>
      <c r="S706" s="81"/>
      <c r="T706" s="81"/>
      <c r="U706" s="81"/>
      <c r="V706" s="81"/>
      <c r="W706" s="81"/>
      <c r="X706" s="81"/>
      <c r="Y706" s="81"/>
      <c r="Z706" s="81"/>
    </row>
    <row r="707" spans="1:26" ht="12" customHeight="1">
      <c r="A707" s="79"/>
      <c r="B707" s="79"/>
      <c r="C707" s="81"/>
      <c r="D707" s="81"/>
      <c r="E707" s="81"/>
      <c r="F707" s="82"/>
      <c r="G707" s="83"/>
      <c r="H707" s="83"/>
      <c r="I707" s="81"/>
      <c r="J707" s="84"/>
      <c r="K707" s="84"/>
      <c r="L707" s="84"/>
      <c r="M707" s="81"/>
      <c r="N707" s="81"/>
      <c r="O707" s="81"/>
      <c r="P707" s="81"/>
      <c r="Q707" s="81"/>
      <c r="R707" s="81"/>
      <c r="S707" s="81"/>
      <c r="T707" s="81"/>
      <c r="U707" s="81"/>
      <c r="V707" s="81"/>
      <c r="W707" s="81"/>
      <c r="X707" s="81"/>
      <c r="Y707" s="81"/>
      <c r="Z707" s="81"/>
    </row>
    <row r="708" spans="1:26" ht="12" customHeight="1">
      <c r="A708" s="79"/>
      <c r="B708" s="79"/>
      <c r="C708" s="81"/>
      <c r="D708" s="81"/>
      <c r="E708" s="81"/>
      <c r="F708" s="82"/>
      <c r="G708" s="83"/>
      <c r="H708" s="83"/>
      <c r="I708" s="81"/>
      <c r="J708" s="84"/>
      <c r="K708" s="84"/>
      <c r="L708" s="84"/>
      <c r="M708" s="81"/>
      <c r="N708" s="81"/>
      <c r="O708" s="81"/>
      <c r="P708" s="81"/>
      <c r="Q708" s="81"/>
      <c r="R708" s="81"/>
      <c r="S708" s="81"/>
      <c r="T708" s="81"/>
      <c r="U708" s="81"/>
      <c r="V708" s="81"/>
      <c r="W708" s="81"/>
      <c r="X708" s="81"/>
      <c r="Y708" s="81"/>
      <c r="Z708" s="81"/>
    </row>
    <row r="709" spans="1:26" ht="12" customHeight="1">
      <c r="A709" s="79"/>
      <c r="B709" s="79"/>
      <c r="C709" s="81"/>
      <c r="D709" s="81"/>
      <c r="E709" s="81"/>
      <c r="F709" s="82"/>
      <c r="G709" s="83"/>
      <c r="H709" s="83"/>
      <c r="I709" s="81"/>
      <c r="J709" s="84"/>
      <c r="K709" s="84"/>
      <c r="L709" s="84"/>
      <c r="M709" s="81"/>
      <c r="N709" s="81"/>
      <c r="O709" s="81"/>
      <c r="P709" s="81"/>
      <c r="Q709" s="81"/>
      <c r="R709" s="81"/>
      <c r="S709" s="81"/>
      <c r="T709" s="81"/>
      <c r="U709" s="81"/>
      <c r="V709" s="81"/>
      <c r="W709" s="81"/>
      <c r="X709" s="81"/>
      <c r="Y709" s="81"/>
      <c r="Z709" s="81"/>
    </row>
    <row r="710" spans="1:26" ht="12" customHeight="1">
      <c r="A710" s="79"/>
      <c r="B710" s="79"/>
      <c r="C710" s="81"/>
      <c r="D710" s="81"/>
      <c r="E710" s="81"/>
      <c r="F710" s="82"/>
      <c r="G710" s="83"/>
      <c r="H710" s="83"/>
      <c r="I710" s="81"/>
      <c r="J710" s="84"/>
      <c r="K710" s="84"/>
      <c r="L710" s="84"/>
      <c r="M710" s="81"/>
      <c r="N710" s="81"/>
      <c r="O710" s="81"/>
      <c r="P710" s="81"/>
      <c r="Q710" s="81"/>
      <c r="R710" s="81"/>
      <c r="S710" s="81"/>
      <c r="T710" s="81"/>
      <c r="U710" s="81"/>
      <c r="V710" s="81"/>
      <c r="W710" s="81"/>
      <c r="X710" s="81"/>
      <c r="Y710" s="81"/>
      <c r="Z710" s="81"/>
    </row>
    <row r="711" spans="1:26" ht="12" customHeight="1">
      <c r="A711" s="79"/>
      <c r="B711" s="79"/>
      <c r="C711" s="81"/>
      <c r="D711" s="81"/>
      <c r="E711" s="81"/>
      <c r="F711" s="82"/>
      <c r="G711" s="83"/>
      <c r="H711" s="83"/>
      <c r="I711" s="81"/>
      <c r="J711" s="84"/>
      <c r="K711" s="84"/>
      <c r="L711" s="84"/>
      <c r="M711" s="81"/>
      <c r="N711" s="81"/>
      <c r="O711" s="81"/>
      <c r="P711" s="81"/>
      <c r="Q711" s="81"/>
      <c r="R711" s="81"/>
      <c r="S711" s="81"/>
      <c r="T711" s="81"/>
      <c r="U711" s="81"/>
      <c r="V711" s="81"/>
      <c r="W711" s="81"/>
      <c r="X711" s="81"/>
      <c r="Y711" s="81"/>
      <c r="Z711" s="81"/>
    </row>
    <row r="712" spans="1:26" ht="12" customHeight="1">
      <c r="A712" s="79"/>
      <c r="B712" s="79"/>
      <c r="C712" s="81"/>
      <c r="D712" s="81"/>
      <c r="E712" s="81"/>
      <c r="F712" s="82"/>
      <c r="G712" s="83"/>
      <c r="H712" s="83"/>
      <c r="I712" s="81"/>
      <c r="J712" s="84"/>
      <c r="K712" s="84"/>
      <c r="L712" s="84"/>
      <c r="M712" s="81"/>
      <c r="N712" s="81"/>
      <c r="O712" s="81"/>
      <c r="P712" s="81"/>
      <c r="Q712" s="81"/>
      <c r="R712" s="81"/>
      <c r="S712" s="81"/>
      <c r="T712" s="81"/>
      <c r="U712" s="81"/>
      <c r="V712" s="81"/>
      <c r="W712" s="81"/>
      <c r="X712" s="81"/>
      <c r="Y712" s="81"/>
      <c r="Z712" s="81"/>
    </row>
    <row r="713" spans="1:26" ht="12" customHeight="1">
      <c r="A713" s="79"/>
      <c r="B713" s="79"/>
      <c r="C713" s="81"/>
      <c r="D713" s="81"/>
      <c r="E713" s="81"/>
      <c r="F713" s="82"/>
      <c r="G713" s="83"/>
      <c r="H713" s="83"/>
      <c r="I713" s="81"/>
      <c r="J713" s="84"/>
      <c r="K713" s="84"/>
      <c r="L713" s="84"/>
      <c r="M713" s="81"/>
      <c r="N713" s="81"/>
      <c r="O713" s="81"/>
      <c r="P713" s="81"/>
      <c r="Q713" s="81"/>
      <c r="R713" s="81"/>
      <c r="S713" s="81"/>
      <c r="T713" s="81"/>
      <c r="U713" s="81"/>
      <c r="V713" s="81"/>
      <c r="W713" s="81"/>
      <c r="X713" s="81"/>
      <c r="Y713" s="81"/>
      <c r="Z713" s="81"/>
    </row>
    <row r="714" spans="1:26" ht="12" customHeight="1">
      <c r="A714" s="79"/>
      <c r="B714" s="79"/>
      <c r="C714" s="81"/>
      <c r="D714" s="81"/>
      <c r="E714" s="81"/>
      <c r="F714" s="82"/>
      <c r="G714" s="83"/>
      <c r="H714" s="83"/>
      <c r="I714" s="81"/>
      <c r="J714" s="84"/>
      <c r="K714" s="84"/>
      <c r="L714" s="84"/>
      <c r="M714" s="81"/>
      <c r="N714" s="81"/>
      <c r="O714" s="81"/>
      <c r="P714" s="81"/>
      <c r="Q714" s="81"/>
      <c r="R714" s="81"/>
      <c r="S714" s="81"/>
      <c r="T714" s="81"/>
      <c r="U714" s="81"/>
      <c r="V714" s="81"/>
      <c r="W714" s="81"/>
      <c r="X714" s="81"/>
      <c r="Y714" s="81"/>
      <c r="Z714" s="81"/>
    </row>
    <row r="715" spans="1:26" ht="12" customHeight="1">
      <c r="A715" s="79"/>
      <c r="B715" s="79"/>
      <c r="C715" s="81"/>
      <c r="D715" s="81"/>
      <c r="E715" s="81"/>
      <c r="F715" s="82"/>
      <c r="G715" s="83"/>
      <c r="H715" s="83"/>
      <c r="I715" s="81"/>
      <c r="J715" s="84"/>
      <c r="K715" s="84"/>
      <c r="L715" s="84"/>
      <c r="M715" s="81"/>
      <c r="N715" s="81"/>
      <c r="O715" s="81"/>
      <c r="P715" s="81"/>
      <c r="Q715" s="81"/>
      <c r="R715" s="81"/>
      <c r="S715" s="81"/>
      <c r="T715" s="81"/>
      <c r="U715" s="81"/>
      <c r="V715" s="81"/>
      <c r="W715" s="81"/>
      <c r="X715" s="81"/>
      <c r="Y715" s="81"/>
      <c r="Z715" s="81"/>
    </row>
    <row r="716" spans="1:26" ht="12" customHeight="1">
      <c r="A716" s="79"/>
      <c r="B716" s="79"/>
      <c r="C716" s="81"/>
      <c r="D716" s="81"/>
      <c r="E716" s="81"/>
      <c r="F716" s="82"/>
      <c r="G716" s="83"/>
      <c r="H716" s="83"/>
      <c r="I716" s="81"/>
      <c r="J716" s="84"/>
      <c r="K716" s="84"/>
      <c r="L716" s="84"/>
      <c r="M716" s="81"/>
      <c r="N716" s="81"/>
      <c r="O716" s="81"/>
      <c r="P716" s="81"/>
      <c r="Q716" s="81"/>
      <c r="R716" s="81"/>
      <c r="S716" s="81"/>
      <c r="T716" s="81"/>
      <c r="U716" s="81"/>
      <c r="V716" s="81"/>
      <c r="W716" s="81"/>
      <c r="X716" s="81"/>
      <c r="Y716" s="81"/>
      <c r="Z716" s="81"/>
    </row>
    <row r="717" spans="1:26" ht="12" customHeight="1">
      <c r="A717" s="79"/>
      <c r="B717" s="79"/>
      <c r="C717" s="81"/>
      <c r="D717" s="81"/>
      <c r="E717" s="81"/>
      <c r="F717" s="82"/>
      <c r="G717" s="83"/>
      <c r="H717" s="83"/>
      <c r="I717" s="81"/>
      <c r="J717" s="84"/>
      <c r="K717" s="84"/>
      <c r="L717" s="84"/>
      <c r="M717" s="81"/>
      <c r="N717" s="81"/>
      <c r="O717" s="81"/>
      <c r="P717" s="81"/>
      <c r="Q717" s="81"/>
      <c r="R717" s="81"/>
      <c r="S717" s="81"/>
      <c r="T717" s="81"/>
      <c r="U717" s="81"/>
      <c r="V717" s="81"/>
      <c r="W717" s="81"/>
      <c r="X717" s="81"/>
      <c r="Y717" s="81"/>
      <c r="Z717" s="81"/>
    </row>
    <row r="718" spans="1:26" ht="12" customHeight="1">
      <c r="A718" s="79"/>
      <c r="B718" s="79"/>
      <c r="C718" s="81"/>
      <c r="D718" s="81"/>
      <c r="E718" s="81"/>
      <c r="F718" s="82"/>
      <c r="G718" s="83"/>
      <c r="H718" s="83"/>
      <c r="I718" s="81"/>
      <c r="J718" s="84"/>
      <c r="K718" s="84"/>
      <c r="L718" s="84"/>
      <c r="M718" s="81"/>
      <c r="N718" s="81"/>
      <c r="O718" s="81"/>
      <c r="P718" s="81"/>
      <c r="Q718" s="81"/>
      <c r="R718" s="81"/>
      <c r="S718" s="81"/>
      <c r="T718" s="81"/>
      <c r="U718" s="81"/>
      <c r="V718" s="81"/>
      <c r="W718" s="81"/>
      <c r="X718" s="81"/>
      <c r="Y718" s="81"/>
      <c r="Z718" s="81"/>
    </row>
    <row r="719" spans="1:26" ht="12" customHeight="1">
      <c r="A719" s="79"/>
      <c r="B719" s="79"/>
      <c r="C719" s="81"/>
      <c r="D719" s="81"/>
      <c r="E719" s="81"/>
      <c r="F719" s="82"/>
      <c r="G719" s="83"/>
      <c r="H719" s="83"/>
      <c r="I719" s="81"/>
      <c r="J719" s="84"/>
      <c r="K719" s="84"/>
      <c r="L719" s="84"/>
      <c r="M719" s="81"/>
      <c r="N719" s="81"/>
      <c r="O719" s="81"/>
      <c r="P719" s="81"/>
      <c r="Q719" s="81"/>
      <c r="R719" s="81"/>
      <c r="S719" s="81"/>
      <c r="T719" s="81"/>
      <c r="U719" s="81"/>
      <c r="V719" s="81"/>
      <c r="W719" s="81"/>
      <c r="X719" s="81"/>
      <c r="Y719" s="81"/>
      <c r="Z719" s="81"/>
    </row>
    <row r="720" spans="1:26" ht="12" customHeight="1">
      <c r="A720" s="79"/>
      <c r="B720" s="79"/>
      <c r="C720" s="81"/>
      <c r="D720" s="81"/>
      <c r="E720" s="81"/>
      <c r="F720" s="82"/>
      <c r="G720" s="83"/>
      <c r="H720" s="83"/>
      <c r="I720" s="81"/>
      <c r="J720" s="84"/>
      <c r="K720" s="84"/>
      <c r="L720" s="84"/>
      <c r="M720" s="81"/>
      <c r="N720" s="81"/>
      <c r="O720" s="81"/>
      <c r="P720" s="81"/>
      <c r="Q720" s="81"/>
      <c r="R720" s="81"/>
      <c r="S720" s="81"/>
      <c r="T720" s="81"/>
      <c r="U720" s="81"/>
      <c r="V720" s="81"/>
      <c r="W720" s="81"/>
      <c r="X720" s="81"/>
      <c r="Y720" s="81"/>
      <c r="Z720" s="81"/>
    </row>
    <row r="721" spans="1:26" ht="12" customHeight="1">
      <c r="A721" s="79"/>
      <c r="B721" s="79"/>
      <c r="C721" s="81"/>
      <c r="D721" s="81"/>
      <c r="E721" s="81"/>
      <c r="F721" s="82"/>
      <c r="G721" s="83"/>
      <c r="H721" s="83"/>
      <c r="I721" s="81"/>
      <c r="J721" s="84"/>
      <c r="K721" s="84"/>
      <c r="L721" s="84"/>
      <c r="M721" s="81"/>
      <c r="N721" s="81"/>
      <c r="O721" s="81"/>
      <c r="P721" s="81"/>
      <c r="Q721" s="81"/>
      <c r="R721" s="81"/>
      <c r="S721" s="81"/>
      <c r="T721" s="81"/>
      <c r="U721" s="81"/>
      <c r="V721" s="81"/>
      <c r="W721" s="81"/>
      <c r="X721" s="81"/>
      <c r="Y721" s="81"/>
      <c r="Z721" s="81"/>
    </row>
    <row r="722" spans="1:26" ht="12" customHeight="1">
      <c r="A722" s="79"/>
      <c r="B722" s="79"/>
      <c r="C722" s="81"/>
      <c r="D722" s="81"/>
      <c r="E722" s="81"/>
      <c r="F722" s="82"/>
      <c r="G722" s="83"/>
      <c r="H722" s="83"/>
      <c r="I722" s="81"/>
      <c r="J722" s="84"/>
      <c r="K722" s="84"/>
      <c r="L722" s="84"/>
      <c r="M722" s="81"/>
      <c r="N722" s="81"/>
      <c r="O722" s="81"/>
      <c r="P722" s="81"/>
      <c r="Q722" s="81"/>
      <c r="R722" s="81"/>
      <c r="S722" s="81"/>
      <c r="T722" s="81"/>
      <c r="U722" s="81"/>
      <c r="V722" s="81"/>
      <c r="W722" s="81"/>
      <c r="X722" s="81"/>
      <c r="Y722" s="81"/>
      <c r="Z722" s="81"/>
    </row>
    <row r="723" spans="1:26" ht="12" customHeight="1">
      <c r="A723" s="79"/>
      <c r="B723" s="79"/>
      <c r="C723" s="81"/>
      <c r="D723" s="81"/>
      <c r="E723" s="81"/>
      <c r="F723" s="82"/>
      <c r="G723" s="83"/>
      <c r="H723" s="83"/>
      <c r="I723" s="81"/>
      <c r="J723" s="84"/>
      <c r="K723" s="84"/>
      <c r="L723" s="84"/>
      <c r="M723" s="81"/>
      <c r="N723" s="81"/>
      <c r="O723" s="81"/>
      <c r="P723" s="81"/>
      <c r="Q723" s="81"/>
      <c r="R723" s="81"/>
      <c r="S723" s="81"/>
      <c r="T723" s="81"/>
      <c r="U723" s="81"/>
      <c r="V723" s="81"/>
      <c r="W723" s="81"/>
      <c r="X723" s="81"/>
      <c r="Y723" s="81"/>
      <c r="Z723" s="81"/>
    </row>
    <row r="724" spans="1:26" ht="12" customHeight="1">
      <c r="A724" s="79"/>
      <c r="B724" s="79"/>
      <c r="C724" s="81"/>
      <c r="D724" s="81"/>
      <c r="E724" s="81"/>
      <c r="F724" s="82"/>
      <c r="G724" s="83"/>
      <c r="H724" s="83"/>
      <c r="I724" s="81"/>
      <c r="J724" s="84"/>
      <c r="K724" s="84"/>
      <c r="L724" s="84"/>
      <c r="M724" s="81"/>
      <c r="N724" s="81"/>
      <c r="O724" s="81"/>
      <c r="P724" s="81"/>
      <c r="Q724" s="81"/>
      <c r="R724" s="81"/>
      <c r="S724" s="81"/>
      <c r="T724" s="81"/>
      <c r="U724" s="81"/>
      <c r="V724" s="81"/>
      <c r="W724" s="81"/>
      <c r="X724" s="81"/>
      <c r="Y724" s="81"/>
      <c r="Z724" s="81"/>
    </row>
    <row r="725" spans="1:26" ht="12" customHeight="1">
      <c r="A725" s="79"/>
      <c r="B725" s="79"/>
      <c r="C725" s="81"/>
      <c r="D725" s="81"/>
      <c r="E725" s="81"/>
      <c r="F725" s="82"/>
      <c r="G725" s="83"/>
      <c r="H725" s="83"/>
      <c r="I725" s="81"/>
      <c r="J725" s="84"/>
      <c r="K725" s="84"/>
      <c r="L725" s="84"/>
      <c r="M725" s="81"/>
      <c r="N725" s="81"/>
      <c r="O725" s="81"/>
      <c r="P725" s="81"/>
      <c r="Q725" s="81"/>
      <c r="R725" s="81"/>
      <c r="S725" s="81"/>
      <c r="T725" s="81"/>
      <c r="U725" s="81"/>
      <c r="V725" s="81"/>
      <c r="W725" s="81"/>
      <c r="X725" s="81"/>
      <c r="Y725" s="81"/>
      <c r="Z725" s="81"/>
    </row>
    <row r="726" spans="1:26" ht="12" customHeight="1">
      <c r="A726" s="79"/>
      <c r="B726" s="79"/>
      <c r="C726" s="81"/>
      <c r="D726" s="81"/>
      <c r="E726" s="81"/>
      <c r="F726" s="82"/>
      <c r="G726" s="83"/>
      <c r="H726" s="83"/>
      <c r="I726" s="81"/>
      <c r="J726" s="84"/>
      <c r="K726" s="84"/>
      <c r="L726" s="84"/>
      <c r="M726" s="81"/>
      <c r="N726" s="81"/>
      <c r="O726" s="81"/>
      <c r="P726" s="81"/>
      <c r="Q726" s="81"/>
      <c r="R726" s="81"/>
      <c r="S726" s="81"/>
      <c r="T726" s="81"/>
      <c r="U726" s="81"/>
      <c r="V726" s="81"/>
      <c r="W726" s="81"/>
      <c r="X726" s="81"/>
      <c r="Y726" s="81"/>
      <c r="Z726" s="81"/>
    </row>
    <row r="727" spans="1:26" ht="12" customHeight="1">
      <c r="A727" s="79"/>
      <c r="B727" s="79"/>
      <c r="C727" s="81"/>
      <c r="D727" s="81"/>
      <c r="E727" s="81"/>
      <c r="F727" s="82"/>
      <c r="G727" s="83"/>
      <c r="H727" s="83"/>
      <c r="I727" s="81"/>
      <c r="J727" s="84"/>
      <c r="K727" s="84"/>
      <c r="L727" s="84"/>
      <c r="M727" s="81"/>
      <c r="N727" s="81"/>
      <c r="O727" s="81"/>
      <c r="P727" s="81"/>
      <c r="Q727" s="81"/>
      <c r="R727" s="81"/>
      <c r="S727" s="81"/>
      <c r="T727" s="81"/>
      <c r="U727" s="81"/>
      <c r="V727" s="81"/>
      <c r="W727" s="81"/>
      <c r="X727" s="81"/>
      <c r="Y727" s="81"/>
      <c r="Z727" s="81"/>
    </row>
    <row r="728" spans="1:26" ht="12" customHeight="1">
      <c r="A728" s="79"/>
      <c r="B728" s="79"/>
      <c r="C728" s="81"/>
      <c r="D728" s="81"/>
      <c r="E728" s="81"/>
      <c r="F728" s="82"/>
      <c r="G728" s="83"/>
      <c r="H728" s="83"/>
      <c r="I728" s="81"/>
      <c r="J728" s="84"/>
      <c r="K728" s="84"/>
      <c r="L728" s="84"/>
      <c r="M728" s="81"/>
      <c r="N728" s="81"/>
      <c r="O728" s="81"/>
      <c r="P728" s="81"/>
      <c r="Q728" s="81"/>
      <c r="R728" s="81"/>
      <c r="S728" s="81"/>
      <c r="T728" s="81"/>
      <c r="U728" s="81"/>
      <c r="V728" s="81"/>
      <c r="W728" s="81"/>
      <c r="X728" s="81"/>
      <c r="Y728" s="81"/>
      <c r="Z728" s="81"/>
    </row>
    <row r="729" spans="1:26" ht="12" customHeight="1">
      <c r="A729" s="79"/>
      <c r="B729" s="79"/>
      <c r="C729" s="81"/>
      <c r="D729" s="81"/>
      <c r="E729" s="81"/>
      <c r="F729" s="82"/>
      <c r="G729" s="83"/>
      <c r="H729" s="83"/>
      <c r="I729" s="81"/>
      <c r="J729" s="84"/>
      <c r="K729" s="84"/>
      <c r="L729" s="84"/>
      <c r="M729" s="81"/>
      <c r="N729" s="81"/>
      <c r="O729" s="81"/>
      <c r="P729" s="81"/>
      <c r="Q729" s="81"/>
      <c r="R729" s="81"/>
      <c r="S729" s="81"/>
      <c r="T729" s="81"/>
      <c r="U729" s="81"/>
      <c r="V729" s="81"/>
      <c r="W729" s="81"/>
      <c r="X729" s="81"/>
      <c r="Y729" s="81"/>
      <c r="Z729" s="81"/>
    </row>
    <row r="730" spans="1:26" ht="12" customHeight="1">
      <c r="A730" s="79"/>
      <c r="B730" s="79"/>
      <c r="C730" s="81"/>
      <c r="D730" s="81"/>
      <c r="E730" s="81"/>
      <c r="F730" s="82"/>
      <c r="G730" s="83"/>
      <c r="H730" s="83"/>
      <c r="I730" s="81"/>
      <c r="J730" s="84"/>
      <c r="K730" s="84"/>
      <c r="L730" s="84"/>
      <c r="M730" s="81"/>
      <c r="N730" s="81"/>
      <c r="O730" s="81"/>
      <c r="P730" s="81"/>
      <c r="Q730" s="81"/>
      <c r="R730" s="81"/>
      <c r="S730" s="81"/>
      <c r="T730" s="81"/>
      <c r="U730" s="81"/>
      <c r="V730" s="81"/>
      <c r="W730" s="81"/>
      <c r="X730" s="81"/>
      <c r="Y730" s="81"/>
      <c r="Z730" s="81"/>
    </row>
    <row r="731" spans="1:26" ht="12" customHeight="1">
      <c r="A731" s="79"/>
      <c r="B731" s="79"/>
      <c r="C731" s="81"/>
      <c r="D731" s="81"/>
      <c r="E731" s="81"/>
      <c r="F731" s="82"/>
      <c r="G731" s="83"/>
      <c r="H731" s="83"/>
      <c r="I731" s="81"/>
      <c r="J731" s="84"/>
      <c r="K731" s="84"/>
      <c r="L731" s="84"/>
      <c r="M731" s="81"/>
      <c r="N731" s="81"/>
      <c r="O731" s="81"/>
      <c r="P731" s="81"/>
      <c r="Q731" s="81"/>
      <c r="R731" s="81"/>
      <c r="S731" s="81"/>
      <c r="T731" s="81"/>
      <c r="U731" s="81"/>
      <c r="V731" s="81"/>
      <c r="W731" s="81"/>
      <c r="X731" s="81"/>
      <c r="Y731" s="81"/>
      <c r="Z731" s="81"/>
    </row>
    <row r="732" spans="1:26" ht="12" customHeight="1">
      <c r="A732" s="79"/>
      <c r="B732" s="79"/>
      <c r="C732" s="81"/>
      <c r="D732" s="81"/>
      <c r="E732" s="81"/>
      <c r="F732" s="82"/>
      <c r="G732" s="83"/>
      <c r="H732" s="83"/>
      <c r="I732" s="81"/>
      <c r="J732" s="84"/>
      <c r="K732" s="84"/>
      <c r="L732" s="84"/>
      <c r="M732" s="81"/>
      <c r="N732" s="81"/>
      <c r="O732" s="81"/>
      <c r="P732" s="81"/>
      <c r="Q732" s="81"/>
      <c r="R732" s="81"/>
      <c r="S732" s="81"/>
      <c r="T732" s="81"/>
      <c r="U732" s="81"/>
      <c r="V732" s="81"/>
      <c r="W732" s="81"/>
      <c r="X732" s="81"/>
      <c r="Y732" s="81"/>
      <c r="Z732" s="81"/>
    </row>
    <row r="733" spans="1:26" ht="12" customHeight="1">
      <c r="A733" s="79"/>
      <c r="B733" s="79"/>
      <c r="C733" s="81"/>
      <c r="D733" s="81"/>
      <c r="E733" s="81"/>
      <c r="F733" s="82"/>
      <c r="G733" s="83"/>
      <c r="H733" s="83"/>
      <c r="I733" s="81"/>
      <c r="J733" s="84"/>
      <c r="K733" s="84"/>
      <c r="L733" s="84"/>
      <c r="M733" s="81"/>
      <c r="N733" s="81"/>
      <c r="O733" s="81"/>
      <c r="P733" s="81"/>
      <c r="Q733" s="81"/>
      <c r="R733" s="81"/>
      <c r="S733" s="81"/>
      <c r="T733" s="81"/>
      <c r="U733" s="81"/>
      <c r="V733" s="81"/>
      <c r="W733" s="81"/>
      <c r="X733" s="81"/>
      <c r="Y733" s="81"/>
      <c r="Z733" s="81"/>
    </row>
    <row r="734" spans="1:26" ht="12" customHeight="1">
      <c r="A734" s="79"/>
      <c r="B734" s="79"/>
      <c r="C734" s="81"/>
      <c r="D734" s="81"/>
      <c r="E734" s="81"/>
      <c r="F734" s="82"/>
      <c r="G734" s="83"/>
      <c r="H734" s="83"/>
      <c r="I734" s="81"/>
      <c r="J734" s="84"/>
      <c r="K734" s="84"/>
      <c r="L734" s="84"/>
      <c r="M734" s="81"/>
      <c r="N734" s="81"/>
      <c r="O734" s="81"/>
      <c r="P734" s="81"/>
      <c r="Q734" s="81"/>
      <c r="R734" s="81"/>
      <c r="S734" s="81"/>
      <c r="T734" s="81"/>
      <c r="U734" s="81"/>
      <c r="V734" s="81"/>
      <c r="W734" s="81"/>
      <c r="X734" s="81"/>
      <c r="Y734" s="81"/>
      <c r="Z734" s="81"/>
    </row>
    <row r="735" spans="1:26" ht="12" customHeight="1">
      <c r="A735" s="79"/>
      <c r="B735" s="79"/>
      <c r="C735" s="81"/>
      <c r="D735" s="81"/>
      <c r="E735" s="81"/>
      <c r="F735" s="82"/>
      <c r="G735" s="83"/>
      <c r="H735" s="83"/>
      <c r="I735" s="81"/>
      <c r="J735" s="84"/>
      <c r="K735" s="84"/>
      <c r="L735" s="84"/>
      <c r="M735" s="81"/>
      <c r="N735" s="81"/>
      <c r="O735" s="81"/>
      <c r="P735" s="81"/>
      <c r="Q735" s="81"/>
      <c r="R735" s="81"/>
      <c r="S735" s="81"/>
      <c r="T735" s="81"/>
      <c r="U735" s="81"/>
      <c r="V735" s="81"/>
      <c r="W735" s="81"/>
      <c r="X735" s="81"/>
      <c r="Y735" s="81"/>
      <c r="Z735" s="81"/>
    </row>
    <row r="736" spans="1:26" ht="12" customHeight="1">
      <c r="A736" s="79"/>
      <c r="B736" s="79"/>
      <c r="C736" s="81"/>
      <c r="D736" s="81"/>
      <c r="E736" s="81"/>
      <c r="F736" s="82"/>
      <c r="G736" s="83"/>
      <c r="H736" s="83"/>
      <c r="I736" s="81"/>
      <c r="J736" s="84"/>
      <c r="K736" s="84"/>
      <c r="L736" s="84"/>
      <c r="M736" s="81"/>
      <c r="N736" s="81"/>
      <c r="O736" s="81"/>
      <c r="P736" s="81"/>
      <c r="Q736" s="81"/>
      <c r="R736" s="81"/>
      <c r="S736" s="81"/>
      <c r="T736" s="81"/>
      <c r="U736" s="81"/>
      <c r="V736" s="81"/>
      <c r="W736" s="81"/>
      <c r="X736" s="81"/>
      <c r="Y736" s="81"/>
      <c r="Z736" s="81"/>
    </row>
    <row r="737" spans="1:26" ht="12" customHeight="1">
      <c r="A737" s="79"/>
      <c r="B737" s="79"/>
      <c r="C737" s="81"/>
      <c r="D737" s="81"/>
      <c r="E737" s="81"/>
      <c r="F737" s="82"/>
      <c r="G737" s="83"/>
      <c r="H737" s="83"/>
      <c r="I737" s="81"/>
      <c r="J737" s="84"/>
      <c r="K737" s="84"/>
      <c r="L737" s="84"/>
      <c r="M737" s="81"/>
      <c r="N737" s="81"/>
      <c r="O737" s="81"/>
      <c r="P737" s="81"/>
      <c r="Q737" s="81"/>
      <c r="R737" s="81"/>
      <c r="S737" s="81"/>
      <c r="T737" s="81"/>
      <c r="U737" s="81"/>
      <c r="V737" s="81"/>
      <c r="W737" s="81"/>
      <c r="X737" s="81"/>
      <c r="Y737" s="81"/>
      <c r="Z737" s="81"/>
    </row>
    <row r="738" spans="1:26" ht="12" customHeight="1">
      <c r="A738" s="79"/>
      <c r="B738" s="79"/>
      <c r="C738" s="81"/>
      <c r="D738" s="81"/>
      <c r="E738" s="81"/>
      <c r="F738" s="82"/>
      <c r="G738" s="83"/>
      <c r="H738" s="83"/>
      <c r="I738" s="81"/>
      <c r="J738" s="84"/>
      <c r="K738" s="84"/>
      <c r="L738" s="84"/>
      <c r="M738" s="81"/>
      <c r="N738" s="81"/>
      <c r="O738" s="81"/>
      <c r="P738" s="81"/>
      <c r="Q738" s="81"/>
      <c r="R738" s="81"/>
      <c r="S738" s="81"/>
      <c r="T738" s="81"/>
      <c r="U738" s="81"/>
      <c r="V738" s="81"/>
      <c r="W738" s="81"/>
      <c r="X738" s="81"/>
      <c r="Y738" s="81"/>
      <c r="Z738" s="81"/>
    </row>
    <row r="739" spans="1:26" ht="12" customHeight="1">
      <c r="A739" s="79"/>
      <c r="B739" s="79"/>
      <c r="C739" s="81"/>
      <c r="D739" s="81"/>
      <c r="E739" s="81"/>
      <c r="F739" s="82"/>
      <c r="G739" s="83"/>
      <c r="H739" s="83"/>
      <c r="I739" s="81"/>
      <c r="J739" s="84"/>
      <c r="K739" s="84"/>
      <c r="L739" s="84"/>
      <c r="M739" s="81"/>
      <c r="N739" s="81"/>
      <c r="O739" s="81"/>
      <c r="P739" s="81"/>
      <c r="Q739" s="81"/>
      <c r="R739" s="81"/>
      <c r="S739" s="81"/>
      <c r="T739" s="81"/>
      <c r="U739" s="81"/>
      <c r="V739" s="81"/>
      <c r="W739" s="81"/>
      <c r="X739" s="81"/>
      <c r="Y739" s="81"/>
      <c r="Z739" s="81"/>
    </row>
    <row r="740" spans="1:26" ht="12" customHeight="1">
      <c r="A740" s="79"/>
      <c r="B740" s="79"/>
      <c r="C740" s="81"/>
      <c r="D740" s="81"/>
      <c r="E740" s="81"/>
      <c r="F740" s="82"/>
      <c r="G740" s="83"/>
      <c r="H740" s="83"/>
      <c r="I740" s="81"/>
      <c r="J740" s="84"/>
      <c r="K740" s="84"/>
      <c r="L740" s="84"/>
      <c r="M740" s="81"/>
      <c r="N740" s="81"/>
      <c r="O740" s="81"/>
      <c r="P740" s="81"/>
      <c r="Q740" s="81"/>
      <c r="R740" s="81"/>
      <c r="S740" s="81"/>
      <c r="T740" s="81"/>
      <c r="U740" s="81"/>
      <c r="V740" s="81"/>
      <c r="W740" s="81"/>
      <c r="X740" s="81"/>
      <c r="Y740" s="81"/>
      <c r="Z740" s="81"/>
    </row>
    <row r="741" spans="1:26" ht="12" customHeight="1">
      <c r="A741" s="79"/>
      <c r="B741" s="79"/>
      <c r="C741" s="81"/>
      <c r="D741" s="81"/>
      <c r="E741" s="81"/>
      <c r="F741" s="82"/>
      <c r="G741" s="83"/>
      <c r="H741" s="83"/>
      <c r="I741" s="81"/>
      <c r="J741" s="84"/>
      <c r="K741" s="84"/>
      <c r="L741" s="84"/>
      <c r="M741" s="81"/>
      <c r="N741" s="81"/>
      <c r="O741" s="81"/>
      <c r="P741" s="81"/>
      <c r="Q741" s="81"/>
      <c r="R741" s="81"/>
      <c r="S741" s="81"/>
      <c r="T741" s="81"/>
      <c r="U741" s="81"/>
      <c r="V741" s="81"/>
      <c r="W741" s="81"/>
      <c r="X741" s="81"/>
      <c r="Y741" s="81"/>
      <c r="Z741" s="81"/>
    </row>
    <row r="742" spans="1:26" ht="12" customHeight="1">
      <c r="A742" s="79"/>
      <c r="B742" s="79"/>
      <c r="C742" s="81"/>
      <c r="D742" s="81"/>
      <c r="E742" s="81"/>
      <c r="F742" s="82"/>
      <c r="G742" s="83"/>
      <c r="H742" s="83"/>
      <c r="I742" s="81"/>
      <c r="J742" s="84"/>
      <c r="K742" s="84"/>
      <c r="L742" s="84"/>
      <c r="M742" s="81"/>
      <c r="N742" s="81"/>
      <c r="O742" s="81"/>
      <c r="P742" s="81"/>
      <c r="Q742" s="81"/>
      <c r="R742" s="81"/>
      <c r="S742" s="81"/>
      <c r="T742" s="81"/>
      <c r="U742" s="81"/>
      <c r="V742" s="81"/>
      <c r="W742" s="81"/>
      <c r="X742" s="81"/>
      <c r="Y742" s="81"/>
      <c r="Z742" s="81"/>
    </row>
    <row r="743" spans="1:26" ht="12" customHeight="1">
      <c r="A743" s="79"/>
      <c r="B743" s="79"/>
      <c r="C743" s="81"/>
      <c r="D743" s="81"/>
      <c r="E743" s="81"/>
      <c r="F743" s="82"/>
      <c r="G743" s="83"/>
      <c r="H743" s="83"/>
      <c r="I743" s="81"/>
      <c r="J743" s="84"/>
      <c r="K743" s="84"/>
      <c r="L743" s="84"/>
      <c r="M743" s="81"/>
      <c r="N743" s="81"/>
      <c r="O743" s="81"/>
      <c r="P743" s="81"/>
      <c r="Q743" s="81"/>
      <c r="R743" s="81"/>
      <c r="S743" s="81"/>
      <c r="T743" s="81"/>
      <c r="U743" s="81"/>
      <c r="V743" s="81"/>
      <c r="W743" s="81"/>
      <c r="X743" s="81"/>
      <c r="Y743" s="81"/>
      <c r="Z743" s="81"/>
    </row>
    <row r="744" spans="1:26" ht="12" customHeight="1">
      <c r="A744" s="79"/>
      <c r="B744" s="79"/>
      <c r="C744" s="81"/>
      <c r="D744" s="81"/>
      <c r="E744" s="81"/>
      <c r="F744" s="82"/>
      <c r="G744" s="83"/>
      <c r="H744" s="83"/>
      <c r="I744" s="81"/>
      <c r="J744" s="84"/>
      <c r="K744" s="84"/>
      <c r="L744" s="84"/>
      <c r="M744" s="81"/>
      <c r="N744" s="81"/>
      <c r="O744" s="81"/>
      <c r="P744" s="81"/>
      <c r="Q744" s="81"/>
      <c r="R744" s="81"/>
      <c r="S744" s="81"/>
      <c r="T744" s="81"/>
      <c r="U744" s="81"/>
      <c r="V744" s="81"/>
      <c r="W744" s="81"/>
      <c r="X744" s="81"/>
      <c r="Y744" s="81"/>
      <c r="Z744" s="81"/>
    </row>
    <row r="745" spans="1:26" ht="12" customHeight="1">
      <c r="A745" s="79"/>
      <c r="B745" s="79"/>
      <c r="C745" s="81"/>
      <c r="D745" s="81"/>
      <c r="E745" s="81"/>
      <c r="F745" s="82"/>
      <c r="G745" s="83"/>
      <c r="H745" s="83"/>
      <c r="I745" s="81"/>
      <c r="J745" s="84"/>
      <c r="K745" s="84"/>
      <c r="L745" s="84"/>
      <c r="M745" s="81"/>
      <c r="N745" s="81"/>
      <c r="O745" s="81"/>
      <c r="P745" s="81"/>
      <c r="Q745" s="81"/>
      <c r="R745" s="81"/>
      <c r="S745" s="81"/>
      <c r="T745" s="81"/>
      <c r="U745" s="81"/>
      <c r="V745" s="81"/>
      <c r="W745" s="81"/>
      <c r="X745" s="81"/>
      <c r="Y745" s="81"/>
      <c r="Z745" s="81"/>
    </row>
    <row r="746" spans="1:26" ht="12" customHeight="1">
      <c r="A746" s="79"/>
      <c r="B746" s="79"/>
      <c r="C746" s="81"/>
      <c r="D746" s="81"/>
      <c r="E746" s="81"/>
      <c r="F746" s="82"/>
      <c r="G746" s="83"/>
      <c r="H746" s="83"/>
      <c r="I746" s="81"/>
      <c r="J746" s="84"/>
      <c r="K746" s="84"/>
      <c r="L746" s="84"/>
      <c r="M746" s="81"/>
      <c r="N746" s="81"/>
      <c r="O746" s="81"/>
      <c r="P746" s="81"/>
      <c r="Q746" s="81"/>
      <c r="R746" s="81"/>
      <c r="S746" s="81"/>
      <c r="T746" s="81"/>
      <c r="U746" s="81"/>
      <c r="V746" s="81"/>
      <c r="W746" s="81"/>
      <c r="X746" s="81"/>
      <c r="Y746" s="81"/>
      <c r="Z746" s="81"/>
    </row>
    <row r="747" spans="1:26" ht="12" customHeight="1">
      <c r="A747" s="79"/>
      <c r="B747" s="79"/>
      <c r="C747" s="81"/>
      <c r="D747" s="81"/>
      <c r="E747" s="81"/>
      <c r="F747" s="82"/>
      <c r="G747" s="83"/>
      <c r="H747" s="83"/>
      <c r="I747" s="81"/>
      <c r="J747" s="84"/>
      <c r="K747" s="84"/>
      <c r="L747" s="84"/>
      <c r="M747" s="81"/>
      <c r="N747" s="81"/>
      <c r="O747" s="81"/>
      <c r="P747" s="81"/>
      <c r="Q747" s="81"/>
      <c r="R747" s="81"/>
      <c r="S747" s="81"/>
      <c r="T747" s="81"/>
      <c r="U747" s="81"/>
      <c r="V747" s="81"/>
      <c r="W747" s="81"/>
      <c r="X747" s="81"/>
      <c r="Y747" s="81"/>
      <c r="Z747" s="81"/>
    </row>
    <row r="748" spans="1:26" ht="12" customHeight="1">
      <c r="A748" s="79"/>
      <c r="B748" s="79"/>
      <c r="C748" s="81"/>
      <c r="D748" s="81"/>
      <c r="E748" s="81"/>
      <c r="F748" s="82"/>
      <c r="G748" s="83"/>
      <c r="H748" s="83"/>
      <c r="I748" s="81"/>
      <c r="J748" s="84"/>
      <c r="K748" s="84"/>
      <c r="L748" s="84"/>
      <c r="M748" s="81"/>
      <c r="N748" s="81"/>
      <c r="O748" s="81"/>
      <c r="P748" s="81"/>
      <c r="Q748" s="81"/>
      <c r="R748" s="81"/>
      <c r="S748" s="81"/>
      <c r="T748" s="81"/>
      <c r="U748" s="81"/>
      <c r="V748" s="81"/>
      <c r="W748" s="81"/>
      <c r="X748" s="81"/>
      <c r="Y748" s="81"/>
      <c r="Z748" s="81"/>
    </row>
    <row r="749" spans="1:26" ht="12" customHeight="1">
      <c r="A749" s="79"/>
      <c r="B749" s="79"/>
      <c r="C749" s="81"/>
      <c r="D749" s="81"/>
      <c r="E749" s="81"/>
      <c r="F749" s="82"/>
      <c r="G749" s="83"/>
      <c r="H749" s="83"/>
      <c r="I749" s="81"/>
      <c r="J749" s="84"/>
      <c r="K749" s="84"/>
      <c r="L749" s="84"/>
      <c r="M749" s="81"/>
      <c r="N749" s="81"/>
      <c r="O749" s="81"/>
      <c r="P749" s="81"/>
      <c r="Q749" s="81"/>
      <c r="R749" s="81"/>
      <c r="S749" s="81"/>
      <c r="T749" s="81"/>
      <c r="U749" s="81"/>
      <c r="V749" s="81"/>
      <c r="W749" s="81"/>
      <c r="X749" s="81"/>
      <c r="Y749" s="81"/>
      <c r="Z749" s="81"/>
    </row>
    <row r="750" spans="1:26" ht="12" customHeight="1">
      <c r="A750" s="79"/>
      <c r="B750" s="79"/>
      <c r="C750" s="81"/>
      <c r="D750" s="81"/>
      <c r="E750" s="81"/>
      <c r="F750" s="82"/>
      <c r="G750" s="83"/>
      <c r="H750" s="83"/>
      <c r="I750" s="81"/>
      <c r="J750" s="84"/>
      <c r="K750" s="84"/>
      <c r="L750" s="84"/>
      <c r="M750" s="81"/>
      <c r="N750" s="81"/>
      <c r="O750" s="81"/>
      <c r="P750" s="81"/>
      <c r="Q750" s="81"/>
      <c r="R750" s="81"/>
      <c r="S750" s="81"/>
      <c r="T750" s="81"/>
      <c r="U750" s="81"/>
      <c r="V750" s="81"/>
      <c r="W750" s="81"/>
      <c r="X750" s="81"/>
      <c r="Y750" s="81"/>
      <c r="Z750" s="81"/>
    </row>
    <row r="751" spans="1:26" ht="12" customHeight="1">
      <c r="A751" s="79"/>
      <c r="B751" s="79"/>
      <c r="C751" s="81"/>
      <c r="D751" s="81"/>
      <c r="E751" s="81"/>
      <c r="F751" s="82"/>
      <c r="G751" s="83"/>
      <c r="H751" s="83"/>
      <c r="I751" s="81"/>
      <c r="J751" s="84"/>
      <c r="K751" s="84"/>
      <c r="L751" s="84"/>
      <c r="M751" s="81"/>
      <c r="N751" s="81"/>
      <c r="O751" s="81"/>
      <c r="P751" s="81"/>
      <c r="Q751" s="81"/>
      <c r="R751" s="81"/>
      <c r="S751" s="81"/>
      <c r="T751" s="81"/>
      <c r="U751" s="81"/>
      <c r="V751" s="81"/>
      <c r="W751" s="81"/>
      <c r="X751" s="81"/>
      <c r="Y751" s="81"/>
      <c r="Z751" s="81"/>
    </row>
    <row r="752" spans="1:26" ht="12" customHeight="1">
      <c r="A752" s="79"/>
      <c r="B752" s="79"/>
      <c r="C752" s="81"/>
      <c r="D752" s="81"/>
      <c r="E752" s="81"/>
      <c r="F752" s="82"/>
      <c r="G752" s="83"/>
      <c r="H752" s="83"/>
      <c r="I752" s="81"/>
      <c r="J752" s="84"/>
      <c r="K752" s="84"/>
      <c r="L752" s="84"/>
      <c r="M752" s="81"/>
      <c r="N752" s="81"/>
      <c r="O752" s="81"/>
      <c r="P752" s="81"/>
      <c r="Q752" s="81"/>
      <c r="R752" s="81"/>
      <c r="S752" s="81"/>
      <c r="T752" s="81"/>
      <c r="U752" s="81"/>
      <c r="V752" s="81"/>
      <c r="W752" s="81"/>
      <c r="X752" s="81"/>
      <c r="Y752" s="81"/>
      <c r="Z752" s="81"/>
    </row>
    <row r="753" spans="1:26" ht="12" customHeight="1">
      <c r="A753" s="79"/>
      <c r="B753" s="79"/>
      <c r="C753" s="81"/>
      <c r="D753" s="81"/>
      <c r="E753" s="81"/>
      <c r="F753" s="82"/>
      <c r="G753" s="83"/>
      <c r="H753" s="83"/>
      <c r="I753" s="81"/>
      <c r="J753" s="84"/>
      <c r="K753" s="84"/>
      <c r="L753" s="84"/>
      <c r="M753" s="81"/>
      <c r="N753" s="81"/>
      <c r="O753" s="81"/>
      <c r="P753" s="81"/>
      <c r="Q753" s="81"/>
      <c r="R753" s="81"/>
      <c r="S753" s="81"/>
      <c r="T753" s="81"/>
      <c r="U753" s="81"/>
      <c r="V753" s="81"/>
      <c r="W753" s="81"/>
      <c r="X753" s="81"/>
      <c r="Y753" s="81"/>
      <c r="Z753" s="81"/>
    </row>
    <row r="754" spans="1:26" ht="12" customHeight="1">
      <c r="A754" s="79"/>
      <c r="B754" s="79"/>
      <c r="C754" s="81"/>
      <c r="D754" s="81"/>
      <c r="E754" s="81"/>
      <c r="F754" s="82"/>
      <c r="G754" s="83"/>
      <c r="H754" s="83"/>
      <c r="I754" s="81"/>
      <c r="J754" s="84"/>
      <c r="K754" s="84"/>
      <c r="L754" s="84"/>
      <c r="M754" s="81"/>
      <c r="N754" s="81"/>
      <c r="O754" s="81"/>
      <c r="P754" s="81"/>
      <c r="Q754" s="81"/>
      <c r="R754" s="81"/>
      <c r="S754" s="81"/>
      <c r="T754" s="81"/>
      <c r="U754" s="81"/>
      <c r="V754" s="81"/>
      <c r="W754" s="81"/>
      <c r="X754" s="81"/>
      <c r="Y754" s="81"/>
      <c r="Z754" s="81"/>
    </row>
    <row r="755" spans="1:26" ht="12" customHeight="1">
      <c r="A755" s="79"/>
      <c r="B755" s="79"/>
      <c r="C755" s="81"/>
      <c r="D755" s="81"/>
      <c r="E755" s="81"/>
      <c r="F755" s="82"/>
      <c r="G755" s="83"/>
      <c r="H755" s="83"/>
      <c r="I755" s="81"/>
      <c r="J755" s="84"/>
      <c r="K755" s="84"/>
      <c r="L755" s="84"/>
      <c r="M755" s="81"/>
      <c r="N755" s="81"/>
      <c r="O755" s="81"/>
      <c r="P755" s="81"/>
      <c r="Q755" s="81"/>
      <c r="R755" s="81"/>
      <c r="S755" s="81"/>
      <c r="T755" s="81"/>
      <c r="U755" s="81"/>
      <c r="V755" s="81"/>
      <c r="W755" s="81"/>
      <c r="X755" s="81"/>
      <c r="Y755" s="81"/>
      <c r="Z755" s="81"/>
    </row>
    <row r="756" spans="1:26" ht="12" customHeight="1">
      <c r="A756" s="79"/>
      <c r="B756" s="79"/>
      <c r="C756" s="81"/>
      <c r="D756" s="81"/>
      <c r="E756" s="81"/>
      <c r="F756" s="82"/>
      <c r="G756" s="83"/>
      <c r="H756" s="83"/>
      <c r="I756" s="81"/>
      <c r="J756" s="84"/>
      <c r="K756" s="84"/>
      <c r="L756" s="84"/>
      <c r="M756" s="81"/>
      <c r="N756" s="81"/>
      <c r="O756" s="81"/>
      <c r="P756" s="81"/>
      <c r="Q756" s="81"/>
      <c r="R756" s="81"/>
      <c r="S756" s="81"/>
      <c r="T756" s="81"/>
      <c r="U756" s="81"/>
      <c r="V756" s="81"/>
      <c r="W756" s="81"/>
      <c r="X756" s="81"/>
      <c r="Y756" s="81"/>
      <c r="Z756" s="81"/>
    </row>
    <row r="757" spans="1:26" ht="12" customHeight="1">
      <c r="A757" s="79"/>
      <c r="B757" s="79"/>
      <c r="C757" s="81"/>
      <c r="D757" s="81"/>
      <c r="E757" s="81"/>
      <c r="F757" s="82"/>
      <c r="G757" s="83"/>
      <c r="H757" s="83"/>
      <c r="I757" s="81"/>
      <c r="J757" s="84"/>
      <c r="K757" s="84"/>
      <c r="L757" s="84"/>
      <c r="M757" s="81"/>
      <c r="N757" s="81"/>
      <c r="O757" s="81"/>
      <c r="P757" s="81"/>
      <c r="Q757" s="81"/>
      <c r="R757" s="81"/>
      <c r="S757" s="81"/>
      <c r="T757" s="81"/>
      <c r="U757" s="81"/>
      <c r="V757" s="81"/>
      <c r="W757" s="81"/>
      <c r="X757" s="81"/>
      <c r="Y757" s="81"/>
      <c r="Z757" s="81"/>
    </row>
    <row r="758" spans="1:26" ht="12" customHeight="1">
      <c r="A758" s="79"/>
      <c r="B758" s="79"/>
      <c r="C758" s="81"/>
      <c r="D758" s="81"/>
      <c r="E758" s="81"/>
      <c r="F758" s="82"/>
      <c r="G758" s="83"/>
      <c r="H758" s="83"/>
      <c r="I758" s="81"/>
      <c r="J758" s="84"/>
      <c r="K758" s="84"/>
      <c r="L758" s="84"/>
      <c r="M758" s="81"/>
      <c r="N758" s="81"/>
      <c r="O758" s="81"/>
      <c r="P758" s="81"/>
      <c r="Q758" s="81"/>
      <c r="R758" s="81"/>
      <c r="S758" s="81"/>
      <c r="T758" s="81"/>
      <c r="U758" s="81"/>
      <c r="V758" s="81"/>
      <c r="W758" s="81"/>
      <c r="X758" s="81"/>
      <c r="Y758" s="81"/>
      <c r="Z758" s="81"/>
    </row>
    <row r="759" spans="1:26" ht="12" customHeight="1">
      <c r="A759" s="79"/>
      <c r="B759" s="79"/>
      <c r="C759" s="81"/>
      <c r="D759" s="81"/>
      <c r="E759" s="81"/>
      <c r="F759" s="82"/>
      <c r="G759" s="83"/>
      <c r="H759" s="83"/>
      <c r="I759" s="81"/>
      <c r="J759" s="84"/>
      <c r="K759" s="84"/>
      <c r="L759" s="84"/>
      <c r="M759" s="81"/>
      <c r="N759" s="81"/>
      <c r="O759" s="81"/>
      <c r="P759" s="81"/>
      <c r="Q759" s="81"/>
      <c r="R759" s="81"/>
      <c r="S759" s="81"/>
      <c r="T759" s="81"/>
      <c r="U759" s="81"/>
      <c r="V759" s="81"/>
      <c r="W759" s="81"/>
      <c r="X759" s="81"/>
      <c r="Y759" s="81"/>
      <c r="Z759" s="81"/>
    </row>
    <row r="760" spans="1:26" ht="12" customHeight="1">
      <c r="A760" s="79"/>
      <c r="B760" s="79"/>
      <c r="C760" s="81"/>
      <c r="D760" s="81"/>
      <c r="E760" s="81"/>
      <c r="F760" s="82"/>
      <c r="G760" s="83"/>
      <c r="H760" s="83"/>
      <c r="I760" s="81"/>
      <c r="J760" s="84"/>
      <c r="K760" s="84"/>
      <c r="L760" s="84"/>
      <c r="M760" s="81"/>
      <c r="N760" s="81"/>
      <c r="O760" s="81"/>
      <c r="P760" s="81"/>
      <c r="Q760" s="81"/>
      <c r="R760" s="81"/>
      <c r="S760" s="81"/>
      <c r="T760" s="81"/>
      <c r="U760" s="81"/>
      <c r="V760" s="81"/>
      <c r="W760" s="81"/>
      <c r="X760" s="81"/>
      <c r="Y760" s="81"/>
      <c r="Z760" s="81"/>
    </row>
    <row r="761" spans="1:26" ht="12" customHeight="1">
      <c r="A761" s="79"/>
      <c r="B761" s="79"/>
      <c r="C761" s="81"/>
      <c r="D761" s="81"/>
      <c r="E761" s="81"/>
      <c r="F761" s="82"/>
      <c r="G761" s="83"/>
      <c r="H761" s="83"/>
      <c r="I761" s="81"/>
      <c r="J761" s="84"/>
      <c r="K761" s="84"/>
      <c r="L761" s="84"/>
      <c r="M761" s="81"/>
      <c r="N761" s="81"/>
      <c r="O761" s="81"/>
      <c r="P761" s="81"/>
      <c r="Q761" s="81"/>
      <c r="R761" s="81"/>
      <c r="S761" s="81"/>
      <c r="T761" s="81"/>
      <c r="U761" s="81"/>
      <c r="V761" s="81"/>
      <c r="W761" s="81"/>
      <c r="X761" s="81"/>
      <c r="Y761" s="81"/>
      <c r="Z761" s="81"/>
    </row>
    <row r="762" spans="1:26" ht="12" customHeight="1">
      <c r="A762" s="79"/>
      <c r="B762" s="79"/>
      <c r="C762" s="81"/>
      <c r="D762" s="81"/>
      <c r="E762" s="81"/>
      <c r="F762" s="82"/>
      <c r="G762" s="83"/>
      <c r="H762" s="83"/>
      <c r="I762" s="81"/>
      <c r="J762" s="84"/>
      <c r="K762" s="84"/>
      <c r="L762" s="84"/>
      <c r="M762" s="81"/>
      <c r="N762" s="81"/>
      <c r="O762" s="81"/>
      <c r="P762" s="81"/>
      <c r="Q762" s="81"/>
      <c r="R762" s="81"/>
      <c r="S762" s="81"/>
      <c r="T762" s="81"/>
      <c r="U762" s="81"/>
      <c r="V762" s="81"/>
      <c r="W762" s="81"/>
      <c r="X762" s="81"/>
      <c r="Y762" s="81"/>
      <c r="Z762" s="81"/>
    </row>
    <row r="763" spans="1:26" ht="12" customHeight="1">
      <c r="A763" s="79"/>
      <c r="B763" s="79"/>
      <c r="C763" s="81"/>
      <c r="D763" s="81"/>
      <c r="E763" s="81"/>
      <c r="F763" s="82"/>
      <c r="G763" s="83"/>
      <c r="H763" s="83"/>
      <c r="I763" s="81"/>
      <c r="J763" s="84"/>
      <c r="K763" s="84"/>
      <c r="L763" s="84"/>
      <c r="M763" s="81"/>
      <c r="N763" s="81"/>
      <c r="O763" s="81"/>
      <c r="P763" s="81"/>
      <c r="Q763" s="81"/>
      <c r="R763" s="81"/>
      <c r="S763" s="81"/>
      <c r="T763" s="81"/>
      <c r="U763" s="81"/>
      <c r="V763" s="81"/>
      <c r="W763" s="81"/>
      <c r="X763" s="81"/>
      <c r="Y763" s="81"/>
      <c r="Z763" s="81"/>
    </row>
    <row r="764" spans="1:26" ht="12" customHeight="1">
      <c r="A764" s="79"/>
      <c r="B764" s="79"/>
      <c r="C764" s="81"/>
      <c r="D764" s="81"/>
      <c r="E764" s="81"/>
      <c r="F764" s="82"/>
      <c r="G764" s="83"/>
      <c r="H764" s="83"/>
      <c r="I764" s="81"/>
      <c r="J764" s="84"/>
      <c r="K764" s="84"/>
      <c r="L764" s="84"/>
      <c r="M764" s="81"/>
      <c r="N764" s="81"/>
      <c r="O764" s="81"/>
      <c r="P764" s="81"/>
      <c r="Q764" s="81"/>
      <c r="R764" s="81"/>
      <c r="S764" s="81"/>
      <c r="T764" s="81"/>
      <c r="U764" s="81"/>
      <c r="V764" s="81"/>
      <c r="W764" s="81"/>
      <c r="X764" s="81"/>
      <c r="Y764" s="81"/>
      <c r="Z764" s="81"/>
    </row>
    <row r="765" spans="1:26" ht="12" customHeight="1">
      <c r="A765" s="79"/>
      <c r="B765" s="79"/>
      <c r="C765" s="81"/>
      <c r="D765" s="81"/>
      <c r="E765" s="81"/>
      <c r="F765" s="82"/>
      <c r="G765" s="83"/>
      <c r="H765" s="83"/>
      <c r="I765" s="81"/>
      <c r="J765" s="84"/>
      <c r="K765" s="84"/>
      <c r="L765" s="84"/>
      <c r="M765" s="81"/>
      <c r="N765" s="81"/>
      <c r="O765" s="81"/>
      <c r="P765" s="81"/>
      <c r="Q765" s="81"/>
      <c r="R765" s="81"/>
      <c r="S765" s="81"/>
      <c r="T765" s="81"/>
      <c r="U765" s="81"/>
      <c r="V765" s="81"/>
      <c r="W765" s="81"/>
      <c r="X765" s="81"/>
      <c r="Y765" s="81"/>
      <c r="Z765" s="81"/>
    </row>
    <row r="766" spans="1:26" ht="12" customHeight="1">
      <c r="A766" s="79"/>
      <c r="B766" s="79"/>
      <c r="C766" s="81"/>
      <c r="D766" s="81"/>
      <c r="E766" s="81"/>
      <c r="F766" s="82"/>
      <c r="G766" s="83"/>
      <c r="H766" s="83"/>
      <c r="I766" s="81"/>
      <c r="J766" s="84"/>
      <c r="K766" s="84"/>
      <c r="L766" s="84"/>
      <c r="M766" s="81"/>
      <c r="N766" s="81"/>
      <c r="O766" s="81"/>
      <c r="P766" s="81"/>
      <c r="Q766" s="81"/>
      <c r="R766" s="81"/>
      <c r="S766" s="81"/>
      <c r="T766" s="81"/>
      <c r="U766" s="81"/>
      <c r="V766" s="81"/>
      <c r="W766" s="81"/>
      <c r="X766" s="81"/>
      <c r="Y766" s="81"/>
      <c r="Z766" s="81"/>
    </row>
    <row r="767" spans="1:26" ht="12" customHeight="1">
      <c r="A767" s="79"/>
      <c r="B767" s="79"/>
      <c r="C767" s="81"/>
      <c r="D767" s="81"/>
      <c r="E767" s="81"/>
      <c r="F767" s="82"/>
      <c r="G767" s="83"/>
      <c r="H767" s="83"/>
      <c r="I767" s="81"/>
      <c r="J767" s="84"/>
      <c r="K767" s="84"/>
      <c r="L767" s="84"/>
      <c r="M767" s="81"/>
      <c r="N767" s="81"/>
      <c r="O767" s="81"/>
      <c r="P767" s="81"/>
      <c r="Q767" s="81"/>
      <c r="R767" s="81"/>
      <c r="S767" s="81"/>
      <c r="T767" s="81"/>
      <c r="U767" s="81"/>
      <c r="V767" s="81"/>
      <c r="W767" s="81"/>
      <c r="X767" s="81"/>
      <c r="Y767" s="81"/>
      <c r="Z767" s="81"/>
    </row>
    <row r="768" spans="1:26" ht="12" customHeight="1">
      <c r="A768" s="79"/>
      <c r="B768" s="79"/>
      <c r="C768" s="81"/>
      <c r="D768" s="81"/>
      <c r="E768" s="81"/>
      <c r="F768" s="82"/>
      <c r="G768" s="83"/>
      <c r="H768" s="83"/>
      <c r="I768" s="81"/>
      <c r="J768" s="84"/>
      <c r="K768" s="84"/>
      <c r="L768" s="84"/>
      <c r="M768" s="81"/>
      <c r="N768" s="81"/>
      <c r="O768" s="81"/>
      <c r="P768" s="81"/>
      <c r="Q768" s="81"/>
      <c r="R768" s="81"/>
      <c r="S768" s="81"/>
      <c r="T768" s="81"/>
      <c r="U768" s="81"/>
      <c r="V768" s="81"/>
      <c r="W768" s="81"/>
      <c r="X768" s="81"/>
      <c r="Y768" s="81"/>
      <c r="Z768" s="81"/>
    </row>
    <row r="769" spans="1:26" ht="12" customHeight="1">
      <c r="A769" s="79"/>
      <c r="B769" s="79"/>
      <c r="C769" s="81"/>
      <c r="D769" s="81"/>
      <c r="E769" s="81"/>
      <c r="F769" s="82"/>
      <c r="G769" s="83"/>
      <c r="H769" s="83"/>
      <c r="I769" s="81"/>
      <c r="J769" s="84"/>
      <c r="K769" s="84"/>
      <c r="L769" s="84"/>
      <c r="M769" s="81"/>
      <c r="N769" s="81"/>
      <c r="O769" s="81"/>
      <c r="P769" s="81"/>
      <c r="Q769" s="81"/>
      <c r="R769" s="81"/>
      <c r="S769" s="81"/>
      <c r="T769" s="81"/>
      <c r="U769" s="81"/>
      <c r="V769" s="81"/>
      <c r="W769" s="81"/>
      <c r="X769" s="81"/>
      <c r="Y769" s="81"/>
      <c r="Z769" s="81"/>
    </row>
    <row r="770" spans="1:26" ht="12" customHeight="1">
      <c r="A770" s="79"/>
      <c r="B770" s="79"/>
      <c r="C770" s="81"/>
      <c r="D770" s="81"/>
      <c r="E770" s="81"/>
      <c r="F770" s="82"/>
      <c r="G770" s="83"/>
      <c r="H770" s="83"/>
      <c r="I770" s="81"/>
      <c r="J770" s="84"/>
      <c r="K770" s="84"/>
      <c r="L770" s="84"/>
      <c r="M770" s="81"/>
      <c r="N770" s="81"/>
      <c r="O770" s="81"/>
      <c r="P770" s="81"/>
      <c r="Q770" s="81"/>
      <c r="R770" s="81"/>
      <c r="S770" s="81"/>
      <c r="T770" s="81"/>
      <c r="U770" s="81"/>
      <c r="V770" s="81"/>
      <c r="W770" s="81"/>
      <c r="X770" s="81"/>
      <c r="Y770" s="81"/>
      <c r="Z770" s="81"/>
    </row>
    <row r="771" spans="1:26" ht="12" customHeight="1">
      <c r="A771" s="79"/>
      <c r="B771" s="79"/>
      <c r="C771" s="81"/>
      <c r="D771" s="81"/>
      <c r="E771" s="81"/>
      <c r="F771" s="82"/>
      <c r="G771" s="83"/>
      <c r="H771" s="83"/>
      <c r="I771" s="81"/>
      <c r="J771" s="84"/>
      <c r="K771" s="84"/>
      <c r="L771" s="84"/>
      <c r="M771" s="81"/>
      <c r="N771" s="81"/>
      <c r="O771" s="81"/>
      <c r="P771" s="81"/>
      <c r="Q771" s="81"/>
      <c r="R771" s="81"/>
      <c r="S771" s="81"/>
      <c r="T771" s="81"/>
      <c r="U771" s="81"/>
      <c r="V771" s="81"/>
      <c r="W771" s="81"/>
      <c r="X771" s="81"/>
      <c r="Y771" s="81"/>
      <c r="Z771" s="81"/>
    </row>
    <row r="772" spans="1:26" ht="12" customHeight="1">
      <c r="A772" s="79"/>
      <c r="B772" s="79"/>
      <c r="C772" s="81"/>
      <c r="D772" s="81"/>
      <c r="E772" s="81"/>
      <c r="F772" s="82"/>
      <c r="G772" s="83"/>
      <c r="H772" s="83"/>
      <c r="I772" s="81"/>
      <c r="J772" s="84"/>
      <c r="K772" s="84"/>
      <c r="L772" s="84"/>
      <c r="M772" s="81"/>
      <c r="N772" s="81"/>
      <c r="O772" s="81"/>
      <c r="P772" s="81"/>
      <c r="Q772" s="81"/>
      <c r="R772" s="81"/>
      <c r="S772" s="81"/>
      <c r="T772" s="81"/>
      <c r="U772" s="81"/>
      <c r="V772" s="81"/>
      <c r="W772" s="81"/>
      <c r="X772" s="81"/>
      <c r="Y772" s="81"/>
      <c r="Z772" s="81"/>
    </row>
    <row r="773" spans="1:26" ht="12" customHeight="1">
      <c r="A773" s="79"/>
      <c r="B773" s="79"/>
      <c r="C773" s="81"/>
      <c r="D773" s="81"/>
      <c r="E773" s="81"/>
      <c r="F773" s="82"/>
      <c r="G773" s="83"/>
      <c r="H773" s="83"/>
      <c r="I773" s="81"/>
      <c r="J773" s="84"/>
      <c r="K773" s="84"/>
      <c r="L773" s="84"/>
      <c r="M773" s="81"/>
      <c r="N773" s="81"/>
      <c r="O773" s="81"/>
      <c r="P773" s="81"/>
      <c r="Q773" s="81"/>
      <c r="R773" s="81"/>
      <c r="S773" s="81"/>
      <c r="T773" s="81"/>
      <c r="U773" s="81"/>
      <c r="V773" s="81"/>
      <c r="W773" s="81"/>
      <c r="X773" s="81"/>
      <c r="Y773" s="81"/>
      <c r="Z773" s="81"/>
    </row>
    <row r="774" spans="1:26" ht="12" customHeight="1">
      <c r="A774" s="79"/>
      <c r="B774" s="79"/>
      <c r="C774" s="81"/>
      <c r="D774" s="81"/>
      <c r="E774" s="81"/>
      <c r="F774" s="82"/>
      <c r="G774" s="83"/>
      <c r="H774" s="83"/>
      <c r="I774" s="81"/>
      <c r="J774" s="84"/>
      <c r="K774" s="84"/>
      <c r="L774" s="84"/>
      <c r="M774" s="81"/>
      <c r="N774" s="81"/>
      <c r="O774" s="81"/>
      <c r="P774" s="81"/>
      <c r="Q774" s="81"/>
      <c r="R774" s="81"/>
      <c r="S774" s="81"/>
      <c r="T774" s="81"/>
      <c r="U774" s="81"/>
      <c r="V774" s="81"/>
      <c r="W774" s="81"/>
      <c r="X774" s="81"/>
      <c r="Y774" s="81"/>
      <c r="Z774" s="81"/>
    </row>
    <row r="775" spans="1:26" ht="12" customHeight="1">
      <c r="A775" s="79"/>
      <c r="B775" s="79"/>
      <c r="C775" s="81"/>
      <c r="D775" s="81"/>
      <c r="E775" s="81"/>
      <c r="F775" s="82"/>
      <c r="G775" s="83"/>
      <c r="H775" s="83"/>
      <c r="I775" s="81"/>
      <c r="J775" s="84"/>
      <c r="K775" s="84"/>
      <c r="L775" s="84"/>
      <c r="M775" s="81"/>
      <c r="N775" s="81"/>
      <c r="O775" s="81"/>
      <c r="P775" s="81"/>
      <c r="Q775" s="81"/>
      <c r="R775" s="81"/>
      <c r="S775" s="81"/>
      <c r="T775" s="81"/>
      <c r="U775" s="81"/>
      <c r="V775" s="81"/>
      <c r="W775" s="81"/>
      <c r="X775" s="81"/>
      <c r="Y775" s="81"/>
      <c r="Z775" s="81"/>
    </row>
    <row r="776" spans="1:26" ht="12" customHeight="1">
      <c r="A776" s="79"/>
      <c r="B776" s="79"/>
      <c r="C776" s="81"/>
      <c r="D776" s="81"/>
      <c r="E776" s="81"/>
      <c r="F776" s="82"/>
      <c r="G776" s="83"/>
      <c r="H776" s="83"/>
      <c r="I776" s="81"/>
      <c r="J776" s="84"/>
      <c r="K776" s="84"/>
      <c r="L776" s="84"/>
      <c r="M776" s="81"/>
      <c r="N776" s="81"/>
      <c r="O776" s="81"/>
      <c r="P776" s="81"/>
      <c r="Q776" s="81"/>
      <c r="R776" s="81"/>
      <c r="S776" s="81"/>
      <c r="T776" s="81"/>
      <c r="U776" s="81"/>
      <c r="V776" s="81"/>
      <c r="W776" s="81"/>
      <c r="X776" s="81"/>
      <c r="Y776" s="81"/>
      <c r="Z776" s="81"/>
    </row>
    <row r="777" spans="1:26" ht="12" customHeight="1">
      <c r="A777" s="79"/>
      <c r="B777" s="79"/>
      <c r="C777" s="81"/>
      <c r="D777" s="81"/>
      <c r="E777" s="81"/>
      <c r="F777" s="82"/>
      <c r="G777" s="83"/>
      <c r="H777" s="83"/>
      <c r="I777" s="81"/>
      <c r="J777" s="84"/>
      <c r="K777" s="84"/>
      <c r="L777" s="84"/>
      <c r="M777" s="81"/>
      <c r="N777" s="81"/>
      <c r="O777" s="81"/>
      <c r="P777" s="81"/>
      <c r="Q777" s="81"/>
      <c r="R777" s="81"/>
      <c r="S777" s="81"/>
      <c r="T777" s="81"/>
      <c r="U777" s="81"/>
      <c r="V777" s="81"/>
      <c r="W777" s="81"/>
      <c r="X777" s="81"/>
      <c r="Y777" s="81"/>
      <c r="Z777" s="81"/>
    </row>
    <row r="778" spans="1:26" ht="12" customHeight="1">
      <c r="A778" s="79"/>
      <c r="B778" s="79"/>
      <c r="C778" s="81"/>
      <c r="D778" s="81"/>
      <c r="E778" s="81"/>
      <c r="F778" s="82"/>
      <c r="G778" s="83"/>
      <c r="H778" s="83"/>
      <c r="I778" s="81"/>
      <c r="J778" s="84"/>
      <c r="K778" s="84"/>
      <c r="L778" s="84"/>
      <c r="M778" s="81"/>
      <c r="N778" s="81"/>
      <c r="O778" s="81"/>
      <c r="P778" s="81"/>
      <c r="Q778" s="81"/>
      <c r="R778" s="81"/>
      <c r="S778" s="81"/>
      <c r="T778" s="81"/>
      <c r="U778" s="81"/>
      <c r="V778" s="81"/>
      <c r="W778" s="81"/>
      <c r="X778" s="81"/>
      <c r="Y778" s="81"/>
      <c r="Z778" s="81"/>
    </row>
    <row r="779" spans="1:26" ht="12" customHeight="1">
      <c r="A779" s="79"/>
      <c r="B779" s="79"/>
      <c r="C779" s="81"/>
      <c r="D779" s="81"/>
      <c r="E779" s="81"/>
      <c r="F779" s="82"/>
      <c r="G779" s="83"/>
      <c r="H779" s="83"/>
      <c r="I779" s="81"/>
      <c r="J779" s="84"/>
      <c r="K779" s="84"/>
      <c r="L779" s="84"/>
      <c r="M779" s="81"/>
      <c r="N779" s="81"/>
      <c r="O779" s="81"/>
      <c r="P779" s="81"/>
      <c r="Q779" s="81"/>
      <c r="R779" s="81"/>
      <c r="S779" s="81"/>
      <c r="T779" s="81"/>
      <c r="U779" s="81"/>
      <c r="V779" s="81"/>
      <c r="W779" s="81"/>
      <c r="X779" s="81"/>
      <c r="Y779" s="81"/>
      <c r="Z779" s="81"/>
    </row>
    <row r="780" spans="1:26" ht="12" customHeight="1">
      <c r="A780" s="79"/>
      <c r="B780" s="79"/>
      <c r="C780" s="81"/>
      <c r="D780" s="81"/>
      <c r="E780" s="81"/>
      <c r="F780" s="82"/>
      <c r="G780" s="83"/>
      <c r="H780" s="83"/>
      <c r="I780" s="81"/>
      <c r="J780" s="84"/>
      <c r="K780" s="84"/>
      <c r="L780" s="84"/>
      <c r="M780" s="81"/>
      <c r="N780" s="81"/>
      <c r="O780" s="81"/>
      <c r="P780" s="81"/>
      <c r="Q780" s="81"/>
      <c r="R780" s="81"/>
      <c r="S780" s="81"/>
      <c r="T780" s="81"/>
      <c r="U780" s="81"/>
      <c r="V780" s="81"/>
      <c r="W780" s="81"/>
      <c r="X780" s="81"/>
      <c r="Y780" s="81"/>
      <c r="Z780" s="81"/>
    </row>
    <row r="781" spans="1:26" ht="12" customHeight="1">
      <c r="A781" s="79"/>
      <c r="B781" s="79"/>
      <c r="C781" s="81"/>
      <c r="D781" s="81"/>
      <c r="E781" s="81"/>
      <c r="F781" s="82"/>
      <c r="G781" s="83"/>
      <c r="H781" s="83"/>
      <c r="I781" s="81"/>
      <c r="J781" s="84"/>
      <c r="K781" s="84"/>
      <c r="L781" s="84"/>
      <c r="M781" s="81"/>
      <c r="N781" s="81"/>
      <c r="O781" s="81"/>
      <c r="P781" s="81"/>
      <c r="Q781" s="81"/>
      <c r="R781" s="81"/>
      <c r="S781" s="81"/>
      <c r="T781" s="81"/>
      <c r="U781" s="81"/>
      <c r="V781" s="81"/>
      <c r="W781" s="81"/>
      <c r="X781" s="81"/>
      <c r="Y781" s="81"/>
      <c r="Z781" s="81"/>
    </row>
    <row r="782" spans="1:26" ht="12" customHeight="1">
      <c r="A782" s="79"/>
      <c r="B782" s="79"/>
      <c r="C782" s="81"/>
      <c r="D782" s="81"/>
      <c r="E782" s="81"/>
      <c r="F782" s="82"/>
      <c r="G782" s="83"/>
      <c r="H782" s="83"/>
      <c r="I782" s="81"/>
      <c r="J782" s="84"/>
      <c r="K782" s="84"/>
      <c r="L782" s="84"/>
      <c r="M782" s="81"/>
      <c r="N782" s="81"/>
      <c r="O782" s="81"/>
      <c r="P782" s="81"/>
      <c r="Q782" s="81"/>
      <c r="R782" s="81"/>
      <c r="S782" s="81"/>
      <c r="T782" s="81"/>
      <c r="U782" s="81"/>
      <c r="V782" s="81"/>
      <c r="W782" s="81"/>
      <c r="X782" s="81"/>
      <c r="Y782" s="81"/>
      <c r="Z782" s="81"/>
    </row>
    <row r="783" spans="1:26" ht="12" customHeight="1">
      <c r="A783" s="79"/>
      <c r="B783" s="79"/>
      <c r="C783" s="81"/>
      <c r="D783" s="81"/>
      <c r="E783" s="81"/>
      <c r="F783" s="82"/>
      <c r="G783" s="83"/>
      <c r="H783" s="83"/>
      <c r="I783" s="81"/>
      <c r="J783" s="84"/>
      <c r="K783" s="84"/>
      <c r="L783" s="84"/>
      <c r="M783" s="81"/>
      <c r="N783" s="81"/>
      <c r="O783" s="81"/>
      <c r="P783" s="81"/>
      <c r="Q783" s="81"/>
      <c r="R783" s="81"/>
      <c r="S783" s="81"/>
      <c r="T783" s="81"/>
      <c r="U783" s="81"/>
      <c r="V783" s="81"/>
      <c r="W783" s="81"/>
      <c r="X783" s="81"/>
      <c r="Y783" s="81"/>
      <c r="Z783" s="81"/>
    </row>
    <row r="784" spans="1:26" ht="12" customHeight="1">
      <c r="A784" s="79"/>
      <c r="B784" s="79"/>
      <c r="C784" s="81"/>
      <c r="D784" s="81"/>
      <c r="E784" s="81"/>
      <c r="F784" s="82"/>
      <c r="G784" s="83"/>
      <c r="H784" s="83"/>
      <c r="I784" s="81"/>
      <c r="J784" s="84"/>
      <c r="K784" s="84"/>
      <c r="L784" s="84"/>
      <c r="M784" s="81"/>
      <c r="N784" s="81"/>
      <c r="O784" s="81"/>
      <c r="P784" s="81"/>
      <c r="Q784" s="81"/>
      <c r="R784" s="81"/>
      <c r="S784" s="81"/>
      <c r="T784" s="81"/>
      <c r="U784" s="81"/>
      <c r="V784" s="81"/>
      <c r="W784" s="81"/>
      <c r="X784" s="81"/>
      <c r="Y784" s="81"/>
      <c r="Z784" s="81"/>
    </row>
    <row r="785" spans="1:26" ht="12" customHeight="1">
      <c r="A785" s="79"/>
      <c r="B785" s="79"/>
      <c r="C785" s="81"/>
      <c r="D785" s="81"/>
      <c r="E785" s="81"/>
      <c r="F785" s="82"/>
      <c r="G785" s="83"/>
      <c r="H785" s="83"/>
      <c r="I785" s="81"/>
      <c r="J785" s="84"/>
      <c r="K785" s="84"/>
      <c r="L785" s="84"/>
      <c r="M785" s="81"/>
      <c r="N785" s="81"/>
      <c r="O785" s="81"/>
      <c r="P785" s="81"/>
      <c r="Q785" s="81"/>
      <c r="R785" s="81"/>
      <c r="S785" s="81"/>
      <c r="T785" s="81"/>
      <c r="U785" s="81"/>
      <c r="V785" s="81"/>
      <c r="W785" s="81"/>
      <c r="X785" s="81"/>
      <c r="Y785" s="81"/>
      <c r="Z785" s="81"/>
    </row>
    <row r="786" spans="1:26" ht="12" customHeight="1">
      <c r="A786" s="79"/>
      <c r="B786" s="79"/>
      <c r="C786" s="81"/>
      <c r="D786" s="81"/>
      <c r="E786" s="81"/>
      <c r="F786" s="82"/>
      <c r="G786" s="83"/>
      <c r="H786" s="83"/>
      <c r="I786" s="81"/>
      <c r="J786" s="84"/>
      <c r="K786" s="84"/>
      <c r="L786" s="84"/>
      <c r="M786" s="81"/>
      <c r="N786" s="81"/>
      <c r="O786" s="81"/>
      <c r="P786" s="81"/>
      <c r="Q786" s="81"/>
      <c r="R786" s="81"/>
      <c r="S786" s="81"/>
      <c r="T786" s="81"/>
      <c r="U786" s="81"/>
      <c r="V786" s="81"/>
      <c r="W786" s="81"/>
      <c r="X786" s="81"/>
      <c r="Y786" s="81"/>
      <c r="Z786" s="81"/>
    </row>
    <row r="787" spans="1:26" ht="12" customHeight="1">
      <c r="A787" s="79"/>
      <c r="B787" s="79"/>
      <c r="C787" s="81"/>
      <c r="D787" s="81"/>
      <c r="E787" s="81"/>
      <c r="F787" s="82"/>
      <c r="G787" s="83"/>
      <c r="H787" s="83"/>
      <c r="I787" s="81"/>
      <c r="J787" s="84"/>
      <c r="K787" s="84"/>
      <c r="L787" s="84"/>
      <c r="M787" s="81"/>
      <c r="N787" s="81"/>
      <c r="O787" s="81"/>
      <c r="P787" s="81"/>
      <c r="Q787" s="81"/>
      <c r="R787" s="81"/>
      <c r="S787" s="81"/>
      <c r="T787" s="81"/>
      <c r="U787" s="81"/>
      <c r="V787" s="81"/>
      <c r="W787" s="81"/>
      <c r="X787" s="81"/>
      <c r="Y787" s="81"/>
      <c r="Z787" s="81"/>
    </row>
    <row r="788" spans="1:26" ht="12" customHeight="1">
      <c r="A788" s="79"/>
      <c r="B788" s="79"/>
      <c r="C788" s="81"/>
      <c r="D788" s="81"/>
      <c r="E788" s="81"/>
      <c r="F788" s="82"/>
      <c r="G788" s="83"/>
      <c r="H788" s="83"/>
      <c r="I788" s="81"/>
      <c r="J788" s="84"/>
      <c r="K788" s="84"/>
      <c r="L788" s="84"/>
      <c r="M788" s="81"/>
      <c r="N788" s="81"/>
      <c r="O788" s="81"/>
      <c r="P788" s="81"/>
      <c r="Q788" s="81"/>
      <c r="R788" s="81"/>
      <c r="S788" s="81"/>
      <c r="T788" s="81"/>
      <c r="U788" s="81"/>
      <c r="V788" s="81"/>
      <c r="W788" s="81"/>
      <c r="X788" s="81"/>
      <c r="Y788" s="81"/>
      <c r="Z788" s="81"/>
    </row>
    <row r="789" spans="1:26" ht="12" customHeight="1">
      <c r="A789" s="79"/>
      <c r="B789" s="79"/>
      <c r="C789" s="81"/>
      <c r="D789" s="81"/>
      <c r="E789" s="81"/>
      <c r="F789" s="82"/>
      <c r="G789" s="83"/>
      <c r="H789" s="83"/>
      <c r="I789" s="81"/>
      <c r="J789" s="84"/>
      <c r="K789" s="84"/>
      <c r="L789" s="84"/>
      <c r="M789" s="81"/>
      <c r="N789" s="81"/>
      <c r="O789" s="81"/>
      <c r="P789" s="81"/>
      <c r="Q789" s="81"/>
      <c r="R789" s="81"/>
      <c r="S789" s="81"/>
      <c r="T789" s="81"/>
      <c r="U789" s="81"/>
      <c r="V789" s="81"/>
      <c r="W789" s="81"/>
      <c r="X789" s="81"/>
      <c r="Y789" s="81"/>
      <c r="Z789" s="81"/>
    </row>
    <row r="790" spans="1:26" ht="12" customHeight="1">
      <c r="A790" s="79"/>
      <c r="B790" s="79"/>
      <c r="C790" s="81"/>
      <c r="D790" s="81"/>
      <c r="E790" s="81"/>
      <c r="F790" s="82"/>
      <c r="G790" s="83"/>
      <c r="H790" s="83"/>
      <c r="I790" s="81"/>
      <c r="J790" s="84"/>
      <c r="K790" s="84"/>
      <c r="L790" s="84"/>
      <c r="M790" s="81"/>
      <c r="N790" s="81"/>
      <c r="O790" s="81"/>
      <c r="P790" s="81"/>
      <c r="Q790" s="81"/>
      <c r="R790" s="81"/>
      <c r="S790" s="81"/>
      <c r="T790" s="81"/>
      <c r="U790" s="81"/>
      <c r="V790" s="81"/>
      <c r="W790" s="81"/>
      <c r="X790" s="81"/>
      <c r="Y790" s="81"/>
      <c r="Z790" s="81"/>
    </row>
    <row r="791" spans="1:26" ht="12" customHeight="1">
      <c r="A791" s="79"/>
      <c r="B791" s="79"/>
      <c r="C791" s="81"/>
      <c r="D791" s="81"/>
      <c r="E791" s="81"/>
      <c r="F791" s="82"/>
      <c r="G791" s="83"/>
      <c r="H791" s="83"/>
      <c r="I791" s="81"/>
      <c r="J791" s="84"/>
      <c r="K791" s="84"/>
      <c r="L791" s="84"/>
      <c r="M791" s="81"/>
      <c r="N791" s="81"/>
      <c r="O791" s="81"/>
      <c r="P791" s="81"/>
      <c r="Q791" s="81"/>
      <c r="R791" s="81"/>
      <c r="S791" s="81"/>
      <c r="T791" s="81"/>
      <c r="U791" s="81"/>
      <c r="V791" s="81"/>
      <c r="W791" s="81"/>
      <c r="X791" s="81"/>
      <c r="Y791" s="81"/>
      <c r="Z791" s="81"/>
    </row>
    <row r="792" spans="1:26" ht="12" customHeight="1">
      <c r="A792" s="79"/>
      <c r="B792" s="79"/>
      <c r="C792" s="81"/>
      <c r="D792" s="81"/>
      <c r="E792" s="81"/>
      <c r="F792" s="82"/>
      <c r="G792" s="83"/>
      <c r="H792" s="83"/>
      <c r="I792" s="81"/>
      <c r="J792" s="84"/>
      <c r="K792" s="84"/>
      <c r="L792" s="84"/>
      <c r="M792" s="81"/>
      <c r="N792" s="81"/>
      <c r="O792" s="81"/>
      <c r="P792" s="81"/>
      <c r="Q792" s="81"/>
      <c r="R792" s="81"/>
      <c r="S792" s="81"/>
      <c r="T792" s="81"/>
      <c r="U792" s="81"/>
      <c r="V792" s="81"/>
      <c r="W792" s="81"/>
      <c r="X792" s="81"/>
      <c r="Y792" s="81"/>
      <c r="Z792" s="81"/>
    </row>
    <row r="793" spans="1:26" ht="12" customHeight="1">
      <c r="A793" s="79"/>
      <c r="B793" s="79"/>
      <c r="C793" s="81"/>
      <c r="D793" s="81"/>
      <c r="E793" s="81"/>
      <c r="F793" s="82"/>
      <c r="G793" s="83"/>
      <c r="H793" s="83"/>
      <c r="I793" s="81"/>
      <c r="J793" s="84"/>
      <c r="K793" s="84"/>
      <c r="L793" s="84"/>
      <c r="M793" s="81"/>
      <c r="N793" s="81"/>
      <c r="O793" s="81"/>
      <c r="P793" s="81"/>
      <c r="Q793" s="81"/>
      <c r="R793" s="81"/>
      <c r="S793" s="81"/>
      <c r="T793" s="81"/>
      <c r="U793" s="81"/>
      <c r="V793" s="81"/>
      <c r="W793" s="81"/>
      <c r="X793" s="81"/>
      <c r="Y793" s="81"/>
      <c r="Z793" s="81"/>
    </row>
    <row r="794" spans="1:26" ht="12" customHeight="1">
      <c r="A794" s="79"/>
      <c r="B794" s="79"/>
      <c r="C794" s="81"/>
      <c r="D794" s="81"/>
      <c r="E794" s="81"/>
      <c r="F794" s="82"/>
      <c r="G794" s="83"/>
      <c r="H794" s="83"/>
      <c r="I794" s="81"/>
      <c r="J794" s="84"/>
      <c r="K794" s="84"/>
      <c r="L794" s="84"/>
      <c r="M794" s="81"/>
      <c r="N794" s="81"/>
      <c r="O794" s="81"/>
      <c r="P794" s="81"/>
      <c r="Q794" s="81"/>
      <c r="R794" s="81"/>
      <c r="S794" s="81"/>
      <c r="T794" s="81"/>
      <c r="U794" s="81"/>
      <c r="V794" s="81"/>
      <c r="W794" s="81"/>
      <c r="X794" s="81"/>
      <c r="Y794" s="81"/>
      <c r="Z794" s="81"/>
    </row>
    <row r="795" spans="1:26" ht="12" customHeight="1">
      <c r="A795" s="79"/>
      <c r="B795" s="79"/>
      <c r="C795" s="81"/>
      <c r="D795" s="81"/>
      <c r="E795" s="81"/>
      <c r="F795" s="82"/>
      <c r="G795" s="83"/>
      <c r="H795" s="83"/>
      <c r="I795" s="81"/>
      <c r="J795" s="84"/>
      <c r="K795" s="84"/>
      <c r="L795" s="84"/>
      <c r="M795" s="81"/>
      <c r="N795" s="81"/>
      <c r="O795" s="81"/>
      <c r="P795" s="81"/>
      <c r="Q795" s="81"/>
      <c r="R795" s="81"/>
      <c r="S795" s="81"/>
      <c r="T795" s="81"/>
      <c r="U795" s="81"/>
      <c r="V795" s="81"/>
      <c r="W795" s="81"/>
      <c r="X795" s="81"/>
      <c r="Y795" s="81"/>
      <c r="Z795" s="81"/>
    </row>
    <row r="796" spans="1:26" ht="12" customHeight="1">
      <c r="A796" s="79"/>
      <c r="B796" s="79"/>
      <c r="C796" s="81"/>
      <c r="D796" s="81"/>
      <c r="E796" s="81"/>
      <c r="F796" s="82"/>
      <c r="G796" s="83"/>
      <c r="H796" s="83"/>
      <c r="I796" s="81"/>
      <c r="J796" s="84"/>
      <c r="K796" s="84"/>
      <c r="L796" s="84"/>
      <c r="M796" s="81"/>
      <c r="N796" s="81"/>
      <c r="O796" s="81"/>
      <c r="P796" s="81"/>
      <c r="Q796" s="81"/>
      <c r="R796" s="81"/>
      <c r="S796" s="81"/>
      <c r="T796" s="81"/>
      <c r="U796" s="81"/>
      <c r="V796" s="81"/>
      <c r="W796" s="81"/>
      <c r="X796" s="81"/>
      <c r="Y796" s="81"/>
      <c r="Z796" s="81"/>
    </row>
    <row r="797" spans="1:26" ht="12" customHeight="1">
      <c r="A797" s="79"/>
      <c r="B797" s="79"/>
      <c r="C797" s="81"/>
      <c r="D797" s="81"/>
      <c r="E797" s="81"/>
      <c r="F797" s="82"/>
      <c r="G797" s="83"/>
      <c r="H797" s="83"/>
      <c r="I797" s="81"/>
      <c r="J797" s="84"/>
      <c r="K797" s="84"/>
      <c r="L797" s="84"/>
      <c r="M797" s="81"/>
      <c r="N797" s="81"/>
      <c r="O797" s="81"/>
      <c r="P797" s="81"/>
      <c r="Q797" s="81"/>
      <c r="R797" s="81"/>
      <c r="S797" s="81"/>
      <c r="T797" s="81"/>
      <c r="U797" s="81"/>
      <c r="V797" s="81"/>
      <c r="W797" s="81"/>
      <c r="X797" s="81"/>
      <c r="Y797" s="81"/>
      <c r="Z797" s="81"/>
    </row>
    <row r="798" spans="1:26" ht="12" customHeight="1">
      <c r="A798" s="79"/>
      <c r="B798" s="79"/>
      <c r="C798" s="81"/>
      <c r="D798" s="81"/>
      <c r="E798" s="81"/>
      <c r="F798" s="82"/>
      <c r="G798" s="83"/>
      <c r="H798" s="83"/>
      <c r="I798" s="81"/>
      <c r="J798" s="84"/>
      <c r="K798" s="84"/>
      <c r="L798" s="84"/>
      <c r="M798" s="81"/>
      <c r="N798" s="81"/>
      <c r="O798" s="81"/>
      <c r="P798" s="81"/>
      <c r="Q798" s="81"/>
      <c r="R798" s="81"/>
      <c r="S798" s="81"/>
      <c r="T798" s="81"/>
      <c r="U798" s="81"/>
      <c r="V798" s="81"/>
      <c r="W798" s="81"/>
      <c r="X798" s="81"/>
      <c r="Y798" s="81"/>
      <c r="Z798" s="81"/>
    </row>
    <row r="799" spans="1:26" ht="12" customHeight="1">
      <c r="A799" s="79"/>
      <c r="B799" s="79"/>
      <c r="C799" s="81"/>
      <c r="D799" s="81"/>
      <c r="E799" s="81"/>
      <c r="F799" s="82"/>
      <c r="G799" s="83"/>
      <c r="H799" s="83"/>
      <c r="I799" s="81"/>
      <c r="J799" s="84"/>
      <c r="K799" s="84"/>
      <c r="L799" s="84"/>
      <c r="M799" s="81"/>
      <c r="N799" s="81"/>
      <c r="O799" s="81"/>
      <c r="P799" s="81"/>
      <c r="Q799" s="81"/>
      <c r="R799" s="81"/>
      <c r="S799" s="81"/>
      <c r="T799" s="81"/>
      <c r="U799" s="81"/>
      <c r="V799" s="81"/>
      <c r="W799" s="81"/>
      <c r="X799" s="81"/>
      <c r="Y799" s="81"/>
      <c r="Z799" s="81"/>
    </row>
    <row r="800" spans="1:26" ht="12" customHeight="1">
      <c r="A800" s="79"/>
      <c r="B800" s="79"/>
      <c r="C800" s="81"/>
      <c r="D800" s="81"/>
      <c r="E800" s="81"/>
      <c r="F800" s="82"/>
      <c r="G800" s="83"/>
      <c r="H800" s="83"/>
      <c r="I800" s="81"/>
      <c r="J800" s="84"/>
      <c r="K800" s="84"/>
      <c r="L800" s="84"/>
      <c r="M800" s="81"/>
      <c r="N800" s="81"/>
      <c r="O800" s="81"/>
      <c r="P800" s="81"/>
      <c r="Q800" s="81"/>
      <c r="R800" s="81"/>
      <c r="S800" s="81"/>
      <c r="T800" s="81"/>
      <c r="U800" s="81"/>
      <c r="V800" s="81"/>
      <c r="W800" s="81"/>
      <c r="X800" s="81"/>
      <c r="Y800" s="81"/>
      <c r="Z800" s="81"/>
    </row>
    <row r="801" spans="1:26" ht="12" customHeight="1">
      <c r="A801" s="79"/>
      <c r="B801" s="79"/>
      <c r="C801" s="81"/>
      <c r="D801" s="81"/>
      <c r="E801" s="81"/>
      <c r="F801" s="82"/>
      <c r="G801" s="83"/>
      <c r="H801" s="83"/>
      <c r="I801" s="81"/>
      <c r="J801" s="84"/>
      <c r="K801" s="84"/>
      <c r="L801" s="84"/>
      <c r="M801" s="81"/>
      <c r="N801" s="81"/>
      <c r="O801" s="81"/>
      <c r="P801" s="81"/>
      <c r="Q801" s="81"/>
      <c r="R801" s="81"/>
      <c r="S801" s="81"/>
      <c r="T801" s="81"/>
      <c r="U801" s="81"/>
      <c r="V801" s="81"/>
      <c r="W801" s="81"/>
      <c r="X801" s="81"/>
      <c r="Y801" s="81"/>
      <c r="Z801" s="81"/>
    </row>
    <row r="802" spans="1:26" ht="12" customHeight="1">
      <c r="A802" s="79"/>
      <c r="B802" s="79"/>
      <c r="C802" s="81"/>
      <c r="D802" s="81"/>
      <c r="E802" s="81"/>
      <c r="F802" s="82"/>
      <c r="G802" s="83"/>
      <c r="H802" s="83"/>
      <c r="I802" s="81"/>
      <c r="J802" s="84"/>
      <c r="K802" s="84"/>
      <c r="L802" s="84"/>
      <c r="M802" s="81"/>
      <c r="N802" s="81"/>
      <c r="O802" s="81"/>
      <c r="P802" s="81"/>
      <c r="Q802" s="81"/>
      <c r="R802" s="81"/>
      <c r="S802" s="81"/>
      <c r="T802" s="81"/>
      <c r="U802" s="81"/>
      <c r="V802" s="81"/>
      <c r="W802" s="81"/>
      <c r="X802" s="81"/>
      <c r="Y802" s="81"/>
      <c r="Z802" s="81"/>
    </row>
    <row r="803" spans="1:26" ht="12" customHeight="1">
      <c r="A803" s="79"/>
      <c r="B803" s="79"/>
      <c r="C803" s="81"/>
      <c r="D803" s="81"/>
      <c r="E803" s="81"/>
      <c r="F803" s="82"/>
      <c r="G803" s="83"/>
      <c r="H803" s="83"/>
      <c r="I803" s="81"/>
      <c r="J803" s="84"/>
      <c r="K803" s="84"/>
      <c r="L803" s="84"/>
      <c r="M803" s="81"/>
      <c r="N803" s="81"/>
      <c r="O803" s="81"/>
      <c r="P803" s="81"/>
      <c r="Q803" s="81"/>
      <c r="R803" s="81"/>
      <c r="S803" s="81"/>
      <c r="T803" s="81"/>
      <c r="U803" s="81"/>
      <c r="V803" s="81"/>
      <c r="W803" s="81"/>
      <c r="X803" s="81"/>
      <c r="Y803" s="81"/>
      <c r="Z803" s="81"/>
    </row>
    <row r="804" spans="1:26" ht="12" customHeight="1">
      <c r="A804" s="79"/>
      <c r="B804" s="79"/>
      <c r="C804" s="81"/>
      <c r="D804" s="81"/>
      <c r="E804" s="81"/>
      <c r="F804" s="82"/>
      <c r="G804" s="83"/>
      <c r="H804" s="83"/>
      <c r="I804" s="81"/>
      <c r="J804" s="84"/>
      <c r="K804" s="84"/>
      <c r="L804" s="84"/>
      <c r="M804" s="81"/>
      <c r="N804" s="81"/>
      <c r="O804" s="81"/>
      <c r="P804" s="81"/>
      <c r="Q804" s="81"/>
      <c r="R804" s="81"/>
      <c r="S804" s="81"/>
      <c r="T804" s="81"/>
      <c r="U804" s="81"/>
      <c r="V804" s="81"/>
      <c r="W804" s="81"/>
      <c r="X804" s="81"/>
      <c r="Y804" s="81"/>
      <c r="Z804" s="81"/>
    </row>
    <row r="805" spans="1:26" ht="12" customHeight="1">
      <c r="A805" s="79"/>
      <c r="B805" s="79"/>
      <c r="C805" s="81"/>
      <c r="D805" s="81"/>
      <c r="E805" s="81"/>
      <c r="F805" s="82"/>
      <c r="G805" s="83"/>
      <c r="H805" s="83"/>
      <c r="I805" s="81"/>
      <c r="J805" s="84"/>
      <c r="K805" s="84"/>
      <c r="L805" s="84"/>
      <c r="M805" s="81"/>
      <c r="N805" s="81"/>
      <c r="O805" s="81"/>
      <c r="P805" s="81"/>
      <c r="Q805" s="81"/>
      <c r="R805" s="81"/>
      <c r="S805" s="81"/>
      <c r="T805" s="81"/>
      <c r="U805" s="81"/>
      <c r="V805" s="81"/>
      <c r="W805" s="81"/>
      <c r="X805" s="81"/>
      <c r="Y805" s="81"/>
      <c r="Z805" s="81"/>
    </row>
    <row r="806" spans="1:26" ht="12" customHeight="1">
      <c r="A806" s="79"/>
      <c r="B806" s="79"/>
      <c r="C806" s="81"/>
      <c r="D806" s="81"/>
      <c r="E806" s="81"/>
      <c r="F806" s="82"/>
      <c r="G806" s="83"/>
      <c r="H806" s="83"/>
      <c r="I806" s="81"/>
      <c r="J806" s="84"/>
      <c r="K806" s="84"/>
      <c r="L806" s="84"/>
      <c r="M806" s="81"/>
      <c r="N806" s="81"/>
      <c r="O806" s="81"/>
      <c r="P806" s="81"/>
      <c r="Q806" s="81"/>
      <c r="R806" s="81"/>
      <c r="S806" s="81"/>
      <c r="T806" s="81"/>
      <c r="U806" s="81"/>
      <c r="V806" s="81"/>
      <c r="W806" s="81"/>
      <c r="X806" s="81"/>
      <c r="Y806" s="81"/>
      <c r="Z806" s="81"/>
    </row>
    <row r="807" spans="1:26" ht="12" customHeight="1">
      <c r="A807" s="79"/>
      <c r="B807" s="79"/>
      <c r="C807" s="81"/>
      <c r="D807" s="81"/>
      <c r="E807" s="81"/>
      <c r="F807" s="82"/>
      <c r="G807" s="83"/>
      <c r="H807" s="83"/>
      <c r="I807" s="81"/>
      <c r="J807" s="84"/>
      <c r="K807" s="84"/>
      <c r="L807" s="84"/>
      <c r="M807" s="81"/>
      <c r="N807" s="81"/>
      <c r="O807" s="81"/>
      <c r="P807" s="81"/>
      <c r="Q807" s="81"/>
      <c r="R807" s="81"/>
      <c r="S807" s="81"/>
      <c r="T807" s="81"/>
      <c r="U807" s="81"/>
      <c r="V807" s="81"/>
      <c r="W807" s="81"/>
      <c r="X807" s="81"/>
      <c r="Y807" s="81"/>
      <c r="Z807" s="81"/>
    </row>
    <row r="808" spans="1:26" ht="12" customHeight="1">
      <c r="A808" s="79"/>
      <c r="B808" s="79"/>
      <c r="C808" s="81"/>
      <c r="D808" s="81"/>
      <c r="E808" s="81"/>
      <c r="F808" s="82"/>
      <c r="G808" s="83"/>
      <c r="H808" s="83"/>
      <c r="I808" s="81"/>
      <c r="J808" s="84"/>
      <c r="K808" s="84"/>
      <c r="L808" s="84"/>
      <c r="M808" s="81"/>
      <c r="N808" s="81"/>
      <c r="O808" s="81"/>
      <c r="P808" s="81"/>
      <c r="Q808" s="81"/>
      <c r="R808" s="81"/>
      <c r="S808" s="81"/>
      <c r="T808" s="81"/>
      <c r="U808" s="81"/>
      <c r="V808" s="81"/>
      <c r="W808" s="81"/>
      <c r="X808" s="81"/>
      <c r="Y808" s="81"/>
      <c r="Z808" s="81"/>
    </row>
    <row r="809" spans="1:26" ht="12" customHeight="1">
      <c r="A809" s="79"/>
      <c r="B809" s="79"/>
      <c r="C809" s="81"/>
      <c r="D809" s="81"/>
      <c r="E809" s="81"/>
      <c r="F809" s="82"/>
      <c r="G809" s="83"/>
      <c r="H809" s="83"/>
      <c r="I809" s="81"/>
      <c r="J809" s="84"/>
      <c r="K809" s="84"/>
      <c r="L809" s="84"/>
      <c r="M809" s="81"/>
      <c r="N809" s="81"/>
      <c r="O809" s="81"/>
      <c r="P809" s="81"/>
      <c r="Q809" s="81"/>
      <c r="R809" s="81"/>
      <c r="S809" s="81"/>
      <c r="T809" s="81"/>
      <c r="U809" s="81"/>
      <c r="V809" s="81"/>
      <c r="W809" s="81"/>
      <c r="X809" s="81"/>
      <c r="Y809" s="81"/>
      <c r="Z809" s="81"/>
    </row>
    <row r="810" spans="1:26" ht="12" customHeight="1">
      <c r="A810" s="79"/>
      <c r="B810" s="79"/>
      <c r="C810" s="81"/>
      <c r="D810" s="81"/>
      <c r="E810" s="81"/>
      <c r="F810" s="82"/>
      <c r="G810" s="83"/>
      <c r="H810" s="83"/>
      <c r="I810" s="81"/>
      <c r="J810" s="84"/>
      <c r="K810" s="84"/>
      <c r="L810" s="84"/>
      <c r="M810" s="81"/>
      <c r="N810" s="81"/>
      <c r="O810" s="81"/>
      <c r="P810" s="81"/>
      <c r="Q810" s="81"/>
      <c r="R810" s="81"/>
      <c r="S810" s="81"/>
      <c r="T810" s="81"/>
      <c r="U810" s="81"/>
      <c r="V810" s="81"/>
      <c r="W810" s="81"/>
      <c r="X810" s="81"/>
      <c r="Y810" s="81"/>
      <c r="Z810" s="81"/>
    </row>
    <row r="811" spans="1:26" ht="12" customHeight="1">
      <c r="A811" s="79"/>
      <c r="B811" s="79"/>
      <c r="C811" s="81"/>
      <c r="D811" s="81"/>
      <c r="E811" s="81"/>
      <c r="F811" s="82"/>
      <c r="G811" s="83"/>
      <c r="H811" s="83"/>
      <c r="I811" s="81"/>
      <c r="J811" s="84"/>
      <c r="K811" s="84"/>
      <c r="L811" s="84"/>
      <c r="M811" s="81"/>
      <c r="N811" s="81"/>
      <c r="O811" s="81"/>
      <c r="P811" s="81"/>
      <c r="Q811" s="81"/>
      <c r="R811" s="81"/>
      <c r="S811" s="81"/>
      <c r="T811" s="81"/>
      <c r="U811" s="81"/>
      <c r="V811" s="81"/>
      <c r="W811" s="81"/>
      <c r="X811" s="81"/>
      <c r="Y811" s="81"/>
      <c r="Z811" s="81"/>
    </row>
    <row r="812" spans="1:26" ht="12" customHeight="1">
      <c r="A812" s="79"/>
      <c r="B812" s="79"/>
      <c r="C812" s="81"/>
      <c r="D812" s="81"/>
      <c r="E812" s="81"/>
      <c r="F812" s="82"/>
      <c r="G812" s="83"/>
      <c r="H812" s="83"/>
      <c r="I812" s="81"/>
      <c r="J812" s="84"/>
      <c r="K812" s="84"/>
      <c r="L812" s="84"/>
      <c r="M812" s="81"/>
      <c r="N812" s="81"/>
      <c r="O812" s="81"/>
      <c r="P812" s="81"/>
      <c r="Q812" s="81"/>
      <c r="R812" s="81"/>
      <c r="S812" s="81"/>
      <c r="T812" s="81"/>
      <c r="U812" s="81"/>
      <c r="V812" s="81"/>
      <c r="W812" s="81"/>
      <c r="X812" s="81"/>
      <c r="Y812" s="81"/>
      <c r="Z812" s="81"/>
    </row>
    <row r="813" spans="1:26" ht="12" customHeight="1">
      <c r="A813" s="79"/>
      <c r="B813" s="79"/>
      <c r="C813" s="81"/>
      <c r="D813" s="81"/>
      <c r="E813" s="81"/>
      <c r="F813" s="82"/>
      <c r="G813" s="83"/>
      <c r="H813" s="83"/>
      <c r="I813" s="81"/>
      <c r="J813" s="84"/>
      <c r="K813" s="84"/>
      <c r="L813" s="84"/>
      <c r="M813" s="81"/>
      <c r="N813" s="81"/>
      <c r="O813" s="81"/>
      <c r="P813" s="81"/>
      <c r="Q813" s="81"/>
      <c r="R813" s="81"/>
      <c r="S813" s="81"/>
      <c r="T813" s="81"/>
      <c r="U813" s="81"/>
      <c r="V813" s="81"/>
      <c r="W813" s="81"/>
      <c r="X813" s="81"/>
      <c r="Y813" s="81"/>
      <c r="Z813" s="81"/>
    </row>
    <row r="814" spans="1:26" ht="12" customHeight="1">
      <c r="A814" s="79"/>
      <c r="B814" s="79"/>
      <c r="C814" s="81"/>
      <c r="D814" s="81"/>
      <c r="E814" s="81"/>
      <c r="F814" s="82"/>
      <c r="G814" s="83"/>
      <c r="H814" s="83"/>
      <c r="I814" s="81"/>
      <c r="J814" s="84"/>
      <c r="K814" s="84"/>
      <c r="L814" s="84"/>
      <c r="M814" s="81"/>
      <c r="N814" s="81"/>
      <c r="O814" s="81"/>
      <c r="P814" s="81"/>
      <c r="Q814" s="81"/>
      <c r="R814" s="81"/>
      <c r="S814" s="81"/>
      <c r="T814" s="81"/>
      <c r="U814" s="81"/>
      <c r="V814" s="81"/>
      <c r="W814" s="81"/>
      <c r="X814" s="81"/>
      <c r="Y814" s="81"/>
      <c r="Z814" s="81"/>
    </row>
    <row r="815" spans="1:26" ht="12" customHeight="1">
      <c r="A815" s="79"/>
      <c r="B815" s="79"/>
      <c r="C815" s="81"/>
      <c r="D815" s="81"/>
      <c r="E815" s="81"/>
      <c r="F815" s="82"/>
      <c r="G815" s="83"/>
      <c r="H815" s="83"/>
      <c r="I815" s="81"/>
      <c r="J815" s="84"/>
      <c r="K815" s="84"/>
      <c r="L815" s="84"/>
      <c r="M815" s="81"/>
      <c r="N815" s="81"/>
      <c r="O815" s="81"/>
      <c r="P815" s="81"/>
      <c r="Q815" s="81"/>
      <c r="R815" s="81"/>
      <c r="S815" s="81"/>
      <c r="T815" s="81"/>
      <c r="U815" s="81"/>
      <c r="V815" s="81"/>
      <c r="W815" s="81"/>
      <c r="X815" s="81"/>
      <c r="Y815" s="81"/>
      <c r="Z815" s="81"/>
    </row>
    <row r="816" spans="1:26" ht="12" customHeight="1">
      <c r="A816" s="79"/>
      <c r="B816" s="79"/>
      <c r="C816" s="81"/>
      <c r="D816" s="81"/>
      <c r="E816" s="81"/>
      <c r="F816" s="82"/>
      <c r="G816" s="83"/>
      <c r="H816" s="83"/>
      <c r="I816" s="81"/>
      <c r="J816" s="84"/>
      <c r="K816" s="84"/>
      <c r="L816" s="84"/>
      <c r="M816" s="81"/>
      <c r="N816" s="81"/>
      <c r="O816" s="81"/>
      <c r="P816" s="81"/>
      <c r="Q816" s="81"/>
      <c r="R816" s="81"/>
      <c r="S816" s="81"/>
      <c r="T816" s="81"/>
      <c r="U816" s="81"/>
      <c r="V816" s="81"/>
      <c r="W816" s="81"/>
      <c r="X816" s="81"/>
      <c r="Y816" s="81"/>
      <c r="Z816" s="81"/>
    </row>
    <row r="817" spans="1:26" ht="12" customHeight="1">
      <c r="A817" s="79"/>
      <c r="B817" s="79"/>
      <c r="C817" s="81"/>
      <c r="D817" s="81"/>
      <c r="E817" s="81"/>
      <c r="F817" s="82"/>
      <c r="G817" s="83"/>
      <c r="H817" s="83"/>
      <c r="I817" s="81"/>
      <c r="J817" s="84"/>
      <c r="K817" s="84"/>
      <c r="L817" s="84"/>
      <c r="M817" s="81"/>
      <c r="N817" s="81"/>
      <c r="O817" s="81"/>
      <c r="P817" s="81"/>
      <c r="Q817" s="81"/>
      <c r="R817" s="81"/>
      <c r="S817" s="81"/>
      <c r="T817" s="81"/>
      <c r="U817" s="81"/>
      <c r="V817" s="81"/>
      <c r="W817" s="81"/>
      <c r="X817" s="81"/>
      <c r="Y817" s="81"/>
      <c r="Z817" s="81"/>
    </row>
    <row r="818" spans="1:26" ht="12" customHeight="1">
      <c r="A818" s="79"/>
      <c r="B818" s="79"/>
      <c r="C818" s="81"/>
      <c r="D818" s="81"/>
      <c r="E818" s="81"/>
      <c r="F818" s="82"/>
      <c r="G818" s="83"/>
      <c r="H818" s="83"/>
      <c r="I818" s="81"/>
      <c r="J818" s="84"/>
      <c r="K818" s="84"/>
      <c r="L818" s="84"/>
      <c r="M818" s="81"/>
      <c r="N818" s="81"/>
      <c r="O818" s="81"/>
      <c r="P818" s="81"/>
      <c r="Q818" s="81"/>
      <c r="R818" s="81"/>
      <c r="S818" s="81"/>
      <c r="T818" s="81"/>
      <c r="U818" s="81"/>
      <c r="V818" s="81"/>
      <c r="W818" s="81"/>
      <c r="X818" s="81"/>
      <c r="Y818" s="81"/>
      <c r="Z818" s="81"/>
    </row>
    <row r="819" spans="1:26" ht="12" customHeight="1">
      <c r="A819" s="79"/>
      <c r="B819" s="79"/>
      <c r="C819" s="81"/>
      <c r="D819" s="81"/>
      <c r="E819" s="81"/>
      <c r="F819" s="82"/>
      <c r="G819" s="83"/>
      <c r="H819" s="83"/>
      <c r="I819" s="81"/>
      <c r="J819" s="84"/>
      <c r="K819" s="84"/>
      <c r="L819" s="84"/>
      <c r="M819" s="81"/>
      <c r="N819" s="81"/>
      <c r="O819" s="81"/>
      <c r="P819" s="81"/>
      <c r="Q819" s="81"/>
      <c r="R819" s="81"/>
      <c r="S819" s="81"/>
      <c r="T819" s="81"/>
      <c r="U819" s="81"/>
      <c r="V819" s="81"/>
      <c r="W819" s="81"/>
      <c r="X819" s="81"/>
      <c r="Y819" s="81"/>
      <c r="Z819" s="81"/>
    </row>
    <row r="820" spans="1:26" ht="12" customHeight="1">
      <c r="A820" s="79"/>
      <c r="B820" s="79"/>
      <c r="C820" s="81"/>
      <c r="D820" s="81"/>
      <c r="E820" s="81"/>
      <c r="F820" s="82"/>
      <c r="G820" s="83"/>
      <c r="H820" s="83"/>
      <c r="I820" s="81"/>
      <c r="J820" s="84"/>
      <c r="K820" s="84"/>
      <c r="L820" s="84"/>
      <c r="M820" s="81"/>
      <c r="N820" s="81"/>
      <c r="O820" s="81"/>
      <c r="P820" s="81"/>
      <c r="Q820" s="81"/>
      <c r="R820" s="81"/>
      <c r="S820" s="81"/>
      <c r="T820" s="81"/>
      <c r="U820" s="81"/>
      <c r="V820" s="81"/>
      <c r="W820" s="81"/>
      <c r="X820" s="81"/>
      <c r="Y820" s="81"/>
      <c r="Z820" s="81"/>
    </row>
    <row r="821" spans="1:26" ht="12" customHeight="1">
      <c r="A821" s="79"/>
      <c r="B821" s="79"/>
      <c r="C821" s="81"/>
      <c r="D821" s="81"/>
      <c r="E821" s="81"/>
      <c r="F821" s="82"/>
      <c r="G821" s="83"/>
      <c r="H821" s="83"/>
      <c r="I821" s="81"/>
      <c r="J821" s="84"/>
      <c r="K821" s="84"/>
      <c r="L821" s="84"/>
      <c r="M821" s="81"/>
      <c r="N821" s="81"/>
      <c r="O821" s="81"/>
      <c r="P821" s="81"/>
      <c r="Q821" s="81"/>
      <c r="R821" s="81"/>
      <c r="S821" s="81"/>
      <c r="T821" s="81"/>
      <c r="U821" s="81"/>
      <c r="V821" s="81"/>
      <c r="W821" s="81"/>
      <c r="X821" s="81"/>
      <c r="Y821" s="81"/>
      <c r="Z821" s="81"/>
    </row>
    <row r="822" spans="1:26" ht="12" customHeight="1">
      <c r="A822" s="79"/>
      <c r="B822" s="79"/>
      <c r="C822" s="81"/>
      <c r="D822" s="81"/>
      <c r="E822" s="81"/>
      <c r="F822" s="82"/>
      <c r="G822" s="83"/>
      <c r="H822" s="83"/>
      <c r="I822" s="81"/>
      <c r="J822" s="84"/>
      <c r="K822" s="84"/>
      <c r="L822" s="84"/>
      <c r="M822" s="81"/>
      <c r="N822" s="81"/>
      <c r="O822" s="81"/>
      <c r="P822" s="81"/>
      <c r="Q822" s="81"/>
      <c r="R822" s="81"/>
      <c r="S822" s="81"/>
      <c r="T822" s="81"/>
      <c r="U822" s="81"/>
      <c r="V822" s="81"/>
      <c r="W822" s="81"/>
      <c r="X822" s="81"/>
      <c r="Y822" s="81"/>
      <c r="Z822" s="81"/>
    </row>
    <row r="823" spans="1:26" ht="12" customHeight="1">
      <c r="A823" s="79"/>
      <c r="B823" s="79"/>
      <c r="C823" s="81"/>
      <c r="D823" s="81"/>
      <c r="E823" s="81"/>
      <c r="F823" s="82"/>
      <c r="G823" s="83"/>
      <c r="H823" s="83"/>
      <c r="I823" s="81"/>
      <c r="J823" s="84"/>
      <c r="K823" s="84"/>
      <c r="L823" s="84"/>
      <c r="M823" s="81"/>
      <c r="N823" s="81"/>
      <c r="O823" s="81"/>
      <c r="P823" s="81"/>
      <c r="Q823" s="81"/>
      <c r="R823" s="81"/>
      <c r="S823" s="81"/>
      <c r="T823" s="81"/>
      <c r="U823" s="81"/>
      <c r="V823" s="81"/>
      <c r="W823" s="81"/>
      <c r="X823" s="81"/>
      <c r="Y823" s="81"/>
      <c r="Z823" s="81"/>
    </row>
    <row r="824" spans="1:26" ht="12" customHeight="1">
      <c r="A824" s="79"/>
      <c r="B824" s="79"/>
      <c r="C824" s="81"/>
      <c r="D824" s="81"/>
      <c r="E824" s="81"/>
      <c r="F824" s="82"/>
      <c r="G824" s="83"/>
      <c r="H824" s="83"/>
      <c r="I824" s="81"/>
      <c r="J824" s="84"/>
      <c r="K824" s="84"/>
      <c r="L824" s="84"/>
      <c r="M824" s="81"/>
      <c r="N824" s="81"/>
      <c r="O824" s="81"/>
      <c r="P824" s="81"/>
      <c r="Q824" s="81"/>
      <c r="R824" s="81"/>
      <c r="S824" s="81"/>
      <c r="T824" s="81"/>
      <c r="U824" s="81"/>
      <c r="V824" s="81"/>
      <c r="W824" s="81"/>
      <c r="X824" s="81"/>
      <c r="Y824" s="81"/>
      <c r="Z824" s="81"/>
    </row>
    <row r="825" spans="1:26" ht="12" customHeight="1">
      <c r="A825" s="79"/>
      <c r="B825" s="79"/>
      <c r="C825" s="81"/>
      <c r="D825" s="81"/>
      <c r="E825" s="81"/>
      <c r="F825" s="82"/>
      <c r="G825" s="83"/>
      <c r="H825" s="83"/>
      <c r="I825" s="81"/>
      <c r="J825" s="84"/>
      <c r="K825" s="84"/>
      <c r="L825" s="84"/>
      <c r="M825" s="81"/>
      <c r="N825" s="81"/>
      <c r="O825" s="81"/>
      <c r="P825" s="81"/>
      <c r="Q825" s="81"/>
      <c r="R825" s="81"/>
      <c r="S825" s="81"/>
      <c r="T825" s="81"/>
      <c r="U825" s="81"/>
      <c r="V825" s="81"/>
      <c r="W825" s="81"/>
      <c r="X825" s="81"/>
      <c r="Y825" s="81"/>
      <c r="Z825" s="81"/>
    </row>
    <row r="826" spans="1:26" ht="12" customHeight="1">
      <c r="A826" s="79"/>
      <c r="B826" s="79"/>
      <c r="C826" s="81"/>
      <c r="D826" s="81"/>
      <c r="E826" s="81"/>
      <c r="F826" s="82"/>
      <c r="G826" s="83"/>
      <c r="H826" s="83"/>
      <c r="I826" s="81"/>
      <c r="J826" s="84"/>
      <c r="K826" s="84"/>
      <c r="L826" s="84"/>
      <c r="M826" s="81"/>
      <c r="N826" s="81"/>
      <c r="O826" s="81"/>
      <c r="P826" s="81"/>
      <c r="Q826" s="81"/>
      <c r="R826" s="81"/>
      <c r="S826" s="81"/>
      <c r="T826" s="81"/>
      <c r="U826" s="81"/>
      <c r="V826" s="81"/>
      <c r="W826" s="81"/>
      <c r="X826" s="81"/>
      <c r="Y826" s="81"/>
      <c r="Z826" s="81"/>
    </row>
    <row r="827" spans="1:26" ht="12" customHeight="1">
      <c r="A827" s="79"/>
      <c r="B827" s="79"/>
      <c r="C827" s="81"/>
      <c r="D827" s="81"/>
      <c r="E827" s="81"/>
      <c r="F827" s="82"/>
      <c r="G827" s="83"/>
      <c r="H827" s="83"/>
      <c r="I827" s="81"/>
      <c r="J827" s="84"/>
      <c r="K827" s="84"/>
      <c r="L827" s="84"/>
      <c r="M827" s="81"/>
      <c r="N827" s="81"/>
      <c r="O827" s="81"/>
      <c r="P827" s="81"/>
      <c r="Q827" s="81"/>
      <c r="R827" s="81"/>
      <c r="S827" s="81"/>
      <c r="T827" s="81"/>
      <c r="U827" s="81"/>
      <c r="V827" s="81"/>
      <c r="W827" s="81"/>
      <c r="X827" s="81"/>
      <c r="Y827" s="81"/>
      <c r="Z827" s="81"/>
    </row>
    <row r="828" spans="1:26" ht="12" customHeight="1">
      <c r="A828" s="79"/>
      <c r="B828" s="79"/>
      <c r="C828" s="81"/>
      <c r="D828" s="81"/>
      <c r="E828" s="81"/>
      <c r="F828" s="82"/>
      <c r="G828" s="83"/>
      <c r="H828" s="83"/>
      <c r="I828" s="81"/>
      <c r="J828" s="84"/>
      <c r="K828" s="84"/>
      <c r="L828" s="84"/>
      <c r="M828" s="81"/>
      <c r="N828" s="81"/>
      <c r="O828" s="81"/>
      <c r="P828" s="81"/>
      <c r="Q828" s="81"/>
      <c r="R828" s="81"/>
      <c r="S828" s="81"/>
      <c r="T828" s="81"/>
      <c r="U828" s="81"/>
      <c r="V828" s="81"/>
      <c r="W828" s="81"/>
      <c r="X828" s="81"/>
      <c r="Y828" s="81"/>
      <c r="Z828" s="81"/>
    </row>
    <row r="829" spans="1:26" ht="12" customHeight="1">
      <c r="A829" s="79"/>
      <c r="B829" s="79"/>
      <c r="C829" s="81"/>
      <c r="D829" s="81"/>
      <c r="E829" s="81"/>
      <c r="F829" s="82"/>
      <c r="G829" s="83"/>
      <c r="H829" s="83"/>
      <c r="I829" s="81"/>
      <c r="J829" s="84"/>
      <c r="K829" s="84"/>
      <c r="L829" s="84"/>
      <c r="M829" s="81"/>
      <c r="N829" s="81"/>
      <c r="O829" s="81"/>
      <c r="P829" s="81"/>
      <c r="Q829" s="81"/>
      <c r="R829" s="81"/>
      <c r="S829" s="81"/>
      <c r="T829" s="81"/>
      <c r="U829" s="81"/>
      <c r="V829" s="81"/>
      <c r="W829" s="81"/>
      <c r="X829" s="81"/>
      <c r="Y829" s="81"/>
      <c r="Z829" s="81"/>
    </row>
    <row r="830" spans="1:26" ht="12" customHeight="1">
      <c r="A830" s="79"/>
      <c r="B830" s="79"/>
      <c r="C830" s="81"/>
      <c r="D830" s="81"/>
      <c r="E830" s="81"/>
      <c r="F830" s="82"/>
      <c r="G830" s="83"/>
      <c r="H830" s="83"/>
      <c r="I830" s="81"/>
      <c r="J830" s="84"/>
      <c r="K830" s="84"/>
      <c r="L830" s="84"/>
      <c r="M830" s="81"/>
      <c r="N830" s="81"/>
      <c r="O830" s="81"/>
      <c r="P830" s="81"/>
      <c r="Q830" s="81"/>
      <c r="R830" s="81"/>
      <c r="S830" s="81"/>
      <c r="T830" s="81"/>
      <c r="U830" s="81"/>
      <c r="V830" s="81"/>
      <c r="W830" s="81"/>
      <c r="X830" s="81"/>
      <c r="Y830" s="81"/>
      <c r="Z830" s="81"/>
    </row>
    <row r="831" spans="1:26" ht="12" customHeight="1">
      <c r="A831" s="79"/>
      <c r="B831" s="79"/>
      <c r="C831" s="81"/>
      <c r="D831" s="81"/>
      <c r="E831" s="81"/>
      <c r="F831" s="82"/>
      <c r="G831" s="83"/>
      <c r="H831" s="83"/>
      <c r="I831" s="81"/>
      <c r="J831" s="84"/>
      <c r="K831" s="84"/>
      <c r="L831" s="84"/>
      <c r="M831" s="81"/>
      <c r="N831" s="81"/>
      <c r="O831" s="81"/>
      <c r="P831" s="81"/>
      <c r="Q831" s="81"/>
      <c r="R831" s="81"/>
      <c r="S831" s="81"/>
      <c r="T831" s="81"/>
      <c r="U831" s="81"/>
      <c r="V831" s="81"/>
      <c r="W831" s="81"/>
      <c r="X831" s="81"/>
      <c r="Y831" s="81"/>
      <c r="Z831" s="81"/>
    </row>
    <row r="832" spans="1:26" ht="12" customHeight="1">
      <c r="A832" s="79"/>
      <c r="B832" s="79"/>
      <c r="C832" s="81"/>
      <c r="D832" s="81"/>
      <c r="E832" s="81"/>
      <c r="F832" s="82"/>
      <c r="G832" s="83"/>
      <c r="H832" s="83"/>
      <c r="I832" s="81"/>
      <c r="J832" s="84"/>
      <c r="K832" s="84"/>
      <c r="L832" s="84"/>
      <c r="M832" s="81"/>
      <c r="N832" s="81"/>
      <c r="O832" s="81"/>
      <c r="P832" s="81"/>
      <c r="Q832" s="81"/>
      <c r="R832" s="81"/>
      <c r="S832" s="81"/>
      <c r="T832" s="81"/>
      <c r="U832" s="81"/>
      <c r="V832" s="81"/>
      <c r="W832" s="81"/>
      <c r="X832" s="81"/>
      <c r="Y832" s="81"/>
      <c r="Z832" s="81"/>
    </row>
    <row r="833" spans="1:26" ht="12" customHeight="1">
      <c r="A833" s="79"/>
      <c r="B833" s="79"/>
      <c r="C833" s="81"/>
      <c r="D833" s="81"/>
      <c r="E833" s="81"/>
      <c r="F833" s="82"/>
      <c r="G833" s="83"/>
      <c r="H833" s="83"/>
      <c r="I833" s="81"/>
      <c r="J833" s="84"/>
      <c r="K833" s="84"/>
      <c r="L833" s="84"/>
      <c r="M833" s="81"/>
      <c r="N833" s="81"/>
      <c r="O833" s="81"/>
      <c r="P833" s="81"/>
      <c r="Q833" s="81"/>
      <c r="R833" s="81"/>
      <c r="S833" s="81"/>
      <c r="T833" s="81"/>
      <c r="U833" s="81"/>
      <c r="V833" s="81"/>
      <c r="W833" s="81"/>
      <c r="X833" s="81"/>
      <c r="Y833" s="81"/>
      <c r="Z833" s="81"/>
    </row>
    <row r="834" spans="1:26" ht="12" customHeight="1">
      <c r="A834" s="79"/>
      <c r="B834" s="79"/>
      <c r="C834" s="81"/>
      <c r="D834" s="81"/>
      <c r="E834" s="81"/>
      <c r="F834" s="82"/>
      <c r="G834" s="83"/>
      <c r="H834" s="83"/>
      <c r="I834" s="81"/>
      <c r="J834" s="84"/>
      <c r="K834" s="84"/>
      <c r="L834" s="84"/>
      <c r="M834" s="81"/>
      <c r="N834" s="81"/>
      <c r="O834" s="81"/>
      <c r="P834" s="81"/>
      <c r="Q834" s="81"/>
      <c r="R834" s="81"/>
      <c r="S834" s="81"/>
      <c r="T834" s="81"/>
      <c r="U834" s="81"/>
      <c r="V834" s="81"/>
      <c r="W834" s="81"/>
      <c r="X834" s="81"/>
      <c r="Y834" s="81"/>
      <c r="Z834" s="81"/>
    </row>
    <row r="835" spans="1:26" ht="12" customHeight="1">
      <c r="A835" s="79"/>
      <c r="B835" s="79"/>
      <c r="C835" s="81"/>
      <c r="D835" s="81"/>
      <c r="E835" s="81"/>
      <c r="F835" s="82"/>
      <c r="G835" s="83"/>
      <c r="H835" s="83"/>
      <c r="I835" s="81"/>
      <c r="J835" s="84"/>
      <c r="K835" s="84"/>
      <c r="L835" s="84"/>
      <c r="M835" s="81"/>
      <c r="N835" s="81"/>
      <c r="O835" s="81"/>
      <c r="P835" s="81"/>
      <c r="Q835" s="81"/>
      <c r="R835" s="81"/>
      <c r="S835" s="81"/>
      <c r="T835" s="81"/>
      <c r="U835" s="81"/>
      <c r="V835" s="81"/>
      <c r="W835" s="81"/>
      <c r="X835" s="81"/>
      <c r="Y835" s="81"/>
      <c r="Z835" s="81"/>
    </row>
    <row r="836" spans="1:26" ht="12" customHeight="1">
      <c r="A836" s="79"/>
      <c r="B836" s="79"/>
      <c r="C836" s="81"/>
      <c r="D836" s="81"/>
      <c r="E836" s="81"/>
      <c r="F836" s="82"/>
      <c r="G836" s="83"/>
      <c r="H836" s="83"/>
      <c r="I836" s="81"/>
      <c r="J836" s="84"/>
      <c r="K836" s="84"/>
      <c r="L836" s="84"/>
      <c r="M836" s="81"/>
      <c r="N836" s="81"/>
      <c r="O836" s="81"/>
      <c r="P836" s="81"/>
      <c r="Q836" s="81"/>
      <c r="R836" s="81"/>
      <c r="S836" s="81"/>
      <c r="T836" s="81"/>
      <c r="U836" s="81"/>
      <c r="V836" s="81"/>
      <c r="W836" s="81"/>
      <c r="X836" s="81"/>
      <c r="Y836" s="81"/>
      <c r="Z836" s="81"/>
    </row>
    <row r="837" spans="1:26" ht="12" customHeight="1">
      <c r="A837" s="79"/>
      <c r="B837" s="79"/>
      <c r="C837" s="81"/>
      <c r="D837" s="81"/>
      <c r="E837" s="81"/>
      <c r="F837" s="82"/>
      <c r="G837" s="83"/>
      <c r="H837" s="83"/>
      <c r="I837" s="81"/>
      <c r="J837" s="84"/>
      <c r="K837" s="84"/>
      <c r="L837" s="84"/>
      <c r="M837" s="81"/>
      <c r="N837" s="81"/>
      <c r="O837" s="81"/>
      <c r="P837" s="81"/>
      <c r="Q837" s="81"/>
      <c r="R837" s="81"/>
      <c r="S837" s="81"/>
      <c r="T837" s="81"/>
      <c r="U837" s="81"/>
      <c r="V837" s="81"/>
      <c r="W837" s="81"/>
      <c r="X837" s="81"/>
      <c r="Y837" s="81"/>
      <c r="Z837" s="81"/>
    </row>
    <row r="838" spans="1:26" ht="12" customHeight="1">
      <c r="A838" s="79"/>
      <c r="B838" s="79"/>
      <c r="C838" s="81"/>
      <c r="D838" s="81"/>
      <c r="E838" s="81"/>
      <c r="F838" s="82"/>
      <c r="G838" s="83"/>
      <c r="H838" s="83"/>
      <c r="I838" s="81"/>
      <c r="J838" s="84"/>
      <c r="K838" s="84"/>
      <c r="L838" s="84"/>
      <c r="M838" s="81"/>
      <c r="N838" s="81"/>
      <c r="O838" s="81"/>
      <c r="P838" s="81"/>
      <c r="Q838" s="81"/>
      <c r="R838" s="81"/>
      <c r="S838" s="81"/>
      <c r="T838" s="81"/>
      <c r="U838" s="81"/>
      <c r="V838" s="81"/>
      <c r="W838" s="81"/>
      <c r="X838" s="81"/>
      <c r="Y838" s="81"/>
      <c r="Z838" s="81"/>
    </row>
    <row r="839" spans="1:26" ht="12" customHeight="1">
      <c r="A839" s="79"/>
      <c r="B839" s="79"/>
      <c r="C839" s="81"/>
      <c r="D839" s="81"/>
      <c r="E839" s="81"/>
      <c r="F839" s="82"/>
      <c r="G839" s="83"/>
      <c r="H839" s="83"/>
      <c r="I839" s="81"/>
      <c r="J839" s="84"/>
      <c r="K839" s="84"/>
      <c r="L839" s="84"/>
      <c r="M839" s="81"/>
      <c r="N839" s="81"/>
      <c r="O839" s="81"/>
      <c r="P839" s="81"/>
      <c r="Q839" s="81"/>
      <c r="R839" s="81"/>
      <c r="S839" s="81"/>
      <c r="T839" s="81"/>
      <c r="U839" s="81"/>
      <c r="V839" s="81"/>
      <c r="W839" s="81"/>
      <c r="X839" s="81"/>
      <c r="Y839" s="81"/>
      <c r="Z839" s="81"/>
    </row>
    <row r="840" spans="1:26" ht="12" customHeight="1">
      <c r="A840" s="79"/>
      <c r="B840" s="79"/>
      <c r="C840" s="81"/>
      <c r="D840" s="81"/>
      <c r="E840" s="81"/>
      <c r="F840" s="82"/>
      <c r="G840" s="83"/>
      <c r="H840" s="83"/>
      <c r="I840" s="81"/>
      <c r="J840" s="84"/>
      <c r="K840" s="84"/>
      <c r="L840" s="84"/>
      <c r="M840" s="81"/>
      <c r="N840" s="81"/>
      <c r="O840" s="81"/>
      <c r="P840" s="81"/>
      <c r="Q840" s="81"/>
      <c r="R840" s="81"/>
      <c r="S840" s="81"/>
      <c r="T840" s="81"/>
      <c r="U840" s="81"/>
      <c r="V840" s="81"/>
      <c r="W840" s="81"/>
      <c r="X840" s="81"/>
      <c r="Y840" s="81"/>
      <c r="Z840" s="81"/>
    </row>
    <row r="841" spans="1:26" ht="12" customHeight="1">
      <c r="A841" s="79"/>
      <c r="B841" s="79"/>
      <c r="C841" s="81"/>
      <c r="D841" s="81"/>
      <c r="E841" s="81"/>
      <c r="F841" s="82"/>
      <c r="G841" s="83"/>
      <c r="H841" s="83"/>
      <c r="I841" s="81"/>
      <c r="J841" s="84"/>
      <c r="K841" s="84"/>
      <c r="L841" s="84"/>
      <c r="M841" s="81"/>
      <c r="N841" s="81"/>
      <c r="O841" s="81"/>
      <c r="P841" s="81"/>
      <c r="Q841" s="81"/>
      <c r="R841" s="81"/>
      <c r="S841" s="81"/>
      <c r="T841" s="81"/>
      <c r="U841" s="81"/>
      <c r="V841" s="81"/>
      <c r="W841" s="81"/>
      <c r="X841" s="81"/>
      <c r="Y841" s="81"/>
      <c r="Z841" s="81"/>
    </row>
    <row r="842" spans="1:26" ht="12" customHeight="1">
      <c r="A842" s="79"/>
      <c r="B842" s="79"/>
      <c r="C842" s="81"/>
      <c r="D842" s="81"/>
      <c r="E842" s="81"/>
      <c r="F842" s="82"/>
      <c r="G842" s="83"/>
      <c r="H842" s="83"/>
      <c r="I842" s="81"/>
      <c r="J842" s="84"/>
      <c r="K842" s="84"/>
      <c r="L842" s="84"/>
      <c r="M842" s="81"/>
      <c r="N842" s="81"/>
      <c r="O842" s="81"/>
      <c r="P842" s="81"/>
      <c r="Q842" s="81"/>
      <c r="R842" s="81"/>
      <c r="S842" s="81"/>
      <c r="T842" s="81"/>
      <c r="U842" s="81"/>
      <c r="V842" s="81"/>
      <c r="W842" s="81"/>
      <c r="X842" s="81"/>
      <c r="Y842" s="81"/>
      <c r="Z842" s="81"/>
    </row>
    <row r="843" spans="1:26" ht="12" customHeight="1">
      <c r="A843" s="79"/>
      <c r="B843" s="79"/>
      <c r="C843" s="81"/>
      <c r="D843" s="81"/>
      <c r="E843" s="81"/>
      <c r="F843" s="82"/>
      <c r="G843" s="83"/>
      <c r="H843" s="83"/>
      <c r="I843" s="81"/>
      <c r="J843" s="84"/>
      <c r="K843" s="84"/>
      <c r="L843" s="84"/>
      <c r="M843" s="81"/>
      <c r="N843" s="81"/>
      <c r="O843" s="81"/>
      <c r="P843" s="81"/>
      <c r="Q843" s="81"/>
      <c r="R843" s="81"/>
      <c r="S843" s="81"/>
      <c r="T843" s="81"/>
      <c r="U843" s="81"/>
      <c r="V843" s="81"/>
      <c r="W843" s="81"/>
      <c r="X843" s="81"/>
      <c r="Y843" s="81"/>
      <c r="Z843" s="81"/>
    </row>
    <row r="844" spans="1:26" ht="12" customHeight="1">
      <c r="A844" s="79"/>
      <c r="B844" s="79"/>
      <c r="C844" s="81"/>
      <c r="D844" s="81"/>
      <c r="E844" s="81"/>
      <c r="F844" s="82"/>
      <c r="G844" s="83"/>
      <c r="H844" s="83"/>
      <c r="I844" s="81"/>
      <c r="J844" s="84"/>
      <c r="K844" s="84"/>
      <c r="L844" s="84"/>
      <c r="M844" s="81"/>
      <c r="N844" s="81"/>
      <c r="O844" s="81"/>
      <c r="P844" s="81"/>
      <c r="Q844" s="81"/>
      <c r="R844" s="81"/>
      <c r="S844" s="81"/>
      <c r="T844" s="81"/>
      <c r="U844" s="81"/>
      <c r="V844" s="81"/>
      <c r="W844" s="81"/>
      <c r="X844" s="81"/>
      <c r="Y844" s="81"/>
      <c r="Z844" s="81"/>
    </row>
    <row r="845" spans="1:26" ht="12" customHeight="1">
      <c r="A845" s="79"/>
      <c r="B845" s="79"/>
      <c r="C845" s="81"/>
      <c r="D845" s="81"/>
      <c r="E845" s="81"/>
      <c r="F845" s="82"/>
      <c r="G845" s="83"/>
      <c r="H845" s="83"/>
      <c r="I845" s="81"/>
      <c r="J845" s="84"/>
      <c r="K845" s="84"/>
      <c r="L845" s="84"/>
      <c r="M845" s="81"/>
      <c r="N845" s="81"/>
      <c r="O845" s="81"/>
      <c r="P845" s="81"/>
      <c r="Q845" s="81"/>
      <c r="R845" s="81"/>
      <c r="S845" s="81"/>
      <c r="T845" s="81"/>
      <c r="U845" s="81"/>
      <c r="V845" s="81"/>
      <c r="W845" s="81"/>
      <c r="X845" s="81"/>
      <c r="Y845" s="81"/>
      <c r="Z845" s="81"/>
    </row>
    <row r="846" spans="1:26" ht="12" customHeight="1">
      <c r="A846" s="79"/>
      <c r="B846" s="79"/>
      <c r="C846" s="81"/>
      <c r="D846" s="81"/>
      <c r="E846" s="81"/>
      <c r="F846" s="82"/>
      <c r="G846" s="83"/>
      <c r="H846" s="83"/>
      <c r="I846" s="81"/>
      <c r="J846" s="84"/>
      <c r="K846" s="84"/>
      <c r="L846" s="84"/>
      <c r="M846" s="81"/>
      <c r="N846" s="81"/>
      <c r="O846" s="81"/>
      <c r="P846" s="81"/>
      <c r="Q846" s="81"/>
      <c r="R846" s="81"/>
      <c r="S846" s="81"/>
      <c r="T846" s="81"/>
      <c r="U846" s="81"/>
      <c r="V846" s="81"/>
      <c r="W846" s="81"/>
      <c r="X846" s="81"/>
      <c r="Y846" s="81"/>
      <c r="Z846" s="81"/>
    </row>
    <row r="847" spans="1:26" ht="12" customHeight="1">
      <c r="A847" s="79"/>
      <c r="B847" s="79"/>
      <c r="C847" s="81"/>
      <c r="D847" s="81"/>
      <c r="E847" s="81"/>
      <c r="F847" s="82"/>
      <c r="G847" s="83"/>
      <c r="H847" s="83"/>
      <c r="I847" s="81"/>
      <c r="J847" s="84"/>
      <c r="K847" s="84"/>
      <c r="L847" s="84"/>
      <c r="M847" s="81"/>
      <c r="N847" s="81"/>
      <c r="O847" s="81"/>
      <c r="P847" s="81"/>
      <c r="Q847" s="81"/>
      <c r="R847" s="81"/>
      <c r="S847" s="81"/>
      <c r="T847" s="81"/>
      <c r="U847" s="81"/>
      <c r="V847" s="81"/>
      <c r="W847" s="81"/>
      <c r="X847" s="81"/>
      <c r="Y847" s="81"/>
      <c r="Z847" s="81"/>
    </row>
    <row r="848" spans="1:26" ht="12" customHeight="1">
      <c r="A848" s="79"/>
      <c r="B848" s="79"/>
      <c r="C848" s="81"/>
      <c r="D848" s="81"/>
      <c r="E848" s="81"/>
      <c r="F848" s="82"/>
      <c r="G848" s="83"/>
      <c r="H848" s="83"/>
      <c r="I848" s="81"/>
      <c r="J848" s="84"/>
      <c r="K848" s="84"/>
      <c r="L848" s="84"/>
      <c r="M848" s="81"/>
      <c r="N848" s="81"/>
      <c r="O848" s="81"/>
      <c r="P848" s="81"/>
      <c r="Q848" s="81"/>
      <c r="R848" s="81"/>
      <c r="S848" s="81"/>
      <c r="T848" s="81"/>
      <c r="U848" s="81"/>
      <c r="V848" s="81"/>
      <c r="W848" s="81"/>
      <c r="X848" s="81"/>
      <c r="Y848" s="81"/>
      <c r="Z848" s="81"/>
    </row>
    <row r="849" spans="1:26" ht="12" customHeight="1">
      <c r="A849" s="79"/>
      <c r="B849" s="79"/>
      <c r="C849" s="81"/>
      <c r="D849" s="81"/>
      <c r="E849" s="81"/>
      <c r="F849" s="82"/>
      <c r="G849" s="83"/>
      <c r="H849" s="83"/>
      <c r="I849" s="81"/>
      <c r="J849" s="84"/>
      <c r="K849" s="84"/>
      <c r="L849" s="84"/>
      <c r="M849" s="81"/>
      <c r="N849" s="81"/>
      <c r="O849" s="81"/>
      <c r="P849" s="81"/>
      <c r="Q849" s="81"/>
      <c r="R849" s="81"/>
      <c r="S849" s="81"/>
      <c r="T849" s="81"/>
      <c r="U849" s="81"/>
      <c r="V849" s="81"/>
      <c r="W849" s="81"/>
      <c r="X849" s="81"/>
      <c r="Y849" s="81"/>
      <c r="Z849" s="81"/>
    </row>
    <row r="850" spans="1:26" ht="12" customHeight="1">
      <c r="A850" s="79"/>
      <c r="B850" s="79"/>
      <c r="C850" s="81"/>
      <c r="D850" s="81"/>
      <c r="E850" s="81"/>
      <c r="F850" s="82"/>
      <c r="G850" s="83"/>
      <c r="H850" s="83"/>
      <c r="I850" s="81"/>
      <c r="J850" s="84"/>
      <c r="K850" s="84"/>
      <c r="L850" s="84"/>
      <c r="M850" s="81"/>
      <c r="N850" s="81"/>
      <c r="O850" s="81"/>
      <c r="P850" s="81"/>
      <c r="Q850" s="81"/>
      <c r="R850" s="81"/>
      <c r="S850" s="81"/>
      <c r="T850" s="81"/>
      <c r="U850" s="81"/>
      <c r="V850" s="81"/>
      <c r="W850" s="81"/>
      <c r="X850" s="81"/>
      <c r="Y850" s="81"/>
      <c r="Z850" s="81"/>
    </row>
    <row r="851" spans="1:26" ht="12" customHeight="1">
      <c r="A851" s="79"/>
      <c r="B851" s="79"/>
      <c r="C851" s="81"/>
      <c r="D851" s="81"/>
      <c r="E851" s="81"/>
      <c r="F851" s="82"/>
      <c r="G851" s="83"/>
      <c r="H851" s="83"/>
      <c r="I851" s="81"/>
      <c r="J851" s="84"/>
      <c r="K851" s="84"/>
      <c r="L851" s="84"/>
      <c r="M851" s="81"/>
      <c r="N851" s="81"/>
      <c r="O851" s="81"/>
      <c r="P851" s="81"/>
      <c r="Q851" s="81"/>
      <c r="R851" s="81"/>
      <c r="S851" s="81"/>
      <c r="T851" s="81"/>
      <c r="U851" s="81"/>
      <c r="V851" s="81"/>
      <c r="W851" s="81"/>
      <c r="X851" s="81"/>
      <c r="Y851" s="81"/>
      <c r="Z851" s="81"/>
    </row>
    <row r="852" spans="1:26" ht="12" customHeight="1">
      <c r="A852" s="79"/>
      <c r="B852" s="79"/>
      <c r="C852" s="81"/>
      <c r="D852" s="81"/>
      <c r="E852" s="81"/>
      <c r="F852" s="82"/>
      <c r="G852" s="83"/>
      <c r="H852" s="83"/>
      <c r="I852" s="81"/>
      <c r="J852" s="84"/>
      <c r="K852" s="84"/>
      <c r="L852" s="84"/>
      <c r="M852" s="81"/>
      <c r="N852" s="81"/>
      <c r="O852" s="81"/>
      <c r="P852" s="81"/>
      <c r="Q852" s="81"/>
      <c r="R852" s="81"/>
      <c r="S852" s="81"/>
      <c r="T852" s="81"/>
      <c r="U852" s="81"/>
      <c r="V852" s="81"/>
      <c r="W852" s="81"/>
      <c r="X852" s="81"/>
      <c r="Y852" s="81"/>
      <c r="Z852" s="81"/>
    </row>
    <row r="853" spans="1:26" ht="12" customHeight="1">
      <c r="A853" s="79"/>
      <c r="B853" s="79"/>
      <c r="C853" s="81"/>
      <c r="D853" s="81"/>
      <c r="E853" s="81"/>
      <c r="F853" s="82"/>
      <c r="G853" s="83"/>
      <c r="H853" s="83"/>
      <c r="I853" s="81"/>
      <c r="J853" s="84"/>
      <c r="K853" s="84"/>
      <c r="L853" s="84"/>
      <c r="M853" s="81"/>
      <c r="N853" s="81"/>
      <c r="O853" s="81"/>
      <c r="P853" s="81"/>
      <c r="Q853" s="81"/>
      <c r="R853" s="81"/>
      <c r="S853" s="81"/>
      <c r="T853" s="81"/>
      <c r="U853" s="81"/>
      <c r="V853" s="81"/>
      <c r="W853" s="81"/>
      <c r="X853" s="81"/>
      <c r="Y853" s="81"/>
      <c r="Z853" s="81"/>
    </row>
    <row r="854" spans="1:26" ht="12" customHeight="1">
      <c r="A854" s="79"/>
      <c r="B854" s="79"/>
      <c r="C854" s="81"/>
      <c r="D854" s="81"/>
      <c r="E854" s="81"/>
      <c r="F854" s="82"/>
      <c r="G854" s="83"/>
      <c r="H854" s="83"/>
      <c r="I854" s="81"/>
      <c r="J854" s="84"/>
      <c r="K854" s="84"/>
      <c r="L854" s="84"/>
      <c r="M854" s="81"/>
      <c r="N854" s="81"/>
      <c r="O854" s="81"/>
      <c r="P854" s="81"/>
      <c r="Q854" s="81"/>
      <c r="R854" s="81"/>
      <c r="S854" s="81"/>
      <c r="T854" s="81"/>
      <c r="U854" s="81"/>
      <c r="V854" s="81"/>
      <c r="W854" s="81"/>
      <c r="X854" s="81"/>
      <c r="Y854" s="81"/>
      <c r="Z854" s="81"/>
    </row>
    <row r="855" spans="1:26" ht="12" customHeight="1">
      <c r="A855" s="79"/>
      <c r="B855" s="79"/>
      <c r="C855" s="81"/>
      <c r="D855" s="81"/>
      <c r="E855" s="81"/>
      <c r="F855" s="82"/>
      <c r="G855" s="83"/>
      <c r="H855" s="83"/>
      <c r="I855" s="81"/>
      <c r="J855" s="84"/>
      <c r="K855" s="84"/>
      <c r="L855" s="84"/>
      <c r="M855" s="81"/>
      <c r="N855" s="81"/>
      <c r="O855" s="81"/>
      <c r="P855" s="81"/>
      <c r="Q855" s="81"/>
      <c r="R855" s="81"/>
      <c r="S855" s="81"/>
      <c r="T855" s="81"/>
      <c r="U855" s="81"/>
      <c r="V855" s="81"/>
      <c r="W855" s="81"/>
      <c r="X855" s="81"/>
      <c r="Y855" s="81"/>
      <c r="Z855" s="81"/>
    </row>
    <row r="856" spans="1:26" ht="12" customHeight="1">
      <c r="A856" s="79"/>
      <c r="B856" s="79"/>
      <c r="C856" s="81"/>
      <c r="D856" s="81"/>
      <c r="E856" s="81"/>
      <c r="F856" s="82"/>
      <c r="G856" s="83"/>
      <c r="H856" s="83"/>
      <c r="I856" s="81"/>
      <c r="J856" s="84"/>
      <c r="K856" s="84"/>
      <c r="L856" s="84"/>
      <c r="M856" s="81"/>
      <c r="N856" s="81"/>
      <c r="O856" s="81"/>
      <c r="P856" s="81"/>
      <c r="Q856" s="81"/>
      <c r="R856" s="81"/>
      <c r="S856" s="81"/>
      <c r="T856" s="81"/>
      <c r="U856" s="81"/>
      <c r="V856" s="81"/>
      <c r="W856" s="81"/>
      <c r="X856" s="81"/>
      <c r="Y856" s="81"/>
      <c r="Z856" s="81"/>
    </row>
    <row r="857" spans="1:26" ht="12" customHeight="1">
      <c r="A857" s="79"/>
      <c r="B857" s="79"/>
      <c r="C857" s="81"/>
      <c r="D857" s="81"/>
      <c r="E857" s="81"/>
      <c r="F857" s="82"/>
      <c r="G857" s="83"/>
      <c r="H857" s="83"/>
      <c r="I857" s="81"/>
      <c r="J857" s="84"/>
      <c r="K857" s="84"/>
      <c r="L857" s="84"/>
      <c r="M857" s="81"/>
      <c r="N857" s="81"/>
      <c r="O857" s="81"/>
      <c r="P857" s="81"/>
      <c r="Q857" s="81"/>
      <c r="R857" s="81"/>
      <c r="S857" s="81"/>
      <c r="T857" s="81"/>
      <c r="U857" s="81"/>
      <c r="V857" s="81"/>
      <c r="W857" s="81"/>
      <c r="X857" s="81"/>
      <c r="Y857" s="81"/>
      <c r="Z857" s="81"/>
    </row>
    <row r="858" spans="1:26" ht="12" customHeight="1">
      <c r="A858" s="79"/>
      <c r="B858" s="79"/>
      <c r="C858" s="81"/>
      <c r="D858" s="81"/>
      <c r="E858" s="81"/>
      <c r="F858" s="82"/>
      <c r="G858" s="83"/>
      <c r="H858" s="83"/>
      <c r="I858" s="81"/>
      <c r="J858" s="84"/>
      <c r="K858" s="84"/>
      <c r="L858" s="84"/>
      <c r="M858" s="81"/>
      <c r="N858" s="81"/>
      <c r="O858" s="81"/>
      <c r="P858" s="81"/>
      <c r="Q858" s="81"/>
      <c r="R858" s="81"/>
      <c r="S858" s="81"/>
      <c r="T858" s="81"/>
      <c r="U858" s="81"/>
      <c r="V858" s="81"/>
      <c r="W858" s="81"/>
      <c r="X858" s="81"/>
      <c r="Y858" s="81"/>
      <c r="Z858" s="81"/>
    </row>
    <row r="859" spans="1:26" ht="12" customHeight="1">
      <c r="A859" s="79"/>
      <c r="B859" s="79"/>
      <c r="C859" s="81"/>
      <c r="D859" s="81"/>
      <c r="E859" s="81"/>
      <c r="F859" s="82"/>
      <c r="G859" s="83"/>
      <c r="H859" s="83"/>
      <c r="I859" s="81"/>
      <c r="J859" s="84"/>
      <c r="K859" s="84"/>
      <c r="L859" s="84"/>
      <c r="M859" s="81"/>
      <c r="N859" s="81"/>
      <c r="O859" s="81"/>
      <c r="P859" s="81"/>
      <c r="Q859" s="81"/>
      <c r="R859" s="81"/>
      <c r="S859" s="81"/>
      <c r="T859" s="81"/>
      <c r="U859" s="81"/>
      <c r="V859" s="81"/>
      <c r="W859" s="81"/>
      <c r="X859" s="81"/>
      <c r="Y859" s="81"/>
      <c r="Z859" s="81"/>
    </row>
    <row r="860" spans="1:26" ht="12" customHeight="1">
      <c r="A860" s="79"/>
      <c r="B860" s="79"/>
      <c r="C860" s="81"/>
      <c r="D860" s="81"/>
      <c r="E860" s="81"/>
      <c r="F860" s="82"/>
      <c r="G860" s="83"/>
      <c r="H860" s="83"/>
      <c r="I860" s="81"/>
      <c r="J860" s="84"/>
      <c r="K860" s="84"/>
      <c r="L860" s="84"/>
      <c r="M860" s="81"/>
      <c r="N860" s="81"/>
      <c r="O860" s="81"/>
      <c r="P860" s="81"/>
      <c r="Q860" s="81"/>
      <c r="R860" s="81"/>
      <c r="S860" s="81"/>
      <c r="T860" s="81"/>
      <c r="U860" s="81"/>
      <c r="V860" s="81"/>
      <c r="W860" s="81"/>
      <c r="X860" s="81"/>
      <c r="Y860" s="81"/>
      <c r="Z860" s="81"/>
    </row>
    <row r="861" spans="1:26" ht="12" customHeight="1">
      <c r="A861" s="79"/>
      <c r="B861" s="79"/>
      <c r="C861" s="81"/>
      <c r="D861" s="81"/>
      <c r="E861" s="81"/>
      <c r="F861" s="82"/>
      <c r="G861" s="83"/>
      <c r="H861" s="83"/>
      <c r="I861" s="81"/>
      <c r="J861" s="84"/>
      <c r="K861" s="84"/>
      <c r="L861" s="84"/>
      <c r="M861" s="81"/>
      <c r="N861" s="81"/>
      <c r="O861" s="81"/>
      <c r="P861" s="81"/>
      <c r="Q861" s="81"/>
      <c r="R861" s="81"/>
      <c r="S861" s="81"/>
      <c r="T861" s="81"/>
      <c r="U861" s="81"/>
      <c r="V861" s="81"/>
      <c r="W861" s="81"/>
      <c r="X861" s="81"/>
      <c r="Y861" s="81"/>
      <c r="Z861" s="81"/>
    </row>
    <row r="862" spans="1:26" ht="12" customHeight="1">
      <c r="A862" s="79"/>
      <c r="B862" s="79"/>
      <c r="C862" s="81"/>
      <c r="D862" s="81"/>
      <c r="E862" s="81"/>
      <c r="F862" s="82"/>
      <c r="G862" s="83"/>
      <c r="H862" s="83"/>
      <c r="I862" s="81"/>
      <c r="J862" s="84"/>
      <c r="K862" s="84"/>
      <c r="L862" s="84"/>
      <c r="M862" s="81"/>
      <c r="N862" s="81"/>
      <c r="O862" s="81"/>
      <c r="P862" s="81"/>
      <c r="Q862" s="81"/>
      <c r="R862" s="81"/>
      <c r="S862" s="81"/>
      <c r="T862" s="81"/>
      <c r="U862" s="81"/>
      <c r="V862" s="81"/>
      <c r="W862" s="81"/>
      <c r="X862" s="81"/>
      <c r="Y862" s="81"/>
      <c r="Z862" s="81"/>
    </row>
    <row r="863" spans="1:26" ht="12" customHeight="1">
      <c r="A863" s="79"/>
      <c r="B863" s="79"/>
      <c r="C863" s="81"/>
      <c r="D863" s="81"/>
      <c r="E863" s="81"/>
      <c r="F863" s="82"/>
      <c r="G863" s="83"/>
      <c r="H863" s="83"/>
      <c r="I863" s="81"/>
      <c r="J863" s="84"/>
      <c r="K863" s="84"/>
      <c r="L863" s="84"/>
      <c r="M863" s="81"/>
      <c r="N863" s="81"/>
      <c r="O863" s="81"/>
      <c r="P863" s="81"/>
      <c r="Q863" s="81"/>
      <c r="R863" s="81"/>
      <c r="S863" s="81"/>
      <c r="T863" s="81"/>
      <c r="U863" s="81"/>
      <c r="V863" s="81"/>
      <c r="W863" s="81"/>
      <c r="X863" s="81"/>
      <c r="Y863" s="81"/>
      <c r="Z863" s="81"/>
    </row>
    <row r="864" spans="1:26" ht="12" customHeight="1">
      <c r="A864" s="79"/>
      <c r="B864" s="79"/>
      <c r="C864" s="81"/>
      <c r="D864" s="81"/>
      <c r="E864" s="81"/>
      <c r="F864" s="82"/>
      <c r="G864" s="83"/>
      <c r="H864" s="83"/>
      <c r="I864" s="81"/>
      <c r="J864" s="84"/>
      <c r="K864" s="84"/>
      <c r="L864" s="84"/>
      <c r="M864" s="81"/>
      <c r="N864" s="81"/>
      <c r="O864" s="81"/>
      <c r="P864" s="81"/>
      <c r="Q864" s="81"/>
      <c r="R864" s="81"/>
      <c r="S864" s="81"/>
      <c r="T864" s="81"/>
      <c r="U864" s="81"/>
      <c r="V864" s="81"/>
      <c r="W864" s="81"/>
      <c r="X864" s="81"/>
      <c r="Y864" s="81"/>
      <c r="Z864" s="81"/>
    </row>
    <row r="865" spans="1:26" ht="12" customHeight="1">
      <c r="A865" s="79"/>
      <c r="B865" s="79"/>
      <c r="C865" s="81"/>
      <c r="D865" s="81"/>
      <c r="E865" s="81"/>
      <c r="F865" s="82"/>
      <c r="G865" s="83"/>
      <c r="H865" s="83"/>
      <c r="I865" s="81"/>
      <c r="J865" s="84"/>
      <c r="K865" s="84"/>
      <c r="L865" s="84"/>
      <c r="M865" s="81"/>
      <c r="N865" s="81"/>
      <c r="O865" s="81"/>
      <c r="P865" s="81"/>
      <c r="Q865" s="81"/>
      <c r="R865" s="81"/>
      <c r="S865" s="81"/>
      <c r="T865" s="81"/>
      <c r="U865" s="81"/>
      <c r="V865" s="81"/>
      <c r="W865" s="81"/>
      <c r="X865" s="81"/>
      <c r="Y865" s="81"/>
      <c r="Z865" s="81"/>
    </row>
    <row r="866" spans="1:26" ht="12" customHeight="1">
      <c r="A866" s="79"/>
      <c r="B866" s="79"/>
      <c r="C866" s="81"/>
      <c r="D866" s="81"/>
      <c r="E866" s="81"/>
      <c r="F866" s="82"/>
      <c r="G866" s="83"/>
      <c r="H866" s="83"/>
      <c r="I866" s="81"/>
      <c r="J866" s="84"/>
      <c r="K866" s="84"/>
      <c r="L866" s="84"/>
      <c r="M866" s="81"/>
      <c r="N866" s="81"/>
      <c r="O866" s="81"/>
      <c r="P866" s="81"/>
      <c r="Q866" s="81"/>
      <c r="R866" s="81"/>
      <c r="S866" s="81"/>
      <c r="T866" s="81"/>
      <c r="U866" s="81"/>
      <c r="V866" s="81"/>
      <c r="W866" s="81"/>
      <c r="X866" s="81"/>
      <c r="Y866" s="81"/>
      <c r="Z866" s="81"/>
    </row>
    <row r="867" spans="1:26" ht="12" customHeight="1">
      <c r="A867" s="79"/>
      <c r="B867" s="79"/>
      <c r="C867" s="81"/>
      <c r="D867" s="81"/>
      <c r="E867" s="81"/>
      <c r="F867" s="82"/>
      <c r="G867" s="83"/>
      <c r="H867" s="83"/>
      <c r="I867" s="81"/>
      <c r="J867" s="84"/>
      <c r="K867" s="84"/>
      <c r="L867" s="84"/>
      <c r="M867" s="81"/>
      <c r="N867" s="81"/>
      <c r="O867" s="81"/>
      <c r="P867" s="81"/>
      <c r="Q867" s="81"/>
      <c r="R867" s="81"/>
      <c r="S867" s="81"/>
      <c r="T867" s="81"/>
      <c r="U867" s="81"/>
      <c r="V867" s="81"/>
      <c r="W867" s="81"/>
      <c r="X867" s="81"/>
      <c r="Y867" s="81"/>
      <c r="Z867" s="81"/>
    </row>
    <row r="868" spans="1:26" ht="12" customHeight="1">
      <c r="A868" s="79"/>
      <c r="B868" s="79"/>
      <c r="C868" s="81"/>
      <c r="D868" s="81"/>
      <c r="E868" s="81"/>
      <c r="F868" s="82"/>
      <c r="G868" s="83"/>
      <c r="H868" s="83"/>
      <c r="I868" s="81"/>
      <c r="J868" s="84"/>
      <c r="K868" s="84"/>
      <c r="L868" s="84"/>
      <c r="M868" s="81"/>
      <c r="N868" s="81"/>
      <c r="O868" s="81"/>
      <c r="P868" s="81"/>
      <c r="Q868" s="81"/>
      <c r="R868" s="81"/>
      <c r="S868" s="81"/>
      <c r="T868" s="81"/>
      <c r="U868" s="81"/>
      <c r="V868" s="81"/>
      <c r="W868" s="81"/>
      <c r="X868" s="81"/>
      <c r="Y868" s="81"/>
      <c r="Z868" s="81"/>
    </row>
    <row r="869" spans="1:26" ht="12" customHeight="1">
      <c r="A869" s="79"/>
      <c r="B869" s="79"/>
      <c r="C869" s="81"/>
      <c r="D869" s="81"/>
      <c r="E869" s="81"/>
      <c r="F869" s="82"/>
      <c r="G869" s="83"/>
      <c r="H869" s="83"/>
      <c r="I869" s="81"/>
      <c r="J869" s="84"/>
      <c r="K869" s="84"/>
      <c r="L869" s="84"/>
      <c r="M869" s="81"/>
      <c r="N869" s="81"/>
      <c r="O869" s="81"/>
      <c r="P869" s="81"/>
      <c r="Q869" s="81"/>
      <c r="R869" s="81"/>
      <c r="S869" s="81"/>
      <c r="T869" s="81"/>
      <c r="U869" s="81"/>
      <c r="V869" s="81"/>
      <c r="W869" s="81"/>
      <c r="X869" s="81"/>
      <c r="Y869" s="81"/>
      <c r="Z869" s="81"/>
    </row>
    <row r="870" spans="1:26" ht="12" customHeight="1">
      <c r="A870" s="79"/>
      <c r="B870" s="79"/>
      <c r="C870" s="81"/>
      <c r="D870" s="81"/>
      <c r="E870" s="81"/>
      <c r="F870" s="82"/>
      <c r="G870" s="83"/>
      <c r="H870" s="83"/>
      <c r="I870" s="81"/>
      <c r="J870" s="84"/>
      <c r="K870" s="84"/>
      <c r="L870" s="84"/>
      <c r="M870" s="81"/>
      <c r="N870" s="81"/>
      <c r="O870" s="81"/>
      <c r="P870" s="81"/>
      <c r="Q870" s="81"/>
      <c r="R870" s="81"/>
      <c r="S870" s="81"/>
      <c r="T870" s="81"/>
      <c r="U870" s="81"/>
      <c r="V870" s="81"/>
      <c r="W870" s="81"/>
      <c r="X870" s="81"/>
      <c r="Y870" s="81"/>
      <c r="Z870" s="81"/>
    </row>
    <row r="871" spans="1:26" ht="12" customHeight="1">
      <c r="A871" s="79"/>
      <c r="B871" s="79"/>
      <c r="C871" s="81"/>
      <c r="D871" s="81"/>
      <c r="E871" s="81"/>
      <c r="F871" s="82"/>
      <c r="G871" s="83"/>
      <c r="H871" s="83"/>
      <c r="I871" s="81"/>
      <c r="J871" s="84"/>
      <c r="K871" s="84"/>
      <c r="L871" s="84"/>
      <c r="M871" s="81"/>
      <c r="N871" s="81"/>
      <c r="O871" s="81"/>
      <c r="P871" s="81"/>
      <c r="Q871" s="81"/>
      <c r="R871" s="81"/>
      <c r="S871" s="81"/>
      <c r="T871" s="81"/>
      <c r="U871" s="81"/>
      <c r="V871" s="81"/>
      <c r="W871" s="81"/>
      <c r="X871" s="81"/>
      <c r="Y871" s="81"/>
      <c r="Z871" s="81"/>
    </row>
    <row r="872" spans="1:26" ht="12" customHeight="1">
      <c r="A872" s="79"/>
      <c r="B872" s="79"/>
      <c r="C872" s="81"/>
      <c r="D872" s="81"/>
      <c r="E872" s="81"/>
      <c r="F872" s="82"/>
      <c r="G872" s="83"/>
      <c r="H872" s="83"/>
      <c r="I872" s="81"/>
      <c r="J872" s="84"/>
      <c r="K872" s="84"/>
      <c r="L872" s="84"/>
      <c r="M872" s="81"/>
      <c r="N872" s="81"/>
      <c r="O872" s="81"/>
      <c r="P872" s="81"/>
      <c r="Q872" s="81"/>
      <c r="R872" s="81"/>
      <c r="S872" s="81"/>
      <c r="T872" s="81"/>
      <c r="U872" s="81"/>
      <c r="V872" s="81"/>
      <c r="W872" s="81"/>
      <c r="X872" s="81"/>
      <c r="Y872" s="81"/>
      <c r="Z872" s="81"/>
    </row>
    <row r="873" spans="1:26" ht="12" customHeight="1">
      <c r="A873" s="79"/>
      <c r="B873" s="79"/>
      <c r="C873" s="81"/>
      <c r="D873" s="81"/>
      <c r="E873" s="81"/>
      <c r="F873" s="82"/>
      <c r="G873" s="83"/>
      <c r="H873" s="83"/>
      <c r="I873" s="81"/>
      <c r="J873" s="84"/>
      <c r="K873" s="84"/>
      <c r="L873" s="84"/>
      <c r="M873" s="81"/>
      <c r="N873" s="81"/>
      <c r="O873" s="81"/>
      <c r="P873" s="81"/>
      <c r="Q873" s="81"/>
      <c r="R873" s="81"/>
      <c r="S873" s="81"/>
      <c r="T873" s="81"/>
      <c r="U873" s="81"/>
      <c r="V873" s="81"/>
      <c r="W873" s="81"/>
      <c r="X873" s="81"/>
      <c r="Y873" s="81"/>
      <c r="Z873" s="81"/>
    </row>
    <row r="874" spans="1:26" ht="12" customHeight="1">
      <c r="A874" s="79"/>
      <c r="B874" s="79"/>
      <c r="C874" s="81"/>
      <c r="D874" s="81"/>
      <c r="E874" s="81"/>
      <c r="F874" s="82"/>
      <c r="G874" s="83"/>
      <c r="H874" s="83"/>
      <c r="I874" s="81"/>
      <c r="J874" s="84"/>
      <c r="K874" s="84"/>
      <c r="L874" s="84"/>
      <c r="M874" s="81"/>
      <c r="N874" s="81"/>
      <c r="O874" s="81"/>
      <c r="P874" s="81"/>
      <c r="Q874" s="81"/>
      <c r="R874" s="81"/>
      <c r="S874" s="81"/>
      <c r="T874" s="81"/>
      <c r="U874" s="81"/>
      <c r="V874" s="81"/>
      <c r="W874" s="81"/>
      <c r="X874" s="81"/>
      <c r="Y874" s="81"/>
      <c r="Z874" s="81"/>
    </row>
    <row r="875" spans="1:26" ht="12" customHeight="1">
      <c r="A875" s="79"/>
      <c r="B875" s="79"/>
      <c r="C875" s="81"/>
      <c r="D875" s="81"/>
      <c r="E875" s="81"/>
      <c r="F875" s="82"/>
      <c r="G875" s="83"/>
      <c r="H875" s="83"/>
      <c r="I875" s="81"/>
      <c r="J875" s="84"/>
      <c r="K875" s="84"/>
      <c r="L875" s="84"/>
      <c r="M875" s="81"/>
      <c r="N875" s="81"/>
      <c r="O875" s="81"/>
      <c r="P875" s="81"/>
      <c r="Q875" s="81"/>
      <c r="R875" s="81"/>
      <c r="S875" s="81"/>
      <c r="T875" s="81"/>
      <c r="U875" s="81"/>
      <c r="V875" s="81"/>
      <c r="W875" s="81"/>
      <c r="X875" s="81"/>
      <c r="Y875" s="81"/>
      <c r="Z875" s="81"/>
    </row>
    <row r="876" spans="1:26" ht="12" customHeight="1">
      <c r="A876" s="79"/>
      <c r="B876" s="79"/>
      <c r="C876" s="81"/>
      <c r="D876" s="81"/>
      <c r="E876" s="81"/>
      <c r="F876" s="82"/>
      <c r="G876" s="83"/>
      <c r="H876" s="83"/>
      <c r="I876" s="81"/>
      <c r="J876" s="84"/>
      <c r="K876" s="84"/>
      <c r="L876" s="84"/>
      <c r="M876" s="81"/>
      <c r="N876" s="81"/>
      <c r="O876" s="81"/>
      <c r="P876" s="81"/>
      <c r="Q876" s="81"/>
      <c r="R876" s="81"/>
      <c r="S876" s="81"/>
      <c r="T876" s="81"/>
      <c r="U876" s="81"/>
      <c r="V876" s="81"/>
      <c r="W876" s="81"/>
      <c r="X876" s="81"/>
      <c r="Y876" s="81"/>
      <c r="Z876" s="81"/>
    </row>
    <row r="877" spans="1:26" ht="12" customHeight="1">
      <c r="A877" s="79"/>
      <c r="B877" s="79"/>
      <c r="C877" s="81"/>
      <c r="D877" s="81"/>
      <c r="E877" s="81"/>
      <c r="F877" s="82"/>
      <c r="G877" s="83"/>
      <c r="H877" s="83"/>
      <c r="I877" s="81"/>
      <c r="J877" s="84"/>
      <c r="K877" s="84"/>
      <c r="L877" s="84"/>
      <c r="M877" s="81"/>
      <c r="N877" s="81"/>
      <c r="O877" s="81"/>
      <c r="P877" s="81"/>
      <c r="Q877" s="81"/>
      <c r="R877" s="81"/>
      <c r="S877" s="81"/>
      <c r="T877" s="81"/>
      <c r="U877" s="81"/>
      <c r="V877" s="81"/>
      <c r="W877" s="81"/>
      <c r="X877" s="81"/>
      <c r="Y877" s="81"/>
      <c r="Z877" s="81"/>
    </row>
    <row r="878" spans="1:26" ht="12" customHeight="1">
      <c r="A878" s="79"/>
      <c r="B878" s="79"/>
      <c r="C878" s="81"/>
      <c r="D878" s="81"/>
      <c r="E878" s="81"/>
      <c r="F878" s="82"/>
      <c r="G878" s="83"/>
      <c r="H878" s="83"/>
      <c r="I878" s="81"/>
      <c r="J878" s="84"/>
      <c r="K878" s="84"/>
      <c r="L878" s="84"/>
      <c r="M878" s="81"/>
      <c r="N878" s="81"/>
      <c r="O878" s="81"/>
      <c r="P878" s="81"/>
      <c r="Q878" s="81"/>
      <c r="R878" s="81"/>
      <c r="S878" s="81"/>
      <c r="T878" s="81"/>
      <c r="U878" s="81"/>
      <c r="V878" s="81"/>
      <c r="W878" s="81"/>
      <c r="X878" s="81"/>
      <c r="Y878" s="81"/>
      <c r="Z878" s="81"/>
    </row>
    <row r="879" spans="1:26" ht="12" customHeight="1">
      <c r="A879" s="79"/>
      <c r="B879" s="79"/>
      <c r="C879" s="81"/>
      <c r="D879" s="81"/>
      <c r="E879" s="81"/>
      <c r="F879" s="82"/>
      <c r="G879" s="83"/>
      <c r="H879" s="83"/>
      <c r="I879" s="81"/>
      <c r="J879" s="84"/>
      <c r="K879" s="84"/>
      <c r="L879" s="84"/>
      <c r="M879" s="81"/>
      <c r="N879" s="81"/>
      <c r="O879" s="81"/>
      <c r="P879" s="81"/>
      <c r="Q879" s="81"/>
      <c r="R879" s="81"/>
      <c r="S879" s="81"/>
      <c r="T879" s="81"/>
      <c r="U879" s="81"/>
      <c r="V879" s="81"/>
      <c r="W879" s="81"/>
      <c r="X879" s="81"/>
      <c r="Y879" s="81"/>
      <c r="Z879" s="81"/>
    </row>
    <row r="880" spans="1:26" ht="12" customHeight="1">
      <c r="A880" s="79"/>
      <c r="B880" s="79"/>
      <c r="C880" s="81"/>
      <c r="D880" s="81"/>
      <c r="E880" s="81"/>
      <c r="F880" s="82"/>
      <c r="G880" s="83"/>
      <c r="H880" s="83"/>
      <c r="I880" s="81"/>
      <c r="J880" s="84"/>
      <c r="K880" s="84"/>
      <c r="L880" s="84"/>
      <c r="M880" s="81"/>
      <c r="N880" s="81"/>
      <c r="O880" s="81"/>
      <c r="P880" s="81"/>
      <c r="Q880" s="81"/>
      <c r="R880" s="81"/>
      <c r="S880" s="81"/>
      <c r="T880" s="81"/>
      <c r="U880" s="81"/>
      <c r="V880" s="81"/>
      <c r="W880" s="81"/>
      <c r="X880" s="81"/>
      <c r="Y880" s="81"/>
      <c r="Z880" s="81"/>
    </row>
    <row r="881" spans="1:26" ht="12" customHeight="1">
      <c r="A881" s="79"/>
      <c r="B881" s="79"/>
      <c r="C881" s="81"/>
      <c r="D881" s="81"/>
      <c r="E881" s="81"/>
      <c r="F881" s="82"/>
      <c r="G881" s="83"/>
      <c r="H881" s="83"/>
      <c r="I881" s="81"/>
      <c r="J881" s="84"/>
      <c r="K881" s="84"/>
      <c r="L881" s="84"/>
      <c r="M881" s="81"/>
      <c r="N881" s="81"/>
      <c r="O881" s="81"/>
      <c r="P881" s="81"/>
      <c r="Q881" s="81"/>
      <c r="R881" s="81"/>
      <c r="S881" s="81"/>
      <c r="T881" s="81"/>
      <c r="U881" s="81"/>
      <c r="V881" s="81"/>
      <c r="W881" s="81"/>
      <c r="X881" s="81"/>
      <c r="Y881" s="81"/>
      <c r="Z881" s="81"/>
    </row>
    <row r="882" spans="1:26" ht="12" customHeight="1">
      <c r="A882" s="79"/>
      <c r="B882" s="79"/>
      <c r="C882" s="81"/>
      <c r="D882" s="81"/>
      <c r="E882" s="81"/>
      <c r="F882" s="82"/>
      <c r="G882" s="83"/>
      <c r="H882" s="83"/>
      <c r="I882" s="81"/>
      <c r="J882" s="84"/>
      <c r="K882" s="84"/>
      <c r="L882" s="84"/>
      <c r="M882" s="81"/>
      <c r="N882" s="81"/>
      <c r="O882" s="81"/>
      <c r="P882" s="81"/>
      <c r="Q882" s="81"/>
      <c r="R882" s="81"/>
      <c r="S882" s="81"/>
      <c r="T882" s="81"/>
      <c r="U882" s="81"/>
      <c r="V882" s="81"/>
      <c r="W882" s="81"/>
      <c r="X882" s="81"/>
      <c r="Y882" s="81"/>
      <c r="Z882" s="81"/>
    </row>
    <row r="883" spans="1:26" ht="12" customHeight="1">
      <c r="A883" s="79"/>
      <c r="B883" s="79"/>
      <c r="C883" s="81"/>
      <c r="D883" s="81"/>
      <c r="E883" s="81"/>
      <c r="F883" s="82"/>
      <c r="G883" s="83"/>
      <c r="H883" s="83"/>
      <c r="I883" s="81"/>
      <c r="J883" s="84"/>
      <c r="K883" s="84"/>
      <c r="L883" s="84"/>
      <c r="M883" s="81"/>
      <c r="N883" s="81"/>
      <c r="O883" s="81"/>
      <c r="P883" s="81"/>
      <c r="Q883" s="81"/>
      <c r="R883" s="81"/>
      <c r="S883" s="81"/>
      <c r="T883" s="81"/>
      <c r="U883" s="81"/>
      <c r="V883" s="81"/>
      <c r="W883" s="81"/>
      <c r="X883" s="81"/>
      <c r="Y883" s="81"/>
      <c r="Z883" s="81"/>
    </row>
    <row r="884" spans="1:26" ht="12" customHeight="1">
      <c r="A884" s="79"/>
      <c r="B884" s="79"/>
      <c r="C884" s="81"/>
      <c r="D884" s="81"/>
      <c r="E884" s="81"/>
      <c r="F884" s="82"/>
      <c r="G884" s="83"/>
      <c r="H884" s="83"/>
      <c r="I884" s="81"/>
      <c r="J884" s="84"/>
      <c r="K884" s="84"/>
      <c r="L884" s="84"/>
      <c r="M884" s="81"/>
      <c r="N884" s="81"/>
      <c r="O884" s="81"/>
      <c r="P884" s="81"/>
      <c r="Q884" s="81"/>
      <c r="R884" s="81"/>
      <c r="S884" s="81"/>
      <c r="T884" s="81"/>
      <c r="U884" s="81"/>
      <c r="V884" s="81"/>
      <c r="W884" s="81"/>
      <c r="X884" s="81"/>
      <c r="Y884" s="81"/>
      <c r="Z884" s="81"/>
    </row>
    <row r="885" spans="1:26" ht="12" customHeight="1">
      <c r="A885" s="79"/>
      <c r="B885" s="79"/>
      <c r="C885" s="81"/>
      <c r="D885" s="81"/>
      <c r="E885" s="81"/>
      <c r="F885" s="82"/>
      <c r="G885" s="83"/>
      <c r="H885" s="83"/>
      <c r="I885" s="81"/>
      <c r="J885" s="84"/>
      <c r="K885" s="84"/>
      <c r="L885" s="84"/>
      <c r="M885" s="81"/>
      <c r="N885" s="81"/>
      <c r="O885" s="81"/>
      <c r="P885" s="81"/>
      <c r="Q885" s="81"/>
      <c r="R885" s="81"/>
      <c r="S885" s="81"/>
      <c r="T885" s="81"/>
      <c r="U885" s="81"/>
      <c r="V885" s="81"/>
      <c r="W885" s="81"/>
      <c r="X885" s="81"/>
      <c r="Y885" s="81"/>
      <c r="Z885" s="81"/>
    </row>
    <row r="886" spans="1:26" ht="12" customHeight="1">
      <c r="A886" s="79"/>
      <c r="B886" s="79"/>
      <c r="C886" s="81"/>
      <c r="D886" s="81"/>
      <c r="E886" s="81"/>
      <c r="F886" s="82"/>
      <c r="G886" s="83"/>
      <c r="H886" s="83"/>
      <c r="I886" s="81"/>
      <c r="J886" s="84"/>
      <c r="K886" s="84"/>
      <c r="L886" s="84"/>
      <c r="M886" s="81"/>
      <c r="N886" s="81"/>
      <c r="O886" s="81"/>
      <c r="P886" s="81"/>
      <c r="Q886" s="81"/>
      <c r="R886" s="81"/>
      <c r="S886" s="81"/>
      <c r="T886" s="81"/>
      <c r="U886" s="81"/>
      <c r="V886" s="81"/>
      <c r="W886" s="81"/>
      <c r="X886" s="81"/>
      <c r="Y886" s="81"/>
      <c r="Z886" s="81"/>
    </row>
    <row r="887" spans="1:26" ht="12" customHeight="1">
      <c r="A887" s="79"/>
      <c r="B887" s="79"/>
      <c r="C887" s="81"/>
      <c r="D887" s="81"/>
      <c r="E887" s="81"/>
      <c r="F887" s="82"/>
      <c r="G887" s="83"/>
      <c r="H887" s="83"/>
      <c r="I887" s="81"/>
      <c r="J887" s="84"/>
      <c r="K887" s="84"/>
      <c r="L887" s="84"/>
      <c r="M887" s="81"/>
      <c r="N887" s="81"/>
      <c r="O887" s="81"/>
      <c r="P887" s="81"/>
      <c r="Q887" s="81"/>
      <c r="R887" s="81"/>
      <c r="S887" s="81"/>
      <c r="T887" s="81"/>
      <c r="U887" s="81"/>
      <c r="V887" s="81"/>
      <c r="W887" s="81"/>
      <c r="X887" s="81"/>
      <c r="Y887" s="81"/>
      <c r="Z887" s="81"/>
    </row>
    <row r="888" spans="1:26" ht="12" customHeight="1">
      <c r="A888" s="79"/>
      <c r="B888" s="79"/>
      <c r="C888" s="81"/>
      <c r="D888" s="81"/>
      <c r="E888" s="81"/>
      <c r="F888" s="82"/>
      <c r="G888" s="83"/>
      <c r="H888" s="83"/>
      <c r="I888" s="81"/>
      <c r="J888" s="84"/>
      <c r="K888" s="84"/>
      <c r="L888" s="84"/>
      <c r="M888" s="81"/>
      <c r="N888" s="81"/>
      <c r="O888" s="81"/>
      <c r="P888" s="81"/>
      <c r="Q888" s="81"/>
      <c r="R888" s="81"/>
      <c r="S888" s="81"/>
      <c r="T888" s="81"/>
      <c r="U888" s="81"/>
      <c r="V888" s="81"/>
      <c r="W888" s="81"/>
      <c r="X888" s="81"/>
      <c r="Y888" s="81"/>
      <c r="Z888" s="81"/>
    </row>
    <row r="889" spans="1:26" ht="12" customHeight="1">
      <c r="A889" s="79"/>
      <c r="B889" s="79"/>
      <c r="C889" s="81"/>
      <c r="D889" s="81"/>
      <c r="E889" s="81"/>
      <c r="F889" s="82"/>
      <c r="G889" s="83"/>
      <c r="H889" s="83"/>
      <c r="I889" s="81"/>
      <c r="J889" s="84"/>
      <c r="K889" s="84"/>
      <c r="L889" s="84"/>
      <c r="M889" s="81"/>
      <c r="N889" s="81"/>
      <c r="O889" s="81"/>
      <c r="P889" s="81"/>
      <c r="Q889" s="81"/>
      <c r="R889" s="81"/>
      <c r="S889" s="81"/>
      <c r="T889" s="81"/>
      <c r="U889" s="81"/>
      <c r="V889" s="81"/>
      <c r="W889" s="81"/>
      <c r="X889" s="81"/>
      <c r="Y889" s="81"/>
      <c r="Z889" s="81"/>
    </row>
    <row r="890" spans="1:26" ht="12" customHeight="1">
      <c r="A890" s="79"/>
      <c r="B890" s="79"/>
      <c r="C890" s="81"/>
      <c r="D890" s="81"/>
      <c r="E890" s="81"/>
      <c r="F890" s="82"/>
      <c r="G890" s="83"/>
      <c r="H890" s="83"/>
      <c r="I890" s="81"/>
      <c r="J890" s="84"/>
      <c r="K890" s="84"/>
      <c r="L890" s="84"/>
      <c r="M890" s="81"/>
      <c r="N890" s="81"/>
      <c r="O890" s="81"/>
      <c r="P890" s="81"/>
      <c r="Q890" s="81"/>
      <c r="R890" s="81"/>
      <c r="S890" s="81"/>
      <c r="T890" s="81"/>
      <c r="U890" s="81"/>
      <c r="V890" s="81"/>
      <c r="W890" s="81"/>
      <c r="X890" s="81"/>
      <c r="Y890" s="81"/>
      <c r="Z890" s="81"/>
    </row>
    <row r="891" spans="1:26" ht="12" customHeight="1">
      <c r="A891" s="79"/>
      <c r="B891" s="79"/>
      <c r="C891" s="81"/>
      <c r="D891" s="81"/>
      <c r="E891" s="81"/>
      <c r="F891" s="82"/>
      <c r="G891" s="83"/>
      <c r="H891" s="83"/>
      <c r="I891" s="81"/>
      <c r="J891" s="84"/>
      <c r="K891" s="84"/>
      <c r="L891" s="84"/>
      <c r="M891" s="81"/>
      <c r="N891" s="81"/>
      <c r="O891" s="81"/>
      <c r="P891" s="81"/>
      <c r="Q891" s="81"/>
      <c r="R891" s="81"/>
      <c r="S891" s="81"/>
      <c r="T891" s="81"/>
      <c r="U891" s="81"/>
      <c r="V891" s="81"/>
      <c r="W891" s="81"/>
      <c r="X891" s="81"/>
      <c r="Y891" s="81"/>
      <c r="Z891" s="81"/>
    </row>
    <row r="892" spans="1:26" ht="12" customHeight="1">
      <c r="A892" s="79"/>
      <c r="B892" s="79"/>
      <c r="C892" s="81"/>
      <c r="D892" s="81"/>
      <c r="E892" s="81"/>
      <c r="F892" s="82"/>
      <c r="G892" s="83"/>
      <c r="H892" s="83"/>
      <c r="I892" s="81"/>
      <c r="J892" s="84"/>
      <c r="K892" s="84"/>
      <c r="L892" s="84"/>
      <c r="M892" s="81"/>
      <c r="N892" s="81"/>
      <c r="O892" s="81"/>
      <c r="P892" s="81"/>
      <c r="Q892" s="81"/>
      <c r="R892" s="81"/>
      <c r="S892" s="81"/>
      <c r="T892" s="81"/>
      <c r="U892" s="81"/>
      <c r="V892" s="81"/>
      <c r="W892" s="81"/>
      <c r="X892" s="81"/>
      <c r="Y892" s="81"/>
      <c r="Z892" s="81"/>
    </row>
    <row r="893" spans="1:26" ht="12" customHeight="1">
      <c r="A893" s="79"/>
      <c r="B893" s="79"/>
      <c r="C893" s="81"/>
      <c r="D893" s="81"/>
      <c r="E893" s="81"/>
      <c r="F893" s="82"/>
      <c r="G893" s="83"/>
      <c r="H893" s="83"/>
      <c r="I893" s="81"/>
      <c r="J893" s="84"/>
      <c r="K893" s="84"/>
      <c r="L893" s="84"/>
      <c r="M893" s="81"/>
      <c r="N893" s="81"/>
      <c r="O893" s="81"/>
      <c r="P893" s="81"/>
      <c r="Q893" s="81"/>
      <c r="R893" s="81"/>
      <c r="S893" s="81"/>
      <c r="T893" s="81"/>
      <c r="U893" s="81"/>
      <c r="V893" s="81"/>
      <c r="W893" s="81"/>
      <c r="X893" s="81"/>
      <c r="Y893" s="81"/>
      <c r="Z893" s="81"/>
    </row>
    <row r="894" spans="1:26" ht="12" customHeight="1">
      <c r="A894" s="79"/>
      <c r="B894" s="79"/>
      <c r="C894" s="81"/>
      <c r="D894" s="81"/>
      <c r="E894" s="81"/>
      <c r="F894" s="82"/>
      <c r="G894" s="83"/>
      <c r="H894" s="83"/>
      <c r="I894" s="81"/>
      <c r="J894" s="84"/>
      <c r="K894" s="84"/>
      <c r="L894" s="84"/>
      <c r="M894" s="81"/>
      <c r="N894" s="81"/>
      <c r="O894" s="81"/>
      <c r="P894" s="81"/>
      <c r="Q894" s="81"/>
      <c r="R894" s="81"/>
      <c r="S894" s="81"/>
      <c r="T894" s="81"/>
      <c r="U894" s="81"/>
      <c r="V894" s="81"/>
      <c r="W894" s="81"/>
      <c r="X894" s="81"/>
      <c r="Y894" s="81"/>
      <c r="Z894" s="81"/>
    </row>
    <row r="895" spans="1:26" ht="12" customHeight="1">
      <c r="A895" s="79"/>
      <c r="B895" s="79"/>
      <c r="C895" s="81"/>
      <c r="D895" s="81"/>
      <c r="E895" s="81"/>
      <c r="F895" s="82"/>
      <c r="G895" s="83"/>
      <c r="H895" s="83"/>
      <c r="I895" s="81"/>
      <c r="J895" s="84"/>
      <c r="K895" s="84"/>
      <c r="L895" s="84"/>
      <c r="M895" s="81"/>
      <c r="N895" s="81"/>
      <c r="O895" s="81"/>
      <c r="P895" s="81"/>
      <c r="Q895" s="81"/>
      <c r="R895" s="81"/>
      <c r="S895" s="81"/>
      <c r="T895" s="81"/>
      <c r="U895" s="81"/>
      <c r="V895" s="81"/>
      <c r="W895" s="81"/>
      <c r="X895" s="81"/>
      <c r="Y895" s="81"/>
      <c r="Z895" s="81"/>
    </row>
    <row r="896" spans="1:26" ht="12" customHeight="1">
      <c r="A896" s="79"/>
      <c r="B896" s="79"/>
      <c r="C896" s="81"/>
      <c r="D896" s="81"/>
      <c r="E896" s="81"/>
      <c r="F896" s="82"/>
      <c r="G896" s="83"/>
      <c r="H896" s="83"/>
      <c r="I896" s="81"/>
      <c r="J896" s="84"/>
      <c r="K896" s="84"/>
      <c r="L896" s="84"/>
      <c r="M896" s="81"/>
      <c r="N896" s="81"/>
      <c r="O896" s="81"/>
      <c r="P896" s="81"/>
      <c r="Q896" s="81"/>
      <c r="R896" s="81"/>
      <c r="S896" s="81"/>
      <c r="T896" s="81"/>
      <c r="U896" s="81"/>
      <c r="V896" s="81"/>
      <c r="W896" s="81"/>
      <c r="X896" s="81"/>
      <c r="Y896" s="81"/>
      <c r="Z896" s="81"/>
    </row>
    <row r="897" spans="1:26" ht="12" customHeight="1">
      <c r="A897" s="79"/>
      <c r="B897" s="79"/>
      <c r="C897" s="81"/>
      <c r="D897" s="81"/>
      <c r="E897" s="81"/>
      <c r="F897" s="82"/>
      <c r="G897" s="83"/>
      <c r="H897" s="83"/>
      <c r="I897" s="81"/>
      <c r="J897" s="84"/>
      <c r="K897" s="84"/>
      <c r="L897" s="84"/>
      <c r="M897" s="81"/>
      <c r="N897" s="81"/>
      <c r="O897" s="81"/>
      <c r="P897" s="81"/>
      <c r="Q897" s="81"/>
      <c r="R897" s="81"/>
      <c r="S897" s="81"/>
      <c r="T897" s="81"/>
      <c r="U897" s="81"/>
      <c r="V897" s="81"/>
      <c r="W897" s="81"/>
      <c r="X897" s="81"/>
      <c r="Y897" s="81"/>
      <c r="Z897" s="81"/>
    </row>
    <row r="898" spans="1:26" ht="12" customHeight="1">
      <c r="A898" s="79"/>
      <c r="B898" s="79"/>
      <c r="C898" s="81"/>
      <c r="D898" s="81"/>
      <c r="E898" s="81"/>
      <c r="F898" s="82"/>
      <c r="G898" s="83"/>
      <c r="H898" s="83"/>
      <c r="I898" s="81"/>
      <c r="J898" s="84"/>
      <c r="K898" s="84"/>
      <c r="L898" s="84"/>
      <c r="M898" s="81"/>
      <c r="N898" s="81"/>
      <c r="O898" s="81"/>
      <c r="P898" s="81"/>
      <c r="Q898" s="81"/>
      <c r="R898" s="81"/>
      <c r="S898" s="81"/>
      <c r="T898" s="81"/>
      <c r="U898" s="81"/>
      <c r="V898" s="81"/>
      <c r="W898" s="81"/>
      <c r="X898" s="81"/>
      <c r="Y898" s="81"/>
      <c r="Z898" s="81"/>
    </row>
    <row r="899" spans="1:26" ht="12" customHeight="1">
      <c r="A899" s="79"/>
      <c r="B899" s="79"/>
      <c r="C899" s="81"/>
      <c r="D899" s="81"/>
      <c r="E899" s="81"/>
      <c r="F899" s="82"/>
      <c r="G899" s="83"/>
      <c r="H899" s="83"/>
      <c r="I899" s="81"/>
      <c r="J899" s="84"/>
      <c r="K899" s="84"/>
      <c r="L899" s="84"/>
      <c r="M899" s="81"/>
      <c r="N899" s="81"/>
      <c r="O899" s="81"/>
      <c r="P899" s="81"/>
      <c r="Q899" s="81"/>
      <c r="R899" s="81"/>
      <c r="S899" s="81"/>
      <c r="T899" s="81"/>
      <c r="U899" s="81"/>
      <c r="V899" s="81"/>
      <c r="W899" s="81"/>
      <c r="X899" s="81"/>
      <c r="Y899" s="81"/>
      <c r="Z899" s="81"/>
    </row>
    <row r="900" spans="1:26" ht="12" customHeight="1">
      <c r="A900" s="79"/>
      <c r="B900" s="79"/>
      <c r="C900" s="81"/>
      <c r="D900" s="81"/>
      <c r="E900" s="81"/>
      <c r="F900" s="82"/>
      <c r="G900" s="83"/>
      <c r="H900" s="83"/>
      <c r="I900" s="81"/>
      <c r="J900" s="84"/>
      <c r="K900" s="84"/>
      <c r="L900" s="84"/>
      <c r="M900" s="81"/>
      <c r="N900" s="81"/>
      <c r="O900" s="81"/>
      <c r="P900" s="81"/>
      <c r="Q900" s="81"/>
      <c r="R900" s="81"/>
      <c r="S900" s="81"/>
      <c r="T900" s="81"/>
      <c r="U900" s="81"/>
      <c r="V900" s="81"/>
      <c r="W900" s="81"/>
      <c r="X900" s="81"/>
      <c r="Y900" s="81"/>
      <c r="Z900" s="81"/>
    </row>
    <row r="901" spans="1:26" ht="12" customHeight="1">
      <c r="A901" s="79"/>
      <c r="B901" s="79"/>
      <c r="C901" s="81"/>
      <c r="D901" s="81"/>
      <c r="E901" s="81"/>
      <c r="F901" s="82"/>
      <c r="G901" s="83"/>
      <c r="H901" s="83"/>
      <c r="I901" s="81"/>
      <c r="J901" s="84"/>
      <c r="K901" s="84"/>
      <c r="L901" s="84"/>
      <c r="M901" s="81"/>
      <c r="N901" s="81"/>
      <c r="O901" s="81"/>
      <c r="P901" s="81"/>
      <c r="Q901" s="81"/>
      <c r="R901" s="81"/>
      <c r="S901" s="81"/>
      <c r="T901" s="81"/>
      <c r="U901" s="81"/>
      <c r="V901" s="81"/>
      <c r="W901" s="81"/>
      <c r="X901" s="81"/>
      <c r="Y901" s="81"/>
      <c r="Z901" s="81"/>
    </row>
    <row r="902" spans="1:26" ht="12" customHeight="1">
      <c r="A902" s="79"/>
      <c r="B902" s="79"/>
      <c r="C902" s="81"/>
      <c r="D902" s="81"/>
      <c r="E902" s="81"/>
      <c r="F902" s="82"/>
      <c r="G902" s="83"/>
      <c r="H902" s="83"/>
      <c r="I902" s="81"/>
      <c r="J902" s="84"/>
      <c r="K902" s="84"/>
      <c r="L902" s="84"/>
      <c r="M902" s="81"/>
      <c r="N902" s="81"/>
      <c r="O902" s="81"/>
      <c r="P902" s="81"/>
      <c r="Q902" s="81"/>
      <c r="R902" s="81"/>
      <c r="S902" s="81"/>
      <c r="T902" s="81"/>
      <c r="U902" s="81"/>
      <c r="V902" s="81"/>
      <c r="W902" s="81"/>
      <c r="X902" s="81"/>
      <c r="Y902" s="81"/>
      <c r="Z902" s="81"/>
    </row>
    <row r="903" spans="1:26" ht="12" customHeight="1">
      <c r="A903" s="79"/>
      <c r="B903" s="79"/>
      <c r="C903" s="81"/>
      <c r="D903" s="81"/>
      <c r="E903" s="81"/>
      <c r="F903" s="82"/>
      <c r="G903" s="83"/>
      <c r="H903" s="83"/>
      <c r="I903" s="81"/>
      <c r="J903" s="84"/>
      <c r="K903" s="84"/>
      <c r="L903" s="84"/>
      <c r="M903" s="81"/>
      <c r="N903" s="81"/>
      <c r="O903" s="81"/>
      <c r="P903" s="81"/>
      <c r="Q903" s="81"/>
      <c r="R903" s="81"/>
      <c r="S903" s="81"/>
      <c r="T903" s="81"/>
      <c r="U903" s="81"/>
      <c r="V903" s="81"/>
      <c r="W903" s="81"/>
      <c r="X903" s="81"/>
      <c r="Y903" s="81"/>
      <c r="Z903" s="81"/>
    </row>
    <row r="904" spans="1:26" ht="12" customHeight="1">
      <c r="A904" s="79"/>
      <c r="B904" s="79"/>
      <c r="C904" s="81"/>
      <c r="D904" s="81"/>
      <c r="E904" s="81"/>
      <c r="F904" s="82"/>
      <c r="G904" s="83"/>
      <c r="H904" s="83"/>
      <c r="I904" s="81"/>
      <c r="J904" s="84"/>
      <c r="K904" s="84"/>
      <c r="L904" s="84"/>
      <c r="M904" s="81"/>
      <c r="N904" s="81"/>
      <c r="O904" s="81"/>
      <c r="P904" s="81"/>
      <c r="Q904" s="81"/>
      <c r="R904" s="81"/>
      <c r="S904" s="81"/>
      <c r="T904" s="81"/>
      <c r="U904" s="81"/>
      <c r="V904" s="81"/>
      <c r="W904" s="81"/>
      <c r="X904" s="81"/>
      <c r="Y904" s="81"/>
      <c r="Z904" s="81"/>
    </row>
    <row r="905" spans="1:26" ht="12" customHeight="1">
      <c r="A905" s="79"/>
      <c r="B905" s="79"/>
      <c r="C905" s="81"/>
      <c r="D905" s="81"/>
      <c r="E905" s="81"/>
      <c r="F905" s="82"/>
      <c r="G905" s="83"/>
      <c r="H905" s="83"/>
      <c r="I905" s="81"/>
      <c r="J905" s="84"/>
      <c r="K905" s="84"/>
      <c r="L905" s="84"/>
      <c r="M905" s="81"/>
      <c r="N905" s="81"/>
      <c r="O905" s="81"/>
      <c r="P905" s="81"/>
      <c r="Q905" s="81"/>
      <c r="R905" s="81"/>
      <c r="S905" s="81"/>
      <c r="T905" s="81"/>
      <c r="U905" s="81"/>
      <c r="V905" s="81"/>
      <c r="W905" s="81"/>
      <c r="X905" s="81"/>
      <c r="Y905" s="81"/>
      <c r="Z905" s="81"/>
    </row>
    <row r="906" spans="1:26" ht="12" customHeight="1">
      <c r="A906" s="79"/>
      <c r="B906" s="79"/>
      <c r="C906" s="81"/>
      <c r="D906" s="81"/>
      <c r="E906" s="81"/>
      <c r="F906" s="82"/>
      <c r="G906" s="83"/>
      <c r="H906" s="83"/>
      <c r="I906" s="81"/>
      <c r="J906" s="84"/>
      <c r="K906" s="84"/>
      <c r="L906" s="84"/>
      <c r="M906" s="81"/>
      <c r="N906" s="81"/>
      <c r="O906" s="81"/>
      <c r="P906" s="81"/>
      <c r="Q906" s="81"/>
      <c r="R906" s="81"/>
      <c r="S906" s="81"/>
      <c r="T906" s="81"/>
      <c r="U906" s="81"/>
      <c r="V906" s="81"/>
      <c r="W906" s="81"/>
      <c r="X906" s="81"/>
      <c r="Y906" s="81"/>
      <c r="Z906" s="81"/>
    </row>
    <row r="907" spans="1:26" ht="12" customHeight="1">
      <c r="A907" s="79"/>
      <c r="B907" s="79"/>
      <c r="C907" s="81"/>
      <c r="D907" s="81"/>
      <c r="E907" s="81"/>
      <c r="F907" s="82"/>
      <c r="G907" s="83"/>
      <c r="H907" s="83"/>
      <c r="I907" s="81"/>
      <c r="J907" s="84"/>
      <c r="K907" s="84"/>
      <c r="L907" s="84"/>
      <c r="M907" s="81"/>
      <c r="N907" s="81"/>
      <c r="O907" s="81"/>
      <c r="P907" s="81"/>
      <c r="Q907" s="81"/>
      <c r="R907" s="81"/>
      <c r="S907" s="81"/>
      <c r="T907" s="81"/>
      <c r="U907" s="81"/>
      <c r="V907" s="81"/>
      <c r="W907" s="81"/>
      <c r="X907" s="81"/>
      <c r="Y907" s="81"/>
      <c r="Z907" s="81"/>
    </row>
    <row r="908" spans="1:26" ht="12" customHeight="1">
      <c r="A908" s="79"/>
      <c r="B908" s="79"/>
      <c r="C908" s="81"/>
      <c r="D908" s="81"/>
      <c r="E908" s="81"/>
      <c r="F908" s="82"/>
      <c r="G908" s="83"/>
      <c r="H908" s="83"/>
      <c r="I908" s="81"/>
      <c r="J908" s="84"/>
      <c r="K908" s="84"/>
      <c r="L908" s="84"/>
      <c r="M908" s="81"/>
      <c r="N908" s="81"/>
      <c r="O908" s="81"/>
      <c r="P908" s="81"/>
      <c r="Q908" s="81"/>
      <c r="R908" s="81"/>
      <c r="S908" s="81"/>
      <c r="T908" s="81"/>
      <c r="U908" s="81"/>
      <c r="V908" s="81"/>
      <c r="W908" s="81"/>
      <c r="X908" s="81"/>
      <c r="Y908" s="81"/>
      <c r="Z908" s="81"/>
    </row>
    <row r="909" spans="1:26" ht="12" customHeight="1">
      <c r="A909" s="79"/>
      <c r="B909" s="79"/>
      <c r="C909" s="81"/>
      <c r="D909" s="81"/>
      <c r="E909" s="81"/>
      <c r="F909" s="82"/>
      <c r="G909" s="83"/>
      <c r="H909" s="83"/>
      <c r="I909" s="81"/>
      <c r="J909" s="84"/>
      <c r="K909" s="84"/>
      <c r="L909" s="84"/>
      <c r="M909" s="81"/>
      <c r="N909" s="81"/>
      <c r="O909" s="81"/>
      <c r="P909" s="81"/>
      <c r="Q909" s="81"/>
      <c r="R909" s="81"/>
      <c r="S909" s="81"/>
      <c r="T909" s="81"/>
      <c r="U909" s="81"/>
      <c r="V909" s="81"/>
      <c r="W909" s="81"/>
      <c r="X909" s="81"/>
      <c r="Y909" s="81"/>
      <c r="Z909" s="81"/>
    </row>
    <row r="910" spans="1:26" ht="12" customHeight="1">
      <c r="A910" s="79"/>
      <c r="B910" s="79"/>
      <c r="C910" s="81"/>
      <c r="D910" s="81"/>
      <c r="E910" s="81"/>
      <c r="F910" s="82"/>
      <c r="G910" s="83"/>
      <c r="H910" s="83"/>
      <c r="I910" s="81"/>
      <c r="J910" s="84"/>
      <c r="K910" s="84"/>
      <c r="L910" s="84"/>
      <c r="M910" s="81"/>
      <c r="N910" s="81"/>
      <c r="O910" s="81"/>
      <c r="P910" s="81"/>
      <c r="Q910" s="81"/>
      <c r="R910" s="81"/>
      <c r="S910" s="81"/>
      <c r="T910" s="81"/>
      <c r="U910" s="81"/>
      <c r="V910" s="81"/>
      <c r="W910" s="81"/>
      <c r="X910" s="81"/>
      <c r="Y910" s="81"/>
      <c r="Z910" s="81"/>
    </row>
    <row r="911" spans="1:26" ht="12" customHeight="1">
      <c r="A911" s="79"/>
      <c r="B911" s="79"/>
      <c r="C911" s="81"/>
      <c r="D911" s="81"/>
      <c r="E911" s="81"/>
      <c r="F911" s="82"/>
      <c r="G911" s="83"/>
      <c r="H911" s="83"/>
      <c r="I911" s="81"/>
      <c r="J911" s="84"/>
      <c r="K911" s="84"/>
      <c r="L911" s="84"/>
      <c r="M911" s="81"/>
      <c r="N911" s="81"/>
      <c r="O911" s="81"/>
      <c r="P911" s="81"/>
      <c r="Q911" s="81"/>
      <c r="R911" s="81"/>
      <c r="S911" s="81"/>
      <c r="T911" s="81"/>
      <c r="U911" s="81"/>
      <c r="V911" s="81"/>
      <c r="W911" s="81"/>
      <c r="X911" s="81"/>
      <c r="Y911" s="81"/>
      <c r="Z911" s="81"/>
    </row>
    <row r="912" spans="1:26" ht="12" customHeight="1">
      <c r="A912" s="79"/>
      <c r="B912" s="79"/>
      <c r="C912" s="81"/>
      <c r="D912" s="81"/>
      <c r="E912" s="81"/>
      <c r="F912" s="82"/>
      <c r="G912" s="83"/>
      <c r="H912" s="83"/>
      <c r="I912" s="81"/>
      <c r="J912" s="84"/>
      <c r="K912" s="84"/>
      <c r="L912" s="84"/>
      <c r="M912" s="81"/>
      <c r="N912" s="81"/>
      <c r="O912" s="81"/>
      <c r="P912" s="81"/>
      <c r="Q912" s="81"/>
      <c r="R912" s="81"/>
      <c r="S912" s="81"/>
      <c r="T912" s="81"/>
      <c r="U912" s="81"/>
      <c r="V912" s="81"/>
      <c r="W912" s="81"/>
      <c r="X912" s="81"/>
      <c r="Y912" s="81"/>
      <c r="Z912" s="81"/>
    </row>
    <row r="913" spans="1:26" ht="12" customHeight="1">
      <c r="A913" s="79"/>
      <c r="B913" s="79"/>
      <c r="C913" s="81"/>
      <c r="D913" s="81"/>
      <c r="E913" s="81"/>
      <c r="F913" s="82"/>
      <c r="G913" s="83"/>
      <c r="H913" s="83"/>
      <c r="I913" s="81"/>
      <c r="J913" s="84"/>
      <c r="K913" s="84"/>
      <c r="L913" s="84"/>
      <c r="M913" s="81"/>
      <c r="N913" s="81"/>
      <c r="O913" s="81"/>
      <c r="P913" s="81"/>
      <c r="Q913" s="81"/>
      <c r="R913" s="81"/>
      <c r="S913" s="81"/>
      <c r="T913" s="81"/>
      <c r="U913" s="81"/>
      <c r="V913" s="81"/>
      <c r="W913" s="81"/>
      <c r="X913" s="81"/>
      <c r="Y913" s="81"/>
      <c r="Z913" s="81"/>
    </row>
    <row r="914" spans="1:26" ht="12" customHeight="1">
      <c r="A914" s="79"/>
      <c r="B914" s="79"/>
      <c r="C914" s="81"/>
      <c r="D914" s="81"/>
      <c r="E914" s="81"/>
      <c r="F914" s="82"/>
      <c r="G914" s="83"/>
      <c r="H914" s="83"/>
      <c r="I914" s="81"/>
      <c r="J914" s="84"/>
      <c r="K914" s="84"/>
      <c r="L914" s="84"/>
      <c r="M914" s="81"/>
      <c r="N914" s="81"/>
      <c r="O914" s="81"/>
      <c r="P914" s="81"/>
      <c r="Q914" s="81"/>
      <c r="R914" s="81"/>
      <c r="S914" s="81"/>
      <c r="T914" s="81"/>
      <c r="U914" s="81"/>
      <c r="V914" s="81"/>
      <c r="W914" s="81"/>
      <c r="X914" s="81"/>
      <c r="Y914" s="81"/>
      <c r="Z914" s="81"/>
    </row>
    <row r="915" spans="1:26" ht="12" customHeight="1">
      <c r="A915" s="79"/>
      <c r="B915" s="79"/>
      <c r="C915" s="81"/>
      <c r="D915" s="81"/>
      <c r="E915" s="81"/>
      <c r="F915" s="82"/>
      <c r="G915" s="83"/>
      <c r="H915" s="83"/>
      <c r="I915" s="81"/>
      <c r="J915" s="84"/>
      <c r="K915" s="84"/>
      <c r="L915" s="84"/>
      <c r="M915" s="81"/>
      <c r="N915" s="81"/>
      <c r="O915" s="81"/>
      <c r="P915" s="81"/>
      <c r="Q915" s="81"/>
      <c r="R915" s="81"/>
      <c r="S915" s="81"/>
      <c r="T915" s="81"/>
      <c r="U915" s="81"/>
      <c r="V915" s="81"/>
      <c r="W915" s="81"/>
      <c r="X915" s="81"/>
      <c r="Y915" s="81"/>
      <c r="Z915" s="81"/>
    </row>
    <row r="916" spans="1:26" ht="12" customHeight="1">
      <c r="A916" s="79"/>
      <c r="B916" s="79"/>
      <c r="C916" s="81"/>
      <c r="D916" s="81"/>
      <c r="E916" s="81"/>
      <c r="F916" s="82"/>
      <c r="G916" s="83"/>
      <c r="H916" s="83"/>
      <c r="I916" s="81"/>
      <c r="J916" s="84"/>
      <c r="K916" s="84"/>
      <c r="L916" s="84"/>
      <c r="M916" s="81"/>
      <c r="N916" s="81"/>
      <c r="O916" s="81"/>
      <c r="P916" s="81"/>
      <c r="Q916" s="81"/>
      <c r="R916" s="81"/>
      <c r="S916" s="81"/>
      <c r="T916" s="81"/>
      <c r="U916" s="81"/>
      <c r="V916" s="81"/>
      <c r="W916" s="81"/>
      <c r="X916" s="81"/>
      <c r="Y916" s="81"/>
      <c r="Z916" s="81"/>
    </row>
    <row r="917" spans="1:26" ht="12" customHeight="1">
      <c r="A917" s="79"/>
      <c r="B917" s="79"/>
      <c r="C917" s="81"/>
      <c r="D917" s="81"/>
      <c r="E917" s="81"/>
      <c r="F917" s="82"/>
      <c r="G917" s="83"/>
      <c r="H917" s="83"/>
      <c r="I917" s="81"/>
      <c r="J917" s="84"/>
      <c r="K917" s="84"/>
      <c r="L917" s="84"/>
      <c r="M917" s="81"/>
      <c r="N917" s="81"/>
      <c r="O917" s="81"/>
      <c r="P917" s="81"/>
      <c r="Q917" s="81"/>
      <c r="R917" s="81"/>
      <c r="S917" s="81"/>
      <c r="T917" s="81"/>
      <c r="U917" s="81"/>
      <c r="V917" s="81"/>
      <c r="W917" s="81"/>
      <c r="X917" s="81"/>
      <c r="Y917" s="81"/>
      <c r="Z917" s="81"/>
    </row>
    <row r="918" spans="1:26" ht="12" customHeight="1">
      <c r="A918" s="79"/>
      <c r="B918" s="79"/>
      <c r="C918" s="81"/>
      <c r="D918" s="81"/>
      <c r="E918" s="81"/>
      <c r="F918" s="82"/>
      <c r="G918" s="83"/>
      <c r="H918" s="83"/>
      <c r="I918" s="81"/>
      <c r="J918" s="84"/>
      <c r="K918" s="84"/>
      <c r="L918" s="84"/>
      <c r="M918" s="81"/>
      <c r="N918" s="81"/>
      <c r="O918" s="81"/>
      <c r="P918" s="81"/>
      <c r="Q918" s="81"/>
      <c r="R918" s="81"/>
      <c r="S918" s="81"/>
      <c r="T918" s="81"/>
      <c r="U918" s="81"/>
      <c r="V918" s="81"/>
      <c r="W918" s="81"/>
      <c r="X918" s="81"/>
      <c r="Y918" s="81"/>
      <c r="Z918" s="81"/>
    </row>
    <row r="919" spans="1:26" ht="12" customHeight="1">
      <c r="A919" s="79"/>
      <c r="B919" s="79"/>
      <c r="C919" s="81"/>
      <c r="D919" s="81"/>
      <c r="E919" s="81"/>
      <c r="F919" s="82"/>
      <c r="G919" s="83"/>
      <c r="H919" s="83"/>
      <c r="I919" s="81"/>
      <c r="J919" s="84"/>
      <c r="K919" s="84"/>
      <c r="L919" s="84"/>
      <c r="M919" s="81"/>
      <c r="N919" s="81"/>
      <c r="O919" s="81"/>
      <c r="P919" s="81"/>
      <c r="Q919" s="81"/>
      <c r="R919" s="81"/>
      <c r="S919" s="81"/>
      <c r="T919" s="81"/>
      <c r="U919" s="81"/>
      <c r="V919" s="81"/>
      <c r="W919" s="81"/>
      <c r="X919" s="81"/>
      <c r="Y919" s="81"/>
      <c r="Z919" s="81"/>
    </row>
    <row r="920" spans="1:26" ht="12" customHeight="1">
      <c r="A920" s="79"/>
      <c r="B920" s="79"/>
      <c r="C920" s="81"/>
      <c r="D920" s="81"/>
      <c r="E920" s="81"/>
      <c r="F920" s="82"/>
      <c r="G920" s="83"/>
      <c r="H920" s="83"/>
      <c r="I920" s="81"/>
      <c r="J920" s="84"/>
      <c r="K920" s="84"/>
      <c r="L920" s="84"/>
      <c r="M920" s="81"/>
      <c r="N920" s="81"/>
      <c r="O920" s="81"/>
      <c r="P920" s="81"/>
      <c r="Q920" s="81"/>
      <c r="R920" s="81"/>
      <c r="S920" s="81"/>
      <c r="T920" s="81"/>
      <c r="U920" s="81"/>
      <c r="V920" s="81"/>
      <c r="W920" s="81"/>
      <c r="X920" s="81"/>
      <c r="Y920" s="81"/>
      <c r="Z920" s="81"/>
    </row>
    <row r="921" spans="1:26" ht="12" customHeight="1">
      <c r="A921" s="79"/>
      <c r="B921" s="79"/>
      <c r="C921" s="81"/>
      <c r="D921" s="81"/>
      <c r="E921" s="81"/>
      <c r="F921" s="82"/>
      <c r="G921" s="83"/>
      <c r="H921" s="83"/>
      <c r="I921" s="81"/>
      <c r="J921" s="84"/>
      <c r="K921" s="84"/>
      <c r="L921" s="84"/>
      <c r="M921" s="81"/>
      <c r="N921" s="81"/>
      <c r="O921" s="81"/>
      <c r="P921" s="81"/>
      <c r="Q921" s="81"/>
      <c r="R921" s="81"/>
      <c r="S921" s="81"/>
      <c r="T921" s="81"/>
      <c r="U921" s="81"/>
      <c r="V921" s="81"/>
      <c r="W921" s="81"/>
      <c r="X921" s="81"/>
      <c r="Y921" s="81"/>
      <c r="Z921" s="81"/>
    </row>
    <row r="922" spans="1:26" ht="12" customHeight="1">
      <c r="A922" s="79"/>
      <c r="B922" s="79"/>
      <c r="C922" s="81"/>
      <c r="D922" s="81"/>
      <c r="E922" s="81"/>
      <c r="F922" s="82"/>
      <c r="G922" s="83"/>
      <c r="H922" s="83"/>
      <c r="I922" s="81"/>
      <c r="J922" s="84"/>
      <c r="K922" s="84"/>
      <c r="L922" s="84"/>
      <c r="M922" s="81"/>
      <c r="N922" s="81"/>
      <c r="O922" s="81"/>
      <c r="P922" s="81"/>
      <c r="Q922" s="81"/>
      <c r="R922" s="81"/>
      <c r="S922" s="81"/>
      <c r="T922" s="81"/>
      <c r="U922" s="81"/>
      <c r="V922" s="81"/>
      <c r="W922" s="81"/>
      <c r="X922" s="81"/>
      <c r="Y922" s="81"/>
      <c r="Z922" s="81"/>
    </row>
    <row r="923" spans="1:26" ht="12" customHeight="1">
      <c r="A923" s="79"/>
      <c r="B923" s="79"/>
      <c r="C923" s="81"/>
      <c r="D923" s="81"/>
      <c r="E923" s="81"/>
      <c r="F923" s="82"/>
      <c r="G923" s="83"/>
      <c r="H923" s="83"/>
      <c r="I923" s="81"/>
      <c r="J923" s="84"/>
      <c r="K923" s="84"/>
      <c r="L923" s="84"/>
      <c r="M923" s="81"/>
      <c r="N923" s="81"/>
      <c r="O923" s="81"/>
      <c r="P923" s="81"/>
      <c r="Q923" s="81"/>
      <c r="R923" s="81"/>
      <c r="S923" s="81"/>
      <c r="T923" s="81"/>
      <c r="U923" s="81"/>
      <c r="V923" s="81"/>
      <c r="W923" s="81"/>
      <c r="X923" s="81"/>
      <c r="Y923" s="81"/>
      <c r="Z923" s="81"/>
    </row>
    <row r="924" spans="1:26" ht="12" customHeight="1">
      <c r="A924" s="79"/>
      <c r="B924" s="79"/>
      <c r="C924" s="81"/>
      <c r="D924" s="81"/>
      <c r="E924" s="81"/>
      <c r="F924" s="82"/>
      <c r="G924" s="83"/>
      <c r="H924" s="83"/>
      <c r="I924" s="81"/>
      <c r="J924" s="84"/>
      <c r="K924" s="84"/>
      <c r="L924" s="84"/>
      <c r="M924" s="81"/>
      <c r="N924" s="81"/>
      <c r="O924" s="81"/>
      <c r="P924" s="81"/>
      <c r="Q924" s="81"/>
      <c r="R924" s="81"/>
      <c r="S924" s="81"/>
      <c r="T924" s="81"/>
      <c r="U924" s="81"/>
      <c r="V924" s="81"/>
      <c r="W924" s="81"/>
      <c r="X924" s="81"/>
      <c r="Y924" s="81"/>
      <c r="Z924" s="81"/>
    </row>
    <row r="925" spans="1:26" ht="12" customHeight="1">
      <c r="A925" s="79"/>
      <c r="B925" s="79"/>
      <c r="C925" s="81"/>
      <c r="D925" s="81"/>
      <c r="E925" s="81"/>
      <c r="F925" s="82"/>
      <c r="G925" s="83"/>
      <c r="H925" s="83"/>
      <c r="I925" s="81"/>
      <c r="J925" s="84"/>
      <c r="K925" s="84"/>
      <c r="L925" s="84"/>
      <c r="M925" s="81"/>
      <c r="N925" s="81"/>
      <c r="O925" s="81"/>
      <c r="P925" s="81"/>
      <c r="Q925" s="81"/>
      <c r="R925" s="81"/>
      <c r="S925" s="81"/>
      <c r="T925" s="81"/>
      <c r="U925" s="81"/>
      <c r="V925" s="81"/>
      <c r="W925" s="81"/>
      <c r="X925" s="81"/>
      <c r="Y925" s="81"/>
      <c r="Z925" s="81"/>
    </row>
    <row r="926" spans="1:26" ht="12" customHeight="1">
      <c r="A926" s="79"/>
      <c r="B926" s="79"/>
      <c r="C926" s="81"/>
      <c r="D926" s="81"/>
      <c r="E926" s="81"/>
      <c r="F926" s="82"/>
      <c r="G926" s="83"/>
      <c r="H926" s="83"/>
      <c r="I926" s="81"/>
      <c r="J926" s="84"/>
      <c r="K926" s="84"/>
      <c r="L926" s="84"/>
      <c r="M926" s="81"/>
      <c r="N926" s="81"/>
      <c r="O926" s="81"/>
      <c r="P926" s="81"/>
      <c r="Q926" s="81"/>
      <c r="R926" s="81"/>
      <c r="S926" s="81"/>
      <c r="T926" s="81"/>
      <c r="U926" s="81"/>
      <c r="V926" s="81"/>
      <c r="W926" s="81"/>
      <c r="X926" s="81"/>
      <c r="Y926" s="81"/>
      <c r="Z926" s="81"/>
    </row>
    <row r="927" spans="1:26" ht="12" customHeight="1">
      <c r="A927" s="79"/>
      <c r="B927" s="79"/>
      <c r="C927" s="81"/>
      <c r="D927" s="81"/>
      <c r="E927" s="81"/>
      <c r="F927" s="82"/>
      <c r="G927" s="83"/>
      <c r="H927" s="83"/>
      <c r="I927" s="81"/>
      <c r="J927" s="84"/>
      <c r="K927" s="84"/>
      <c r="L927" s="84"/>
      <c r="M927" s="81"/>
      <c r="N927" s="81"/>
      <c r="O927" s="81"/>
      <c r="P927" s="81"/>
      <c r="Q927" s="81"/>
      <c r="R927" s="81"/>
      <c r="S927" s="81"/>
      <c r="T927" s="81"/>
      <c r="U927" s="81"/>
      <c r="V927" s="81"/>
      <c r="W927" s="81"/>
      <c r="X927" s="81"/>
      <c r="Y927" s="81"/>
      <c r="Z927" s="81"/>
    </row>
    <row r="928" spans="1:26" ht="12" customHeight="1">
      <c r="A928" s="79"/>
      <c r="B928" s="79"/>
      <c r="C928" s="81"/>
      <c r="D928" s="81"/>
      <c r="E928" s="81"/>
      <c r="F928" s="82"/>
      <c r="G928" s="83"/>
      <c r="H928" s="83"/>
      <c r="I928" s="81"/>
      <c r="J928" s="84"/>
      <c r="K928" s="84"/>
      <c r="L928" s="84"/>
      <c r="M928" s="81"/>
      <c r="N928" s="81"/>
      <c r="O928" s="81"/>
      <c r="P928" s="81"/>
      <c r="Q928" s="81"/>
      <c r="R928" s="81"/>
      <c r="S928" s="81"/>
      <c r="T928" s="81"/>
      <c r="U928" s="81"/>
      <c r="V928" s="81"/>
      <c r="W928" s="81"/>
      <c r="X928" s="81"/>
      <c r="Y928" s="81"/>
      <c r="Z928" s="81"/>
    </row>
    <row r="929" spans="1:26" ht="12" customHeight="1">
      <c r="A929" s="79"/>
      <c r="B929" s="79"/>
      <c r="C929" s="81"/>
      <c r="D929" s="81"/>
      <c r="E929" s="81"/>
      <c r="F929" s="82"/>
      <c r="G929" s="83"/>
      <c r="H929" s="83"/>
      <c r="I929" s="81"/>
      <c r="J929" s="84"/>
      <c r="K929" s="84"/>
      <c r="L929" s="84"/>
      <c r="M929" s="81"/>
      <c r="N929" s="81"/>
      <c r="O929" s="81"/>
      <c r="P929" s="81"/>
      <c r="Q929" s="81"/>
      <c r="R929" s="81"/>
      <c r="S929" s="81"/>
      <c r="T929" s="81"/>
      <c r="U929" s="81"/>
      <c r="V929" s="81"/>
      <c r="W929" s="81"/>
      <c r="X929" s="81"/>
      <c r="Y929" s="81"/>
      <c r="Z929" s="81"/>
    </row>
    <row r="930" spans="1:26" ht="12" customHeight="1">
      <c r="A930" s="79"/>
      <c r="B930" s="79"/>
      <c r="C930" s="81"/>
      <c r="D930" s="81"/>
      <c r="E930" s="81"/>
      <c r="F930" s="82"/>
      <c r="G930" s="83"/>
      <c r="H930" s="83"/>
      <c r="I930" s="81"/>
      <c r="J930" s="84"/>
      <c r="K930" s="84"/>
      <c r="L930" s="84"/>
      <c r="M930" s="81"/>
      <c r="N930" s="81"/>
      <c r="O930" s="81"/>
      <c r="P930" s="81"/>
      <c r="Q930" s="81"/>
      <c r="R930" s="81"/>
      <c r="S930" s="81"/>
      <c r="T930" s="81"/>
      <c r="U930" s="81"/>
      <c r="V930" s="81"/>
      <c r="W930" s="81"/>
      <c r="X930" s="81"/>
      <c r="Y930" s="81"/>
      <c r="Z930" s="81"/>
    </row>
    <row r="931" spans="1:26" ht="12" customHeight="1">
      <c r="A931" s="79"/>
      <c r="B931" s="79"/>
      <c r="C931" s="81"/>
      <c r="D931" s="81"/>
      <c r="E931" s="81"/>
      <c r="F931" s="82"/>
      <c r="G931" s="83"/>
      <c r="H931" s="83"/>
      <c r="I931" s="81"/>
      <c r="J931" s="84"/>
      <c r="K931" s="84"/>
      <c r="L931" s="84"/>
      <c r="M931" s="81"/>
      <c r="N931" s="81"/>
      <c r="O931" s="81"/>
      <c r="P931" s="81"/>
      <c r="Q931" s="81"/>
      <c r="R931" s="81"/>
      <c r="S931" s="81"/>
      <c r="T931" s="81"/>
      <c r="U931" s="81"/>
      <c r="V931" s="81"/>
      <c r="W931" s="81"/>
      <c r="X931" s="81"/>
      <c r="Y931" s="81"/>
      <c r="Z931" s="81"/>
    </row>
    <row r="932" spans="1:26" ht="12" customHeight="1">
      <c r="A932" s="79"/>
      <c r="B932" s="79"/>
      <c r="C932" s="81"/>
      <c r="D932" s="81"/>
      <c r="E932" s="81"/>
      <c r="F932" s="82"/>
      <c r="G932" s="83"/>
      <c r="H932" s="83"/>
      <c r="I932" s="81"/>
      <c r="J932" s="84"/>
      <c r="K932" s="84"/>
      <c r="L932" s="84"/>
      <c r="M932" s="81"/>
      <c r="N932" s="81"/>
      <c r="O932" s="81"/>
      <c r="P932" s="81"/>
      <c r="Q932" s="81"/>
      <c r="R932" s="81"/>
      <c r="S932" s="81"/>
      <c r="T932" s="81"/>
      <c r="U932" s="81"/>
      <c r="V932" s="81"/>
      <c r="W932" s="81"/>
      <c r="X932" s="81"/>
      <c r="Y932" s="81"/>
      <c r="Z932" s="81"/>
    </row>
    <row r="933" spans="1:26" ht="12" customHeight="1">
      <c r="A933" s="79"/>
      <c r="B933" s="79"/>
      <c r="C933" s="81"/>
      <c r="D933" s="81"/>
      <c r="E933" s="81"/>
      <c r="F933" s="82"/>
      <c r="G933" s="83"/>
      <c r="H933" s="83"/>
      <c r="I933" s="81"/>
      <c r="J933" s="84"/>
      <c r="K933" s="84"/>
      <c r="L933" s="84"/>
      <c r="M933" s="81"/>
      <c r="N933" s="81"/>
      <c r="O933" s="81"/>
      <c r="P933" s="81"/>
      <c r="Q933" s="81"/>
      <c r="R933" s="81"/>
      <c r="S933" s="81"/>
      <c r="T933" s="81"/>
      <c r="U933" s="81"/>
      <c r="V933" s="81"/>
      <c r="W933" s="81"/>
      <c r="X933" s="81"/>
      <c r="Y933" s="81"/>
      <c r="Z933" s="81"/>
    </row>
    <row r="934" spans="1:26" ht="12" customHeight="1">
      <c r="A934" s="79"/>
      <c r="B934" s="79"/>
      <c r="C934" s="81"/>
      <c r="D934" s="81"/>
      <c r="E934" s="81"/>
      <c r="F934" s="82"/>
      <c r="G934" s="83"/>
      <c r="H934" s="83"/>
      <c r="I934" s="81"/>
      <c r="J934" s="84"/>
      <c r="K934" s="84"/>
      <c r="L934" s="84"/>
      <c r="M934" s="81"/>
      <c r="N934" s="81"/>
      <c r="O934" s="81"/>
      <c r="P934" s="81"/>
      <c r="Q934" s="81"/>
      <c r="R934" s="81"/>
      <c r="S934" s="81"/>
      <c r="T934" s="81"/>
      <c r="U934" s="81"/>
      <c r="V934" s="81"/>
      <c r="W934" s="81"/>
      <c r="X934" s="81"/>
      <c r="Y934" s="81"/>
      <c r="Z934" s="81"/>
    </row>
    <row r="935" spans="1:26" ht="12" customHeight="1">
      <c r="A935" s="79"/>
      <c r="B935" s="79"/>
      <c r="C935" s="81"/>
      <c r="D935" s="81"/>
      <c r="E935" s="81"/>
      <c r="F935" s="82"/>
      <c r="G935" s="83"/>
      <c r="H935" s="83"/>
      <c r="I935" s="81"/>
      <c r="J935" s="84"/>
      <c r="K935" s="84"/>
      <c r="L935" s="84"/>
      <c r="M935" s="81"/>
      <c r="N935" s="81"/>
      <c r="O935" s="81"/>
      <c r="P935" s="81"/>
      <c r="Q935" s="81"/>
      <c r="R935" s="81"/>
      <c r="S935" s="81"/>
      <c r="T935" s="81"/>
      <c r="U935" s="81"/>
      <c r="V935" s="81"/>
      <c r="W935" s="81"/>
      <c r="X935" s="81"/>
      <c r="Y935" s="81"/>
      <c r="Z935" s="81"/>
    </row>
    <row r="936" spans="1:26" ht="12" customHeight="1">
      <c r="A936" s="79"/>
      <c r="B936" s="79"/>
      <c r="C936" s="81"/>
      <c r="D936" s="81"/>
      <c r="E936" s="81"/>
      <c r="F936" s="82"/>
      <c r="G936" s="83"/>
      <c r="H936" s="83"/>
      <c r="I936" s="81"/>
      <c r="J936" s="84"/>
      <c r="K936" s="84"/>
      <c r="L936" s="84"/>
      <c r="M936" s="81"/>
      <c r="N936" s="81"/>
      <c r="O936" s="81"/>
      <c r="P936" s="81"/>
      <c r="Q936" s="81"/>
      <c r="R936" s="81"/>
      <c r="S936" s="81"/>
      <c r="T936" s="81"/>
      <c r="U936" s="81"/>
      <c r="V936" s="81"/>
      <c r="W936" s="81"/>
      <c r="X936" s="81"/>
      <c r="Y936" s="81"/>
      <c r="Z936" s="81"/>
    </row>
    <row r="937" spans="1:26" ht="12" customHeight="1">
      <c r="A937" s="79"/>
      <c r="B937" s="79"/>
      <c r="C937" s="81"/>
      <c r="D937" s="81"/>
      <c r="E937" s="81"/>
      <c r="F937" s="82"/>
      <c r="G937" s="83"/>
      <c r="H937" s="83"/>
      <c r="I937" s="81"/>
      <c r="J937" s="84"/>
      <c r="K937" s="84"/>
      <c r="L937" s="84"/>
      <c r="M937" s="81"/>
      <c r="N937" s="81"/>
      <c r="O937" s="81"/>
      <c r="P937" s="81"/>
      <c r="Q937" s="81"/>
      <c r="R937" s="81"/>
      <c r="S937" s="81"/>
      <c r="T937" s="81"/>
      <c r="U937" s="81"/>
      <c r="V937" s="81"/>
      <c r="W937" s="81"/>
      <c r="X937" s="81"/>
      <c r="Y937" s="81"/>
      <c r="Z937" s="81"/>
    </row>
    <row r="938" spans="1:26" ht="12" customHeight="1">
      <c r="A938" s="79"/>
      <c r="B938" s="79"/>
      <c r="C938" s="81"/>
      <c r="D938" s="81"/>
      <c r="E938" s="81"/>
      <c r="F938" s="82"/>
      <c r="G938" s="83"/>
      <c r="H938" s="83"/>
      <c r="I938" s="81"/>
      <c r="J938" s="84"/>
      <c r="K938" s="84"/>
      <c r="L938" s="84"/>
      <c r="M938" s="81"/>
      <c r="N938" s="81"/>
      <c r="O938" s="81"/>
      <c r="P938" s="81"/>
      <c r="Q938" s="81"/>
      <c r="R938" s="81"/>
      <c r="S938" s="81"/>
      <c r="T938" s="81"/>
      <c r="U938" s="81"/>
      <c r="V938" s="81"/>
      <c r="W938" s="81"/>
      <c r="X938" s="81"/>
      <c r="Y938" s="81"/>
      <c r="Z938" s="81"/>
    </row>
    <row r="939" spans="1:26" ht="12" customHeight="1">
      <c r="A939" s="79"/>
      <c r="B939" s="79"/>
      <c r="C939" s="81"/>
      <c r="D939" s="81"/>
      <c r="E939" s="81"/>
      <c r="F939" s="82"/>
      <c r="G939" s="83"/>
      <c r="H939" s="83"/>
      <c r="I939" s="81"/>
      <c r="J939" s="84"/>
      <c r="K939" s="84"/>
      <c r="L939" s="84"/>
      <c r="M939" s="81"/>
      <c r="N939" s="81"/>
      <c r="O939" s="81"/>
      <c r="P939" s="81"/>
      <c r="Q939" s="81"/>
      <c r="R939" s="81"/>
      <c r="S939" s="81"/>
      <c r="T939" s="81"/>
      <c r="U939" s="81"/>
      <c r="V939" s="81"/>
      <c r="W939" s="81"/>
      <c r="X939" s="81"/>
      <c r="Y939" s="81"/>
      <c r="Z939" s="81"/>
    </row>
    <row r="940" spans="1:26" ht="12" customHeight="1">
      <c r="A940" s="79"/>
      <c r="B940" s="79"/>
      <c r="C940" s="81"/>
      <c r="D940" s="81"/>
      <c r="E940" s="81"/>
      <c r="F940" s="82"/>
      <c r="G940" s="83"/>
      <c r="H940" s="83"/>
      <c r="I940" s="81"/>
      <c r="J940" s="84"/>
      <c r="K940" s="84"/>
      <c r="L940" s="84"/>
      <c r="M940" s="81"/>
      <c r="N940" s="81"/>
      <c r="O940" s="81"/>
      <c r="P940" s="81"/>
      <c r="Q940" s="81"/>
      <c r="R940" s="81"/>
      <c r="S940" s="81"/>
      <c r="T940" s="81"/>
      <c r="U940" s="81"/>
      <c r="V940" s="81"/>
      <c r="W940" s="81"/>
      <c r="X940" s="81"/>
      <c r="Y940" s="81"/>
      <c r="Z940" s="81"/>
    </row>
    <row r="941" spans="1:26" ht="12" customHeight="1">
      <c r="A941" s="79"/>
      <c r="B941" s="79"/>
      <c r="C941" s="81"/>
      <c r="D941" s="81"/>
      <c r="E941" s="81"/>
      <c r="F941" s="82"/>
      <c r="G941" s="83"/>
      <c r="H941" s="83"/>
      <c r="I941" s="81"/>
      <c r="J941" s="84"/>
      <c r="K941" s="84"/>
      <c r="L941" s="84"/>
      <c r="M941" s="81"/>
      <c r="N941" s="81"/>
      <c r="O941" s="81"/>
      <c r="P941" s="81"/>
      <c r="Q941" s="81"/>
      <c r="R941" s="81"/>
      <c r="S941" s="81"/>
      <c r="T941" s="81"/>
      <c r="U941" s="81"/>
      <c r="V941" s="81"/>
      <c r="W941" s="81"/>
      <c r="X941" s="81"/>
      <c r="Y941" s="81"/>
      <c r="Z941" s="81"/>
    </row>
    <row r="942" spans="1:26" ht="12" customHeight="1">
      <c r="A942" s="79"/>
      <c r="B942" s="79"/>
      <c r="C942" s="81"/>
      <c r="D942" s="81"/>
      <c r="E942" s="81"/>
      <c r="F942" s="82"/>
      <c r="G942" s="83"/>
      <c r="H942" s="83"/>
      <c r="I942" s="81"/>
      <c r="J942" s="84"/>
      <c r="K942" s="84"/>
      <c r="L942" s="84"/>
      <c r="M942" s="81"/>
      <c r="N942" s="81"/>
      <c r="O942" s="81"/>
      <c r="P942" s="81"/>
      <c r="Q942" s="81"/>
      <c r="R942" s="81"/>
      <c r="S942" s="81"/>
      <c r="T942" s="81"/>
      <c r="U942" s="81"/>
      <c r="V942" s="81"/>
      <c r="W942" s="81"/>
      <c r="X942" s="81"/>
      <c r="Y942" s="81"/>
      <c r="Z942" s="81"/>
    </row>
    <row r="943" spans="1:26" ht="12" customHeight="1">
      <c r="A943" s="79"/>
      <c r="B943" s="79"/>
      <c r="C943" s="81"/>
      <c r="D943" s="81"/>
      <c r="E943" s="81"/>
      <c r="F943" s="82"/>
      <c r="G943" s="83"/>
      <c r="H943" s="83"/>
      <c r="I943" s="81"/>
      <c r="J943" s="84"/>
      <c r="K943" s="84"/>
      <c r="L943" s="84"/>
      <c r="M943" s="81"/>
      <c r="N943" s="81"/>
      <c r="O943" s="81"/>
      <c r="P943" s="81"/>
      <c r="Q943" s="81"/>
      <c r="R943" s="81"/>
      <c r="S943" s="81"/>
      <c r="T943" s="81"/>
      <c r="U943" s="81"/>
      <c r="V943" s="81"/>
      <c r="W943" s="81"/>
      <c r="X943" s="81"/>
      <c r="Y943" s="81"/>
      <c r="Z943" s="81"/>
    </row>
    <row r="944" spans="1:26" ht="12" customHeight="1">
      <c r="A944" s="79"/>
      <c r="B944" s="79"/>
      <c r="C944" s="81"/>
      <c r="D944" s="81"/>
      <c r="E944" s="81"/>
      <c r="F944" s="82"/>
      <c r="G944" s="83"/>
      <c r="H944" s="83"/>
      <c r="I944" s="81"/>
      <c r="J944" s="84"/>
      <c r="K944" s="84"/>
      <c r="L944" s="84"/>
      <c r="M944" s="81"/>
      <c r="N944" s="81"/>
      <c r="O944" s="81"/>
      <c r="P944" s="81"/>
      <c r="Q944" s="81"/>
      <c r="R944" s="81"/>
      <c r="S944" s="81"/>
      <c r="T944" s="81"/>
      <c r="U944" s="81"/>
      <c r="V944" s="81"/>
      <c r="W944" s="81"/>
      <c r="X944" s="81"/>
      <c r="Y944" s="81"/>
      <c r="Z944" s="81"/>
    </row>
    <row r="945" spans="1:26" ht="12" customHeight="1">
      <c r="A945" s="79"/>
      <c r="B945" s="79"/>
      <c r="C945" s="81"/>
      <c r="D945" s="81"/>
      <c r="E945" s="81"/>
      <c r="F945" s="82"/>
      <c r="G945" s="83"/>
      <c r="H945" s="83"/>
      <c r="I945" s="81"/>
      <c r="J945" s="84"/>
      <c r="K945" s="84"/>
      <c r="L945" s="84"/>
      <c r="M945" s="81"/>
      <c r="N945" s="81"/>
      <c r="O945" s="81"/>
      <c r="P945" s="81"/>
      <c r="Q945" s="81"/>
      <c r="R945" s="81"/>
      <c r="S945" s="81"/>
      <c r="T945" s="81"/>
      <c r="U945" s="81"/>
      <c r="V945" s="81"/>
      <c r="W945" s="81"/>
      <c r="X945" s="81"/>
      <c r="Y945" s="81"/>
      <c r="Z945" s="81"/>
    </row>
    <row r="946" spans="1:26" ht="12" customHeight="1">
      <c r="A946" s="79"/>
      <c r="B946" s="79"/>
      <c r="C946" s="81"/>
      <c r="D946" s="81"/>
      <c r="E946" s="81"/>
      <c r="F946" s="82"/>
      <c r="G946" s="83"/>
      <c r="H946" s="83"/>
      <c r="I946" s="81"/>
      <c r="J946" s="84"/>
      <c r="K946" s="84"/>
      <c r="L946" s="84"/>
      <c r="M946" s="81"/>
      <c r="N946" s="81"/>
      <c r="O946" s="81"/>
      <c r="P946" s="81"/>
      <c r="Q946" s="81"/>
      <c r="R946" s="81"/>
      <c r="S946" s="81"/>
      <c r="T946" s="81"/>
      <c r="U946" s="81"/>
      <c r="V946" s="81"/>
      <c r="W946" s="81"/>
      <c r="X946" s="81"/>
      <c r="Y946" s="81"/>
      <c r="Z946" s="81"/>
    </row>
    <row r="947" spans="1:26" ht="12" customHeight="1">
      <c r="A947" s="79"/>
      <c r="B947" s="79"/>
      <c r="C947" s="81"/>
      <c r="D947" s="81"/>
      <c r="E947" s="81"/>
      <c r="F947" s="82"/>
      <c r="G947" s="83"/>
      <c r="H947" s="83"/>
      <c r="I947" s="81"/>
      <c r="J947" s="84"/>
      <c r="K947" s="84"/>
      <c r="L947" s="84"/>
      <c r="M947" s="81"/>
      <c r="N947" s="81"/>
      <c r="O947" s="81"/>
      <c r="P947" s="81"/>
      <c r="Q947" s="81"/>
      <c r="R947" s="81"/>
      <c r="S947" s="81"/>
      <c r="T947" s="81"/>
      <c r="U947" s="81"/>
      <c r="V947" s="81"/>
      <c r="W947" s="81"/>
      <c r="X947" s="81"/>
      <c r="Y947" s="81"/>
      <c r="Z947" s="81"/>
    </row>
    <row r="948" spans="1:26" ht="12" customHeight="1">
      <c r="A948" s="79"/>
      <c r="B948" s="79"/>
      <c r="C948" s="81"/>
      <c r="D948" s="81"/>
      <c r="E948" s="81"/>
      <c r="F948" s="82"/>
      <c r="G948" s="83"/>
      <c r="H948" s="83"/>
      <c r="I948" s="81"/>
      <c r="J948" s="84"/>
      <c r="K948" s="84"/>
      <c r="L948" s="84"/>
      <c r="M948" s="81"/>
      <c r="N948" s="81"/>
      <c r="O948" s="81"/>
      <c r="P948" s="81"/>
      <c r="Q948" s="81"/>
      <c r="R948" s="81"/>
      <c r="S948" s="81"/>
      <c r="T948" s="81"/>
      <c r="U948" s="81"/>
      <c r="V948" s="81"/>
      <c r="W948" s="81"/>
      <c r="X948" s="81"/>
      <c r="Y948" s="81"/>
      <c r="Z948" s="81"/>
    </row>
    <row r="949" spans="1:26" ht="12" customHeight="1">
      <c r="A949" s="79"/>
      <c r="B949" s="79"/>
      <c r="C949" s="81"/>
      <c r="D949" s="81"/>
      <c r="E949" s="81"/>
      <c r="F949" s="82"/>
      <c r="G949" s="83"/>
      <c r="H949" s="83"/>
      <c r="I949" s="81"/>
      <c r="J949" s="84"/>
      <c r="K949" s="84"/>
      <c r="L949" s="84"/>
      <c r="M949" s="81"/>
      <c r="N949" s="81"/>
      <c r="O949" s="81"/>
      <c r="P949" s="81"/>
      <c r="Q949" s="81"/>
      <c r="R949" s="81"/>
      <c r="S949" s="81"/>
      <c r="T949" s="81"/>
      <c r="U949" s="81"/>
      <c r="V949" s="81"/>
      <c r="W949" s="81"/>
      <c r="X949" s="81"/>
      <c r="Y949" s="81"/>
      <c r="Z949" s="81"/>
    </row>
    <row r="950" spans="1:26" ht="12" customHeight="1">
      <c r="A950" s="79"/>
      <c r="B950" s="79"/>
      <c r="C950" s="81"/>
      <c r="D950" s="81"/>
      <c r="E950" s="81"/>
      <c r="F950" s="82"/>
      <c r="G950" s="83"/>
      <c r="H950" s="83"/>
      <c r="I950" s="81"/>
      <c r="J950" s="84"/>
      <c r="K950" s="84"/>
      <c r="L950" s="84"/>
      <c r="M950" s="81"/>
      <c r="N950" s="81"/>
      <c r="O950" s="81"/>
      <c r="P950" s="81"/>
      <c r="Q950" s="81"/>
      <c r="R950" s="81"/>
      <c r="S950" s="81"/>
      <c r="T950" s="81"/>
      <c r="U950" s="81"/>
      <c r="V950" s="81"/>
      <c r="W950" s="81"/>
      <c r="X950" s="81"/>
      <c r="Y950" s="81"/>
      <c r="Z950" s="81"/>
    </row>
    <row r="951" spans="1:26" ht="12" customHeight="1">
      <c r="A951" s="79"/>
      <c r="B951" s="79"/>
      <c r="C951" s="81"/>
      <c r="D951" s="81"/>
      <c r="E951" s="81"/>
      <c r="F951" s="82"/>
      <c r="G951" s="83"/>
      <c r="H951" s="83"/>
      <c r="I951" s="81"/>
      <c r="J951" s="84"/>
      <c r="K951" s="84"/>
      <c r="L951" s="84"/>
      <c r="M951" s="81"/>
      <c r="N951" s="81"/>
      <c r="O951" s="81"/>
      <c r="P951" s="81"/>
      <c r="Q951" s="81"/>
      <c r="R951" s="81"/>
      <c r="S951" s="81"/>
      <c r="T951" s="81"/>
      <c r="U951" s="81"/>
      <c r="V951" s="81"/>
      <c r="W951" s="81"/>
      <c r="X951" s="81"/>
      <c r="Y951" s="81"/>
      <c r="Z951" s="81"/>
    </row>
    <row r="952" spans="1:26" ht="12" customHeight="1">
      <c r="A952" s="79"/>
      <c r="B952" s="79"/>
      <c r="C952" s="81"/>
      <c r="D952" s="81"/>
      <c r="E952" s="81"/>
      <c r="F952" s="82"/>
      <c r="G952" s="83"/>
      <c r="H952" s="83"/>
      <c r="I952" s="81"/>
      <c r="J952" s="84"/>
      <c r="K952" s="84"/>
      <c r="L952" s="84"/>
      <c r="M952" s="81"/>
      <c r="N952" s="81"/>
      <c r="O952" s="81"/>
      <c r="P952" s="81"/>
      <c r="Q952" s="81"/>
      <c r="R952" s="81"/>
      <c r="S952" s="81"/>
      <c r="T952" s="81"/>
      <c r="U952" s="81"/>
      <c r="V952" s="81"/>
      <c r="W952" s="81"/>
      <c r="X952" s="81"/>
      <c r="Y952" s="81"/>
      <c r="Z952" s="81"/>
    </row>
    <row r="953" spans="1:26" ht="12" customHeight="1">
      <c r="A953" s="79"/>
      <c r="B953" s="79"/>
      <c r="C953" s="81"/>
      <c r="D953" s="81"/>
      <c r="E953" s="81"/>
      <c r="F953" s="82"/>
      <c r="G953" s="83"/>
      <c r="H953" s="83"/>
      <c r="I953" s="81"/>
      <c r="J953" s="84"/>
      <c r="K953" s="84"/>
      <c r="L953" s="84"/>
      <c r="M953" s="81"/>
      <c r="N953" s="81"/>
      <c r="O953" s="81"/>
      <c r="P953" s="81"/>
      <c r="Q953" s="81"/>
      <c r="R953" s="81"/>
      <c r="S953" s="81"/>
      <c r="T953" s="81"/>
      <c r="U953" s="81"/>
      <c r="V953" s="81"/>
      <c r="W953" s="81"/>
      <c r="X953" s="81"/>
      <c r="Y953" s="81"/>
      <c r="Z953" s="81"/>
    </row>
    <row r="954" spans="1:26" ht="12" customHeight="1">
      <c r="A954" s="79"/>
      <c r="B954" s="79"/>
      <c r="C954" s="81"/>
      <c r="D954" s="81"/>
      <c r="E954" s="81"/>
      <c r="F954" s="82"/>
      <c r="G954" s="83"/>
      <c r="H954" s="83"/>
      <c r="I954" s="81"/>
      <c r="J954" s="84"/>
      <c r="K954" s="84"/>
      <c r="L954" s="84"/>
      <c r="M954" s="81"/>
      <c r="N954" s="81"/>
      <c r="O954" s="81"/>
      <c r="P954" s="81"/>
      <c r="Q954" s="81"/>
      <c r="R954" s="81"/>
      <c r="S954" s="81"/>
      <c r="T954" s="81"/>
      <c r="U954" s="81"/>
      <c r="V954" s="81"/>
      <c r="W954" s="81"/>
      <c r="X954" s="81"/>
      <c r="Y954" s="81"/>
      <c r="Z954" s="81"/>
    </row>
    <row r="955" spans="1:26" ht="12" customHeight="1">
      <c r="A955" s="79"/>
      <c r="B955" s="79"/>
      <c r="C955" s="81"/>
      <c r="D955" s="81"/>
      <c r="E955" s="81"/>
      <c r="F955" s="82"/>
      <c r="G955" s="83"/>
      <c r="H955" s="83"/>
      <c r="I955" s="81"/>
      <c r="J955" s="84"/>
      <c r="K955" s="84"/>
      <c r="L955" s="84"/>
      <c r="M955" s="81"/>
      <c r="N955" s="81"/>
      <c r="O955" s="81"/>
      <c r="P955" s="81"/>
      <c r="Q955" s="81"/>
      <c r="R955" s="81"/>
      <c r="S955" s="81"/>
      <c r="T955" s="81"/>
      <c r="U955" s="81"/>
      <c r="V955" s="81"/>
      <c r="W955" s="81"/>
      <c r="X955" s="81"/>
      <c r="Y955" s="81"/>
      <c r="Z955" s="81"/>
    </row>
    <row r="956" spans="1:26" ht="12" customHeight="1">
      <c r="A956" s="79"/>
      <c r="B956" s="79"/>
      <c r="C956" s="81"/>
      <c r="D956" s="81"/>
      <c r="E956" s="81"/>
      <c r="F956" s="82"/>
      <c r="G956" s="83"/>
      <c r="H956" s="83"/>
      <c r="I956" s="81"/>
      <c r="J956" s="84"/>
      <c r="K956" s="84"/>
      <c r="L956" s="84"/>
      <c r="M956" s="81"/>
      <c r="N956" s="81"/>
      <c r="O956" s="81"/>
      <c r="P956" s="81"/>
      <c r="Q956" s="81"/>
      <c r="R956" s="81"/>
      <c r="S956" s="81"/>
      <c r="T956" s="81"/>
      <c r="U956" s="81"/>
      <c r="V956" s="81"/>
      <c r="W956" s="81"/>
      <c r="X956" s="81"/>
      <c r="Y956" s="81"/>
      <c r="Z956" s="81"/>
    </row>
    <row r="957" spans="1:26" ht="12" customHeight="1">
      <c r="A957" s="79"/>
      <c r="B957" s="79"/>
      <c r="C957" s="81"/>
      <c r="D957" s="81"/>
      <c r="E957" s="81"/>
      <c r="F957" s="82"/>
      <c r="G957" s="83"/>
      <c r="H957" s="83"/>
      <c r="I957" s="81"/>
      <c r="J957" s="84"/>
      <c r="K957" s="84"/>
      <c r="L957" s="84"/>
      <c r="M957" s="81"/>
      <c r="N957" s="81"/>
      <c r="O957" s="81"/>
      <c r="P957" s="81"/>
      <c r="Q957" s="81"/>
      <c r="R957" s="81"/>
      <c r="S957" s="81"/>
      <c r="T957" s="81"/>
      <c r="U957" s="81"/>
      <c r="V957" s="81"/>
      <c r="W957" s="81"/>
      <c r="X957" s="81"/>
      <c r="Y957" s="81"/>
      <c r="Z957" s="81"/>
    </row>
    <row r="958" spans="1:26" ht="12" customHeight="1">
      <c r="A958" s="79"/>
      <c r="B958" s="79"/>
      <c r="C958" s="81"/>
      <c r="D958" s="81"/>
      <c r="E958" s="81"/>
      <c r="F958" s="82"/>
      <c r="G958" s="83"/>
      <c r="H958" s="83"/>
      <c r="I958" s="81"/>
      <c r="J958" s="84"/>
      <c r="K958" s="84"/>
      <c r="L958" s="84"/>
      <c r="M958" s="81"/>
      <c r="N958" s="81"/>
      <c r="O958" s="81"/>
      <c r="P958" s="81"/>
      <c r="Q958" s="81"/>
      <c r="R958" s="81"/>
      <c r="S958" s="81"/>
      <c r="T958" s="81"/>
      <c r="U958" s="81"/>
      <c r="V958" s="81"/>
      <c r="W958" s="81"/>
      <c r="X958" s="81"/>
      <c r="Y958" s="81"/>
      <c r="Z958" s="81"/>
    </row>
    <row r="959" spans="1:26" ht="12" customHeight="1">
      <c r="A959" s="79"/>
      <c r="B959" s="79"/>
      <c r="C959" s="81"/>
      <c r="D959" s="81"/>
      <c r="E959" s="81"/>
      <c r="F959" s="82"/>
      <c r="G959" s="83"/>
      <c r="H959" s="83"/>
      <c r="I959" s="81"/>
      <c r="J959" s="84"/>
      <c r="K959" s="84"/>
      <c r="L959" s="84"/>
      <c r="M959" s="81"/>
      <c r="N959" s="81"/>
      <c r="O959" s="81"/>
      <c r="P959" s="81"/>
      <c r="Q959" s="81"/>
      <c r="R959" s="81"/>
      <c r="S959" s="81"/>
      <c r="T959" s="81"/>
      <c r="U959" s="81"/>
      <c r="V959" s="81"/>
      <c r="W959" s="81"/>
      <c r="X959" s="81"/>
      <c r="Y959" s="81"/>
      <c r="Z959" s="81"/>
    </row>
    <row r="960" spans="1:26" ht="12" customHeight="1">
      <c r="A960" s="79"/>
      <c r="B960" s="79"/>
      <c r="C960" s="81"/>
      <c r="D960" s="81"/>
      <c r="E960" s="81"/>
      <c r="F960" s="82"/>
      <c r="G960" s="83"/>
      <c r="H960" s="83"/>
      <c r="I960" s="81"/>
      <c r="J960" s="84"/>
      <c r="K960" s="84"/>
      <c r="L960" s="84"/>
      <c r="M960" s="81"/>
      <c r="N960" s="81"/>
      <c r="O960" s="81"/>
      <c r="P960" s="81"/>
      <c r="Q960" s="81"/>
      <c r="R960" s="81"/>
      <c r="S960" s="81"/>
      <c r="T960" s="81"/>
      <c r="U960" s="81"/>
      <c r="V960" s="81"/>
      <c r="W960" s="81"/>
      <c r="X960" s="81"/>
      <c r="Y960" s="81"/>
      <c r="Z960" s="81"/>
    </row>
    <row r="961" spans="1:26" ht="12" customHeight="1">
      <c r="A961" s="79"/>
      <c r="B961" s="79"/>
      <c r="C961" s="81"/>
      <c r="D961" s="81"/>
      <c r="E961" s="81"/>
      <c r="F961" s="82"/>
      <c r="G961" s="83"/>
      <c r="H961" s="83"/>
      <c r="I961" s="81"/>
      <c r="J961" s="84"/>
      <c r="K961" s="84"/>
      <c r="L961" s="84"/>
      <c r="M961" s="81"/>
      <c r="N961" s="81"/>
      <c r="O961" s="81"/>
      <c r="P961" s="81"/>
      <c r="Q961" s="81"/>
      <c r="R961" s="81"/>
      <c r="S961" s="81"/>
      <c r="T961" s="81"/>
      <c r="U961" s="81"/>
      <c r="V961" s="81"/>
      <c r="W961" s="81"/>
      <c r="X961" s="81"/>
      <c r="Y961" s="81"/>
      <c r="Z961" s="81"/>
    </row>
    <row r="962" spans="1:26" ht="12" customHeight="1">
      <c r="A962" s="79"/>
      <c r="B962" s="79"/>
      <c r="C962" s="81"/>
      <c r="D962" s="81"/>
      <c r="E962" s="81"/>
      <c r="F962" s="82"/>
      <c r="G962" s="83"/>
      <c r="H962" s="83"/>
      <c r="I962" s="81"/>
      <c r="J962" s="84"/>
      <c r="K962" s="84"/>
      <c r="L962" s="84"/>
      <c r="M962" s="81"/>
      <c r="N962" s="81"/>
      <c r="O962" s="81"/>
      <c r="P962" s="81"/>
      <c r="Q962" s="81"/>
      <c r="R962" s="81"/>
      <c r="S962" s="81"/>
      <c r="T962" s="81"/>
      <c r="U962" s="81"/>
      <c r="V962" s="81"/>
      <c r="W962" s="81"/>
      <c r="X962" s="81"/>
      <c r="Y962" s="81"/>
      <c r="Z962" s="81"/>
    </row>
    <row r="963" spans="1:26" ht="12" customHeight="1">
      <c r="A963" s="79"/>
      <c r="B963" s="79"/>
      <c r="C963" s="81"/>
      <c r="D963" s="81"/>
      <c r="E963" s="81"/>
      <c r="F963" s="82"/>
      <c r="G963" s="83"/>
      <c r="H963" s="83"/>
      <c r="I963" s="81"/>
      <c r="J963" s="84"/>
      <c r="K963" s="84"/>
      <c r="L963" s="84"/>
      <c r="M963" s="81"/>
      <c r="N963" s="81"/>
      <c r="O963" s="81"/>
      <c r="P963" s="81"/>
      <c r="Q963" s="81"/>
      <c r="R963" s="81"/>
      <c r="S963" s="81"/>
      <c r="T963" s="81"/>
      <c r="U963" s="81"/>
      <c r="V963" s="81"/>
      <c r="W963" s="81"/>
      <c r="X963" s="81"/>
      <c r="Y963" s="81"/>
      <c r="Z963" s="81"/>
    </row>
    <row r="964" spans="1:26" ht="12" customHeight="1">
      <c r="A964" s="79"/>
      <c r="B964" s="79"/>
      <c r="C964" s="81"/>
      <c r="D964" s="81"/>
      <c r="E964" s="81"/>
      <c r="F964" s="82"/>
      <c r="G964" s="83"/>
      <c r="H964" s="83"/>
      <c r="I964" s="81"/>
      <c r="J964" s="84"/>
      <c r="K964" s="84"/>
      <c r="L964" s="84"/>
      <c r="M964" s="81"/>
      <c r="N964" s="81"/>
      <c r="O964" s="81"/>
      <c r="P964" s="81"/>
      <c r="Q964" s="81"/>
      <c r="R964" s="81"/>
      <c r="S964" s="81"/>
      <c r="T964" s="81"/>
      <c r="U964" s="81"/>
      <c r="V964" s="81"/>
      <c r="W964" s="81"/>
      <c r="X964" s="81"/>
      <c r="Y964" s="81"/>
      <c r="Z964" s="81"/>
    </row>
    <row r="965" spans="1:26" ht="12" customHeight="1">
      <c r="A965" s="79"/>
      <c r="B965" s="79"/>
      <c r="C965" s="81"/>
      <c r="D965" s="81"/>
      <c r="E965" s="81"/>
      <c r="F965" s="82"/>
      <c r="G965" s="83"/>
      <c r="H965" s="83"/>
      <c r="I965" s="81"/>
      <c r="J965" s="84"/>
      <c r="K965" s="84"/>
      <c r="L965" s="84"/>
      <c r="M965" s="81"/>
      <c r="N965" s="81"/>
      <c r="O965" s="81"/>
      <c r="P965" s="81"/>
      <c r="Q965" s="81"/>
      <c r="R965" s="81"/>
      <c r="S965" s="81"/>
      <c r="T965" s="81"/>
      <c r="U965" s="81"/>
      <c r="V965" s="81"/>
      <c r="W965" s="81"/>
      <c r="X965" s="81"/>
      <c r="Y965" s="81"/>
      <c r="Z965" s="81"/>
    </row>
    <row r="966" spans="1:26" ht="12" customHeight="1">
      <c r="A966" s="79"/>
      <c r="B966" s="79"/>
      <c r="C966" s="81"/>
      <c r="D966" s="81"/>
      <c r="E966" s="81"/>
      <c r="F966" s="82"/>
      <c r="G966" s="83"/>
      <c r="H966" s="83"/>
      <c r="I966" s="81"/>
      <c r="J966" s="84"/>
      <c r="K966" s="84"/>
      <c r="L966" s="84"/>
      <c r="M966" s="81"/>
      <c r="N966" s="81"/>
      <c r="O966" s="81"/>
      <c r="P966" s="81"/>
      <c r="Q966" s="81"/>
      <c r="R966" s="81"/>
      <c r="S966" s="81"/>
      <c r="T966" s="81"/>
      <c r="U966" s="81"/>
      <c r="V966" s="81"/>
      <c r="W966" s="81"/>
      <c r="X966" s="81"/>
      <c r="Y966" s="81"/>
      <c r="Z966" s="81"/>
    </row>
    <row r="967" spans="1:26" ht="12" customHeight="1">
      <c r="A967" s="79"/>
      <c r="B967" s="79"/>
      <c r="C967" s="81"/>
      <c r="D967" s="81"/>
      <c r="E967" s="81"/>
      <c r="F967" s="82"/>
      <c r="G967" s="83"/>
      <c r="H967" s="83"/>
      <c r="I967" s="81"/>
      <c r="J967" s="84"/>
      <c r="K967" s="84"/>
      <c r="L967" s="84"/>
      <c r="M967" s="81"/>
      <c r="N967" s="81"/>
      <c r="O967" s="81"/>
      <c r="P967" s="81"/>
      <c r="Q967" s="81"/>
      <c r="R967" s="81"/>
      <c r="S967" s="81"/>
      <c r="T967" s="81"/>
      <c r="U967" s="81"/>
      <c r="V967" s="81"/>
      <c r="W967" s="81"/>
      <c r="X967" s="81"/>
      <c r="Y967" s="81"/>
      <c r="Z967" s="81"/>
    </row>
    <row r="968" spans="1:26" ht="12" customHeight="1">
      <c r="A968" s="79"/>
      <c r="B968" s="79"/>
      <c r="C968" s="81"/>
      <c r="D968" s="81"/>
      <c r="E968" s="81"/>
      <c r="F968" s="82"/>
      <c r="G968" s="83"/>
      <c r="H968" s="83"/>
      <c r="I968" s="81"/>
      <c r="J968" s="84"/>
      <c r="K968" s="84"/>
      <c r="L968" s="84"/>
      <c r="M968" s="81"/>
      <c r="N968" s="81"/>
      <c r="O968" s="81"/>
      <c r="P968" s="81"/>
      <c r="Q968" s="81"/>
      <c r="R968" s="81"/>
      <c r="S968" s="81"/>
      <c r="T968" s="81"/>
      <c r="U968" s="81"/>
      <c r="V968" s="81"/>
      <c r="W968" s="81"/>
      <c r="X968" s="81"/>
      <c r="Y968" s="81"/>
      <c r="Z968" s="81"/>
    </row>
    <row r="969" spans="1:26" ht="12" customHeight="1">
      <c r="A969" s="79"/>
      <c r="B969" s="79"/>
      <c r="C969" s="81"/>
      <c r="D969" s="81"/>
      <c r="E969" s="81"/>
      <c r="F969" s="82"/>
      <c r="G969" s="83"/>
      <c r="H969" s="83"/>
      <c r="I969" s="81"/>
      <c r="J969" s="84"/>
      <c r="K969" s="84"/>
      <c r="L969" s="84"/>
      <c r="M969" s="81"/>
      <c r="N969" s="81"/>
      <c r="O969" s="81"/>
      <c r="P969" s="81"/>
      <c r="Q969" s="81"/>
      <c r="R969" s="81"/>
      <c r="S969" s="81"/>
      <c r="T969" s="81"/>
      <c r="U969" s="81"/>
      <c r="V969" s="81"/>
      <c r="W969" s="81"/>
      <c r="X969" s="81"/>
      <c r="Y969" s="81"/>
      <c r="Z969" s="81"/>
    </row>
    <row r="970" spans="1:26" ht="12" customHeight="1">
      <c r="A970" s="79"/>
      <c r="B970" s="79"/>
      <c r="C970" s="81"/>
      <c r="D970" s="81"/>
      <c r="E970" s="81"/>
      <c r="F970" s="82"/>
      <c r="G970" s="83"/>
      <c r="H970" s="83"/>
      <c r="I970" s="81"/>
      <c r="J970" s="84"/>
      <c r="K970" s="84"/>
      <c r="L970" s="84"/>
      <c r="M970" s="81"/>
      <c r="N970" s="81"/>
      <c r="O970" s="81"/>
      <c r="P970" s="81"/>
      <c r="Q970" s="81"/>
      <c r="R970" s="81"/>
      <c r="S970" s="81"/>
      <c r="T970" s="81"/>
      <c r="U970" s="81"/>
      <c r="V970" s="81"/>
      <c r="W970" s="81"/>
      <c r="X970" s="81"/>
      <c r="Y970" s="81"/>
      <c r="Z970" s="81"/>
    </row>
    <row r="971" spans="1:26" ht="12" customHeight="1">
      <c r="A971" s="79"/>
      <c r="B971" s="79"/>
      <c r="C971" s="81"/>
      <c r="D971" s="81"/>
      <c r="E971" s="81"/>
      <c r="F971" s="82"/>
      <c r="G971" s="83"/>
      <c r="H971" s="83"/>
      <c r="I971" s="81"/>
      <c r="J971" s="84"/>
      <c r="K971" s="84"/>
      <c r="L971" s="84"/>
      <c r="M971" s="81"/>
      <c r="N971" s="81"/>
      <c r="O971" s="81"/>
      <c r="P971" s="81"/>
      <c r="Q971" s="81"/>
      <c r="R971" s="81"/>
      <c r="S971" s="81"/>
      <c r="T971" s="81"/>
      <c r="U971" s="81"/>
      <c r="V971" s="81"/>
      <c r="W971" s="81"/>
      <c r="X971" s="81"/>
      <c r="Y971" s="81"/>
      <c r="Z971" s="81"/>
    </row>
    <row r="972" spans="1:26" ht="12" customHeight="1">
      <c r="A972" s="79"/>
      <c r="B972" s="79"/>
      <c r="C972" s="81"/>
      <c r="D972" s="81"/>
      <c r="E972" s="81"/>
      <c r="F972" s="82"/>
      <c r="G972" s="83"/>
      <c r="H972" s="83"/>
      <c r="I972" s="81"/>
      <c r="J972" s="84"/>
      <c r="K972" s="84"/>
      <c r="L972" s="84"/>
      <c r="M972" s="81"/>
      <c r="N972" s="81"/>
      <c r="O972" s="81"/>
      <c r="P972" s="81"/>
      <c r="Q972" s="81"/>
      <c r="R972" s="81"/>
      <c r="S972" s="81"/>
      <c r="T972" s="81"/>
      <c r="U972" s="81"/>
      <c r="V972" s="81"/>
      <c r="W972" s="81"/>
      <c r="X972" s="81"/>
      <c r="Y972" s="81"/>
      <c r="Z972" s="81"/>
    </row>
    <row r="973" spans="1:26" ht="12" customHeight="1">
      <c r="A973" s="79"/>
      <c r="B973" s="79"/>
      <c r="C973" s="81"/>
      <c r="D973" s="81"/>
      <c r="E973" s="81"/>
      <c r="F973" s="82"/>
      <c r="G973" s="83"/>
      <c r="H973" s="83"/>
      <c r="I973" s="81"/>
      <c r="J973" s="84"/>
      <c r="K973" s="84"/>
      <c r="L973" s="84"/>
      <c r="M973" s="81"/>
      <c r="N973" s="81"/>
      <c r="O973" s="81"/>
      <c r="P973" s="81"/>
      <c r="Q973" s="81"/>
      <c r="R973" s="81"/>
      <c r="S973" s="81"/>
      <c r="T973" s="81"/>
      <c r="U973" s="81"/>
      <c r="V973" s="81"/>
      <c r="W973" s="81"/>
      <c r="X973" s="81"/>
      <c r="Y973" s="81"/>
      <c r="Z973" s="81"/>
    </row>
    <row r="974" spans="1:26" ht="12" customHeight="1">
      <c r="A974" s="79"/>
      <c r="B974" s="79"/>
      <c r="C974" s="81"/>
      <c r="D974" s="81"/>
      <c r="E974" s="81"/>
      <c r="F974" s="82"/>
      <c r="G974" s="83"/>
      <c r="H974" s="83"/>
      <c r="I974" s="81"/>
      <c r="J974" s="84"/>
      <c r="K974" s="84"/>
      <c r="L974" s="84"/>
      <c r="M974" s="81"/>
      <c r="N974" s="81"/>
      <c r="O974" s="81"/>
      <c r="P974" s="81"/>
      <c r="Q974" s="81"/>
      <c r="R974" s="81"/>
      <c r="S974" s="81"/>
      <c r="T974" s="81"/>
      <c r="U974" s="81"/>
      <c r="V974" s="81"/>
      <c r="W974" s="81"/>
      <c r="X974" s="81"/>
      <c r="Y974" s="81"/>
      <c r="Z974" s="81"/>
    </row>
    <row r="975" spans="1:26" ht="12" customHeight="1">
      <c r="A975" s="79"/>
      <c r="B975" s="79"/>
      <c r="C975" s="81"/>
      <c r="D975" s="81"/>
      <c r="E975" s="81"/>
      <c r="F975" s="82"/>
      <c r="G975" s="83"/>
      <c r="H975" s="83"/>
      <c r="I975" s="81"/>
      <c r="J975" s="84"/>
      <c r="K975" s="84"/>
      <c r="L975" s="84"/>
      <c r="M975" s="81"/>
      <c r="N975" s="81"/>
      <c r="O975" s="81"/>
      <c r="P975" s="81"/>
      <c r="Q975" s="81"/>
      <c r="R975" s="81"/>
      <c r="S975" s="81"/>
      <c r="T975" s="81"/>
      <c r="U975" s="81"/>
      <c r="V975" s="81"/>
      <c r="W975" s="81"/>
      <c r="X975" s="81"/>
      <c r="Y975" s="81"/>
      <c r="Z975" s="81"/>
    </row>
    <row r="976" spans="1:26" ht="12" customHeight="1">
      <c r="A976" s="79"/>
      <c r="B976" s="79"/>
      <c r="C976" s="81"/>
      <c r="D976" s="81"/>
      <c r="E976" s="81"/>
      <c r="F976" s="82"/>
      <c r="G976" s="83"/>
      <c r="H976" s="83"/>
      <c r="I976" s="81"/>
      <c r="J976" s="84"/>
      <c r="K976" s="84"/>
      <c r="L976" s="84"/>
      <c r="M976" s="81"/>
      <c r="N976" s="81"/>
      <c r="O976" s="81"/>
      <c r="P976" s="81"/>
      <c r="Q976" s="81"/>
      <c r="R976" s="81"/>
      <c r="S976" s="81"/>
      <c r="T976" s="81"/>
      <c r="U976" s="81"/>
      <c r="V976" s="81"/>
      <c r="W976" s="81"/>
      <c r="X976" s="81"/>
      <c r="Y976" s="81"/>
      <c r="Z976" s="81"/>
    </row>
    <row r="977" spans="1:26" ht="12" customHeight="1">
      <c r="A977" s="79"/>
      <c r="B977" s="79"/>
      <c r="C977" s="81"/>
      <c r="D977" s="81"/>
      <c r="E977" s="81"/>
      <c r="F977" s="82"/>
      <c r="G977" s="83"/>
      <c r="H977" s="83"/>
      <c r="I977" s="81"/>
      <c r="J977" s="84"/>
      <c r="K977" s="84"/>
      <c r="L977" s="84"/>
      <c r="M977" s="81"/>
      <c r="N977" s="81"/>
      <c r="O977" s="81"/>
      <c r="P977" s="81"/>
      <c r="Q977" s="81"/>
      <c r="R977" s="81"/>
      <c r="S977" s="81"/>
      <c r="T977" s="81"/>
      <c r="U977" s="81"/>
      <c r="V977" s="81"/>
      <c r="W977" s="81"/>
      <c r="X977" s="81"/>
      <c r="Y977" s="81"/>
      <c r="Z977" s="81"/>
    </row>
    <row r="978" spans="1:26" ht="12" customHeight="1">
      <c r="A978" s="79"/>
      <c r="B978" s="79"/>
      <c r="C978" s="81"/>
      <c r="D978" s="81"/>
      <c r="E978" s="81"/>
      <c r="F978" s="82"/>
      <c r="G978" s="83"/>
      <c r="H978" s="83"/>
      <c r="I978" s="81"/>
      <c r="J978" s="84"/>
      <c r="K978" s="84"/>
      <c r="L978" s="84"/>
      <c r="M978" s="81"/>
      <c r="N978" s="81"/>
      <c r="O978" s="81"/>
      <c r="P978" s="81"/>
      <c r="Q978" s="81"/>
      <c r="R978" s="81"/>
      <c r="S978" s="81"/>
      <c r="T978" s="81"/>
      <c r="U978" s="81"/>
      <c r="V978" s="81"/>
      <c r="W978" s="81"/>
      <c r="X978" s="81"/>
      <c r="Y978" s="81"/>
      <c r="Z978" s="81"/>
    </row>
    <row r="979" spans="1:26" ht="12" customHeight="1">
      <c r="A979" s="79"/>
      <c r="B979" s="79"/>
      <c r="C979" s="81"/>
      <c r="D979" s="81"/>
      <c r="E979" s="81"/>
      <c r="F979" s="82"/>
      <c r="G979" s="83"/>
      <c r="H979" s="83"/>
      <c r="I979" s="81"/>
      <c r="J979" s="84"/>
      <c r="K979" s="84"/>
      <c r="L979" s="84"/>
      <c r="M979" s="81"/>
      <c r="N979" s="81"/>
      <c r="O979" s="81"/>
      <c r="P979" s="81"/>
      <c r="Q979" s="81"/>
      <c r="R979" s="81"/>
      <c r="S979" s="81"/>
      <c r="T979" s="81"/>
      <c r="U979" s="81"/>
      <c r="V979" s="81"/>
      <c r="W979" s="81"/>
      <c r="X979" s="81"/>
      <c r="Y979" s="81"/>
      <c r="Z979" s="81"/>
    </row>
    <row r="980" spans="1:26" ht="12" customHeight="1">
      <c r="A980" s="79"/>
      <c r="B980" s="79"/>
      <c r="C980" s="81"/>
      <c r="D980" s="81"/>
      <c r="E980" s="81"/>
      <c r="F980" s="82"/>
      <c r="G980" s="83"/>
      <c r="H980" s="83"/>
      <c r="I980" s="81"/>
      <c r="J980" s="84"/>
      <c r="K980" s="84"/>
      <c r="L980" s="84"/>
      <c r="M980" s="81"/>
      <c r="N980" s="81"/>
      <c r="O980" s="81"/>
      <c r="P980" s="81"/>
      <c r="Q980" s="81"/>
      <c r="R980" s="81"/>
      <c r="S980" s="81"/>
      <c r="T980" s="81"/>
      <c r="U980" s="81"/>
      <c r="V980" s="81"/>
      <c r="W980" s="81"/>
      <c r="X980" s="81"/>
      <c r="Y980" s="81"/>
      <c r="Z980" s="81"/>
    </row>
    <row r="981" spans="1:26" ht="12" customHeight="1">
      <c r="A981" s="79"/>
      <c r="B981" s="79"/>
      <c r="C981" s="81"/>
      <c r="D981" s="81"/>
      <c r="E981" s="81"/>
      <c r="F981" s="82"/>
      <c r="G981" s="83"/>
      <c r="H981" s="83"/>
      <c r="I981" s="81"/>
      <c r="J981" s="84"/>
      <c r="K981" s="84"/>
      <c r="L981" s="84"/>
      <c r="M981" s="81"/>
      <c r="N981" s="81"/>
      <c r="O981" s="81"/>
      <c r="P981" s="81"/>
      <c r="Q981" s="81"/>
      <c r="R981" s="81"/>
      <c r="S981" s="81"/>
      <c r="T981" s="81"/>
      <c r="U981" s="81"/>
      <c r="V981" s="81"/>
      <c r="W981" s="81"/>
      <c r="X981" s="81"/>
      <c r="Y981" s="81"/>
      <c r="Z981" s="81"/>
    </row>
    <row r="982" spans="1:26" ht="12" customHeight="1">
      <c r="A982" s="79"/>
      <c r="B982" s="79"/>
      <c r="C982" s="81"/>
      <c r="D982" s="81"/>
      <c r="E982" s="81"/>
      <c r="F982" s="82"/>
      <c r="G982" s="83"/>
      <c r="H982" s="83"/>
      <c r="I982" s="81"/>
      <c r="J982" s="84"/>
      <c r="K982" s="84"/>
      <c r="L982" s="84"/>
      <c r="M982" s="81"/>
      <c r="N982" s="81"/>
      <c r="O982" s="81"/>
      <c r="P982" s="81"/>
      <c r="Q982" s="81"/>
      <c r="R982" s="81"/>
      <c r="S982" s="81"/>
      <c r="T982" s="81"/>
      <c r="U982" s="81"/>
      <c r="V982" s="81"/>
      <c r="W982" s="81"/>
      <c r="X982" s="81"/>
      <c r="Y982" s="81"/>
      <c r="Z982" s="81"/>
    </row>
    <row r="983" spans="1:26" ht="12" customHeight="1">
      <c r="A983" s="79"/>
      <c r="B983" s="79"/>
      <c r="C983" s="81"/>
      <c r="D983" s="81"/>
      <c r="E983" s="81"/>
      <c r="F983" s="82"/>
      <c r="G983" s="83"/>
      <c r="H983" s="83"/>
      <c r="I983" s="81"/>
      <c r="J983" s="84"/>
      <c r="K983" s="84"/>
      <c r="L983" s="84"/>
      <c r="M983" s="81"/>
      <c r="N983" s="81"/>
      <c r="O983" s="81"/>
      <c r="P983" s="81"/>
      <c r="Q983" s="81"/>
      <c r="R983" s="81"/>
      <c r="S983" s="81"/>
      <c r="T983" s="81"/>
      <c r="U983" s="81"/>
      <c r="V983" s="81"/>
      <c r="W983" s="81"/>
      <c r="X983" s="81"/>
      <c r="Y983" s="81"/>
      <c r="Z983" s="81"/>
    </row>
    <row r="984" spans="1:26" ht="12" customHeight="1">
      <c r="A984" s="79"/>
      <c r="B984" s="79"/>
      <c r="C984" s="81"/>
      <c r="D984" s="81"/>
      <c r="E984" s="81"/>
      <c r="F984" s="82"/>
      <c r="G984" s="83"/>
      <c r="H984" s="83"/>
      <c r="I984" s="81"/>
      <c r="J984" s="84"/>
      <c r="K984" s="84"/>
      <c r="L984" s="84"/>
      <c r="M984" s="81"/>
      <c r="N984" s="81"/>
      <c r="O984" s="81"/>
      <c r="P984" s="81"/>
      <c r="Q984" s="81"/>
      <c r="R984" s="81"/>
      <c r="S984" s="81"/>
      <c r="T984" s="81"/>
      <c r="U984" s="81"/>
      <c r="V984" s="81"/>
      <c r="W984" s="81"/>
      <c r="X984" s="81"/>
      <c r="Y984" s="81"/>
      <c r="Z984" s="81"/>
    </row>
    <row r="985" spans="1:26" ht="12" customHeight="1">
      <c r="A985" s="79"/>
      <c r="B985" s="79"/>
      <c r="C985" s="81"/>
      <c r="D985" s="81"/>
      <c r="E985" s="81"/>
      <c r="F985" s="82"/>
      <c r="G985" s="83"/>
      <c r="H985" s="83"/>
      <c r="I985" s="81"/>
      <c r="J985" s="84"/>
      <c r="K985" s="84"/>
      <c r="L985" s="84"/>
      <c r="M985" s="81"/>
      <c r="N985" s="81"/>
      <c r="O985" s="81"/>
      <c r="P985" s="81"/>
      <c r="Q985" s="81"/>
      <c r="R985" s="81"/>
      <c r="S985" s="81"/>
      <c r="T985" s="81"/>
      <c r="U985" s="81"/>
      <c r="V985" s="81"/>
      <c r="W985" s="81"/>
      <c r="X985" s="81"/>
      <c r="Y985" s="81"/>
      <c r="Z985" s="81"/>
    </row>
    <row r="986" spans="1:26" ht="12" customHeight="1">
      <c r="A986" s="79"/>
      <c r="B986" s="79"/>
      <c r="C986" s="81"/>
      <c r="D986" s="81"/>
      <c r="E986" s="81"/>
      <c r="F986" s="82"/>
      <c r="G986" s="83"/>
      <c r="H986" s="83"/>
      <c r="I986" s="81"/>
      <c r="J986" s="84"/>
      <c r="K986" s="84"/>
      <c r="L986" s="84"/>
      <c r="M986" s="81"/>
      <c r="N986" s="81"/>
      <c r="O986" s="81"/>
      <c r="P986" s="81"/>
      <c r="Q986" s="81"/>
      <c r="R986" s="81"/>
      <c r="S986" s="81"/>
      <c r="T986" s="81"/>
      <c r="U986" s="81"/>
      <c r="V986" s="81"/>
      <c r="W986" s="81"/>
      <c r="X986" s="81"/>
      <c r="Y986" s="81"/>
      <c r="Z986" s="81"/>
    </row>
    <row r="987" spans="1:26" ht="12" customHeight="1">
      <c r="A987" s="79"/>
      <c r="B987" s="79"/>
      <c r="C987" s="81"/>
      <c r="D987" s="81"/>
      <c r="E987" s="81"/>
      <c r="F987" s="82"/>
      <c r="G987" s="83"/>
      <c r="H987" s="83"/>
      <c r="I987" s="81"/>
      <c r="J987" s="84"/>
      <c r="K987" s="84"/>
      <c r="L987" s="84"/>
      <c r="M987" s="81"/>
      <c r="N987" s="81"/>
      <c r="O987" s="81"/>
      <c r="P987" s="81"/>
      <c r="Q987" s="81"/>
      <c r="R987" s="81"/>
      <c r="S987" s="81"/>
      <c r="T987" s="81"/>
      <c r="U987" s="81"/>
      <c r="V987" s="81"/>
      <c r="W987" s="81"/>
      <c r="X987" s="81"/>
      <c r="Y987" s="81"/>
      <c r="Z987" s="81"/>
    </row>
    <row r="988" spans="1:26" ht="12" customHeight="1">
      <c r="A988" s="79"/>
      <c r="B988" s="79"/>
      <c r="C988" s="81"/>
      <c r="D988" s="81"/>
      <c r="E988" s="81"/>
      <c r="F988" s="82"/>
      <c r="G988" s="83"/>
      <c r="H988" s="83"/>
      <c r="I988" s="81"/>
      <c r="J988" s="84"/>
      <c r="K988" s="84"/>
      <c r="L988" s="84"/>
      <c r="M988" s="81"/>
      <c r="N988" s="81"/>
      <c r="O988" s="81"/>
      <c r="P988" s="81"/>
      <c r="Q988" s="81"/>
      <c r="R988" s="81"/>
      <c r="S988" s="81"/>
      <c r="T988" s="81"/>
      <c r="U988" s="81"/>
      <c r="V988" s="81"/>
      <c r="W988" s="81"/>
      <c r="X988" s="81"/>
      <c r="Y988" s="81"/>
      <c r="Z988" s="81"/>
    </row>
    <row r="989" spans="1:26" ht="12" customHeight="1">
      <c r="A989" s="79"/>
      <c r="B989" s="79"/>
      <c r="C989" s="81"/>
      <c r="D989" s="81"/>
      <c r="E989" s="81"/>
      <c r="F989" s="82"/>
      <c r="G989" s="83"/>
      <c r="H989" s="83"/>
      <c r="I989" s="81"/>
      <c r="J989" s="84"/>
      <c r="K989" s="84"/>
      <c r="L989" s="84"/>
      <c r="M989" s="81"/>
      <c r="N989" s="81"/>
      <c r="O989" s="81"/>
      <c r="P989" s="81"/>
      <c r="Q989" s="81"/>
      <c r="R989" s="81"/>
      <c r="S989" s="81"/>
      <c r="T989" s="81"/>
      <c r="U989" s="81"/>
      <c r="V989" s="81"/>
      <c r="W989" s="81"/>
      <c r="X989" s="81"/>
      <c r="Y989" s="81"/>
      <c r="Z989" s="81"/>
    </row>
    <row r="990" spans="1:26" ht="12" customHeight="1">
      <c r="A990" s="79"/>
      <c r="B990" s="79"/>
      <c r="C990" s="81"/>
      <c r="D990" s="81"/>
      <c r="E990" s="81"/>
      <c r="F990" s="82"/>
      <c r="G990" s="83"/>
      <c r="H990" s="83"/>
      <c r="I990" s="81"/>
      <c r="J990" s="84"/>
      <c r="K990" s="84"/>
      <c r="L990" s="84"/>
      <c r="M990" s="81"/>
      <c r="N990" s="81"/>
      <c r="O990" s="81"/>
      <c r="P990" s="81"/>
      <c r="Q990" s="81"/>
      <c r="R990" s="81"/>
      <c r="S990" s="81"/>
      <c r="T990" s="81"/>
      <c r="U990" s="81"/>
      <c r="V990" s="81"/>
      <c r="W990" s="81"/>
      <c r="X990" s="81"/>
      <c r="Y990" s="81"/>
      <c r="Z990" s="81"/>
    </row>
    <row r="991" spans="1:26" ht="12" customHeight="1">
      <c r="A991" s="79"/>
      <c r="B991" s="79"/>
      <c r="C991" s="81"/>
      <c r="D991" s="81"/>
      <c r="E991" s="81"/>
      <c r="F991" s="82"/>
      <c r="G991" s="83"/>
      <c r="H991" s="83"/>
      <c r="I991" s="81"/>
      <c r="J991" s="84"/>
      <c r="K991" s="84"/>
      <c r="L991" s="84"/>
      <c r="M991" s="81"/>
      <c r="N991" s="81"/>
      <c r="O991" s="81"/>
      <c r="P991" s="81"/>
      <c r="Q991" s="81"/>
      <c r="R991" s="81"/>
      <c r="S991" s="81"/>
      <c r="T991" s="81"/>
      <c r="U991" s="81"/>
      <c r="V991" s="81"/>
      <c r="W991" s="81"/>
      <c r="X991" s="81"/>
      <c r="Y991" s="81"/>
      <c r="Z991" s="81"/>
    </row>
    <row r="992" spans="1:26" ht="12" customHeight="1">
      <c r="A992" s="79"/>
      <c r="B992" s="79"/>
      <c r="C992" s="81"/>
      <c r="D992" s="81"/>
      <c r="E992" s="81"/>
      <c r="F992" s="82"/>
      <c r="G992" s="83"/>
      <c r="H992" s="83"/>
      <c r="I992" s="81"/>
      <c r="J992" s="84"/>
      <c r="K992" s="84"/>
      <c r="L992" s="84"/>
      <c r="M992" s="81"/>
      <c r="N992" s="81"/>
      <c r="O992" s="81"/>
      <c r="P992" s="81"/>
      <c r="Q992" s="81"/>
      <c r="R992" s="81"/>
      <c r="S992" s="81"/>
      <c r="T992" s="81"/>
      <c r="U992" s="81"/>
      <c r="V992" s="81"/>
      <c r="W992" s="81"/>
      <c r="X992" s="81"/>
      <c r="Y992" s="81"/>
      <c r="Z992" s="81"/>
    </row>
    <row r="993" spans="1:26" ht="12" customHeight="1">
      <c r="A993" s="79"/>
      <c r="B993" s="79"/>
      <c r="C993" s="81"/>
      <c r="D993" s="81"/>
      <c r="E993" s="81"/>
      <c r="F993" s="82"/>
      <c r="G993" s="83"/>
      <c r="H993" s="83"/>
      <c r="I993" s="81"/>
      <c r="J993" s="84"/>
      <c r="K993" s="84"/>
      <c r="L993" s="84"/>
      <c r="M993" s="81"/>
      <c r="N993" s="81"/>
      <c r="O993" s="81"/>
      <c r="P993" s="81"/>
      <c r="Q993" s="81"/>
      <c r="R993" s="81"/>
      <c r="S993" s="81"/>
      <c r="T993" s="81"/>
      <c r="U993" s="81"/>
      <c r="V993" s="81"/>
      <c r="W993" s="81"/>
      <c r="X993" s="81"/>
      <c r="Y993" s="81"/>
      <c r="Z993" s="81"/>
    </row>
    <row r="994" spans="1:26" ht="12" customHeight="1">
      <c r="A994" s="79"/>
      <c r="B994" s="79"/>
      <c r="C994" s="81"/>
      <c r="D994" s="81"/>
      <c r="E994" s="81"/>
      <c r="F994" s="82"/>
      <c r="G994" s="83"/>
      <c r="H994" s="83"/>
      <c r="I994" s="81"/>
      <c r="J994" s="84"/>
      <c r="K994" s="84"/>
      <c r="L994" s="84"/>
      <c r="M994" s="81"/>
      <c r="N994" s="81"/>
      <c r="O994" s="81"/>
      <c r="P994" s="81"/>
      <c r="Q994" s="81"/>
      <c r="R994" s="81"/>
      <c r="S994" s="81"/>
      <c r="T994" s="81"/>
      <c r="U994" s="81"/>
      <c r="V994" s="81"/>
      <c r="W994" s="81"/>
      <c r="X994" s="81"/>
      <c r="Y994" s="81"/>
      <c r="Z994" s="81"/>
    </row>
    <row r="995" spans="1:26" ht="12" customHeight="1">
      <c r="A995" s="79"/>
      <c r="B995" s="79"/>
      <c r="C995" s="81"/>
      <c r="D995" s="81"/>
      <c r="E995" s="81"/>
      <c r="F995" s="82"/>
      <c r="G995" s="83"/>
      <c r="H995" s="83"/>
      <c r="I995" s="81"/>
      <c r="J995" s="84"/>
      <c r="K995" s="84"/>
      <c r="L995" s="84"/>
      <c r="M995" s="81"/>
      <c r="N995" s="81"/>
      <c r="O995" s="81"/>
      <c r="P995" s="81"/>
      <c r="Q995" s="81"/>
      <c r="R995" s="81"/>
      <c r="S995" s="81"/>
      <c r="T995" s="81"/>
      <c r="U995" s="81"/>
      <c r="V995" s="81"/>
      <c r="W995" s="81"/>
      <c r="X995" s="81"/>
      <c r="Y995" s="81"/>
      <c r="Z995" s="81"/>
    </row>
    <row r="996" spans="1:26" ht="12" customHeight="1">
      <c r="A996" s="79"/>
      <c r="B996" s="79"/>
      <c r="C996" s="81"/>
      <c r="D996" s="81"/>
      <c r="E996" s="81"/>
      <c r="F996" s="82"/>
      <c r="G996" s="83"/>
      <c r="H996" s="83"/>
      <c r="I996" s="81"/>
      <c r="J996" s="84"/>
      <c r="K996" s="84"/>
      <c r="L996" s="84"/>
      <c r="M996" s="81"/>
      <c r="N996" s="81"/>
      <c r="O996" s="81"/>
      <c r="P996" s="81"/>
      <c r="Q996" s="81"/>
      <c r="R996" s="81"/>
      <c r="S996" s="81"/>
      <c r="T996" s="81"/>
      <c r="U996" s="81"/>
      <c r="V996" s="81"/>
      <c r="W996" s="81"/>
      <c r="X996" s="81"/>
      <c r="Y996" s="81"/>
      <c r="Z996" s="81"/>
    </row>
    <row r="997" spans="1:26" ht="12" customHeight="1">
      <c r="A997" s="79"/>
      <c r="B997" s="79"/>
      <c r="C997" s="81"/>
      <c r="D997" s="81"/>
      <c r="E997" s="81"/>
      <c r="F997" s="82"/>
      <c r="G997" s="83"/>
      <c r="H997" s="83"/>
      <c r="I997" s="81"/>
      <c r="J997" s="84"/>
      <c r="K997" s="84"/>
      <c r="L997" s="84"/>
      <c r="M997" s="81"/>
      <c r="N997" s="81"/>
      <c r="O997" s="81"/>
      <c r="P997" s="81"/>
      <c r="Q997" s="81"/>
      <c r="R997" s="81"/>
      <c r="S997" s="81"/>
      <c r="T997" s="81"/>
      <c r="U997" s="81"/>
      <c r="V997" s="81"/>
      <c r="W997" s="81"/>
      <c r="X997" s="81"/>
      <c r="Y997" s="81"/>
      <c r="Z997" s="81"/>
    </row>
    <row r="998" spans="1:26" ht="12" customHeight="1">
      <c r="A998" s="79"/>
      <c r="B998" s="79"/>
      <c r="C998" s="81"/>
      <c r="D998" s="81"/>
      <c r="E998" s="81"/>
      <c r="F998" s="82"/>
      <c r="G998" s="83"/>
      <c r="H998" s="83"/>
      <c r="I998" s="81"/>
      <c r="J998" s="84"/>
      <c r="K998" s="84"/>
      <c r="L998" s="84"/>
      <c r="M998" s="81"/>
      <c r="N998" s="81"/>
      <c r="O998" s="81"/>
      <c r="P998" s="81"/>
      <c r="Q998" s="81"/>
      <c r="R998" s="81"/>
      <c r="S998" s="81"/>
      <c r="T998" s="81"/>
      <c r="U998" s="81"/>
      <c r="V998" s="81"/>
      <c r="W998" s="81"/>
      <c r="X998" s="81"/>
      <c r="Y998" s="81"/>
      <c r="Z998" s="81"/>
    </row>
    <row r="999" spans="1:26" ht="12" customHeight="1">
      <c r="A999" s="79"/>
      <c r="B999" s="79"/>
      <c r="C999" s="81"/>
      <c r="D999" s="81"/>
      <c r="E999" s="81"/>
      <c r="F999" s="82"/>
      <c r="G999" s="83"/>
      <c r="H999" s="83"/>
      <c r="I999" s="81"/>
      <c r="J999" s="84"/>
      <c r="K999" s="84"/>
      <c r="L999" s="84"/>
      <c r="M999" s="81"/>
      <c r="N999" s="81"/>
      <c r="O999" s="81"/>
      <c r="P999" s="81"/>
      <c r="Q999" s="81"/>
      <c r="R999" s="81"/>
      <c r="S999" s="81"/>
      <c r="T999" s="81"/>
      <c r="U999" s="81"/>
      <c r="V999" s="81"/>
      <c r="W999" s="81"/>
      <c r="X999" s="81"/>
      <c r="Y999" s="81"/>
      <c r="Z999" s="81"/>
    </row>
    <row r="1000" spans="1:26" ht="12" customHeight="1">
      <c r="A1000" s="79"/>
      <c r="B1000" s="79"/>
      <c r="C1000" s="81"/>
      <c r="D1000" s="81"/>
      <c r="E1000" s="81"/>
      <c r="F1000" s="82"/>
      <c r="G1000" s="83"/>
      <c r="H1000" s="83"/>
      <c r="I1000" s="81"/>
      <c r="J1000" s="84"/>
      <c r="K1000" s="84"/>
      <c r="L1000" s="84"/>
      <c r="M1000" s="81"/>
      <c r="N1000" s="81"/>
      <c r="O1000" s="81"/>
      <c r="P1000" s="81"/>
      <c r="Q1000" s="81"/>
      <c r="R1000" s="81"/>
      <c r="S1000" s="81"/>
      <c r="T1000" s="81"/>
      <c r="U1000" s="81"/>
      <c r="V1000" s="81"/>
      <c r="W1000" s="81"/>
      <c r="X1000" s="81"/>
      <c r="Y1000" s="81"/>
      <c r="Z1000" s="81"/>
    </row>
  </sheetData>
  <mergeCells count="6">
    <mergeCell ref="D35:E35"/>
    <mergeCell ref="A6:K6"/>
    <mergeCell ref="A8:E8"/>
    <mergeCell ref="G8:K8"/>
    <mergeCell ref="D33:E33"/>
    <mergeCell ref="J33:K33"/>
  </mergeCells>
  <pageMargins left="0.7" right="0.7" top="0.75" bottom="0.75" header="0" footer="0"/>
  <pageSetup scale="56" orientation="portrait" r:id="rId1"/>
  <colBreaks count="1" manualBreakCount="1">
    <brk id="1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1"/>
  <sheetViews>
    <sheetView topLeftCell="C1" workbookViewId="0">
      <selection activeCell="J4" sqref="J4"/>
    </sheetView>
  </sheetViews>
  <sheetFormatPr baseColWidth="10" defaultColWidth="8.796875" defaultRowHeight="13.8"/>
  <cols>
    <col min="1" max="1" width="14" customWidth="1"/>
    <col min="2" max="2" width="28" customWidth="1"/>
    <col min="3" max="4" width="16" customWidth="1"/>
    <col min="5" max="5" width="28" customWidth="1"/>
    <col min="6" max="6" width="18" customWidth="1"/>
    <col min="7" max="8" width="14" customWidth="1"/>
    <col min="9" max="9" width="22" customWidth="1"/>
    <col min="10" max="10" width="20" customWidth="1"/>
    <col min="11" max="11" width="32" customWidth="1"/>
  </cols>
  <sheetData>
    <row r="1" spans="1:11" ht="27.6">
      <c r="A1" s="1" t="s">
        <v>1</v>
      </c>
      <c r="B1" s="1" t="s">
        <v>2</v>
      </c>
      <c r="C1" s="1" t="s">
        <v>34</v>
      </c>
      <c r="D1" s="1" t="s">
        <v>35</v>
      </c>
      <c r="E1" s="1" t="s">
        <v>6</v>
      </c>
      <c r="F1" s="1" t="s">
        <v>36</v>
      </c>
      <c r="G1" s="1" t="s">
        <v>37</v>
      </c>
      <c r="H1" s="2" t="s">
        <v>126</v>
      </c>
      <c r="I1" s="1" t="s">
        <v>38</v>
      </c>
      <c r="J1" s="1" t="s">
        <v>9</v>
      </c>
      <c r="K1" s="1" t="s">
        <v>39</v>
      </c>
    </row>
    <row r="2" spans="1:11" ht="14.4">
      <c r="A2" s="6" t="s">
        <v>91</v>
      </c>
      <c r="B2" s="6" t="str">
        <f>+IFERROR(VLOOKUP(A2,'LISTES ACTIVITES'!$A$2:$B$14,2,FALSE()),"")</f>
        <v>Atelier PSN N°01</v>
      </c>
      <c r="C2" s="3">
        <v>46153</v>
      </c>
      <c r="D2" s="3">
        <v>46157</v>
      </c>
      <c r="E2" t="s">
        <v>116</v>
      </c>
      <c r="F2" t="s">
        <v>40</v>
      </c>
      <c r="G2">
        <v>30</v>
      </c>
      <c r="H2">
        <v>5</v>
      </c>
      <c r="I2" s="5">
        <v>150000</v>
      </c>
      <c r="J2" s="5">
        <f>IF(OR(G2="",I2="",BudgetTable[[#This Row],[Nombre de jour]]=""),"",G2*I2*BudgetTable[[#This Row],[Nombre de jour]])</f>
        <v>22500000</v>
      </c>
    </row>
    <row r="3" spans="1:11" ht="14.4">
      <c r="A3" s="6" t="s">
        <v>91</v>
      </c>
      <c r="B3" s="6" t="str">
        <f>+IFERROR(VLOOKUP(A3,'LISTES ACTIVITES'!$A$2:$B$14,2,FALSE()),"")</f>
        <v>Atelier PSN N°01</v>
      </c>
      <c r="C3" s="3">
        <v>46280</v>
      </c>
      <c r="D3" s="3">
        <v>46282</v>
      </c>
      <c r="E3" t="s">
        <v>117</v>
      </c>
      <c r="F3" t="s">
        <v>41</v>
      </c>
      <c r="G3">
        <v>10</v>
      </c>
      <c r="H3">
        <v>1</v>
      </c>
      <c r="I3" s="5">
        <v>30000</v>
      </c>
      <c r="J3" s="5">
        <f>IF(OR(G3="",I3="",BudgetTable[[#This Row],[Nombre de jour]]=""),"",G3*I3*BudgetTable[[#This Row],[Nombre de jour]])</f>
        <v>300000</v>
      </c>
    </row>
    <row r="4" spans="1:11" ht="27.6">
      <c r="A4" s="6" t="s">
        <v>91</v>
      </c>
      <c r="B4" s="6" t="str">
        <f>+IFERROR(VLOOKUP(A4,'LISTES ACTIVITES'!$A$2:$B$14,2,FALSE()),"")</f>
        <v>Atelier PSN N°01</v>
      </c>
      <c r="C4" s="3">
        <v>46280</v>
      </c>
      <c r="D4" s="3">
        <v>46282</v>
      </c>
      <c r="E4" s="7" t="s">
        <v>111</v>
      </c>
      <c r="F4" t="s">
        <v>40</v>
      </c>
      <c r="G4">
        <v>30</v>
      </c>
      <c r="H4">
        <v>5</v>
      </c>
      <c r="I4" s="5">
        <v>25000</v>
      </c>
      <c r="J4" s="5">
        <f>IF(OR(G4="",I4="",BudgetTable[[#This Row],[Nombre de jour]]=""),"",G4*I4*BudgetTable[[#This Row],[Nombre de jour]])</f>
        <v>3750000</v>
      </c>
    </row>
    <row r="5" spans="1:11" ht="14.4">
      <c r="B5" s="6" t="str">
        <f>+IFERROR(VLOOKUP(A5,'LISTES ACTIVITES'!$A$2:$B$14,2,FALSE()),"")</f>
        <v/>
      </c>
      <c r="C5" s="3"/>
      <c r="D5" s="3"/>
      <c r="I5" s="5"/>
      <c r="J5" s="5" t="str">
        <f t="shared" ref="J5:J33" si="0">IF(OR(G5="",I5=""),"",G5*I5)</f>
        <v/>
      </c>
    </row>
    <row r="6" spans="1:11" ht="14.4">
      <c r="B6" s="6" t="str">
        <f>+IFERROR(VLOOKUP(A6,'LISTES ACTIVITES'!$A$2:$B$14,2,FALSE()),"")</f>
        <v/>
      </c>
      <c r="C6" s="3"/>
      <c r="D6" s="3"/>
      <c r="I6" s="5"/>
      <c r="J6" s="5" t="str">
        <f t="shared" si="0"/>
        <v/>
      </c>
    </row>
    <row r="7" spans="1:11" ht="14.4">
      <c r="B7" s="6" t="str">
        <f>+IFERROR(VLOOKUP(A7,'LISTES ACTIVITES'!$A$2:$B$14,2,FALSE()),"")</f>
        <v/>
      </c>
      <c r="C7" s="3"/>
      <c r="D7" s="3"/>
      <c r="I7" s="5"/>
      <c r="J7" s="5" t="str">
        <f t="shared" si="0"/>
        <v/>
      </c>
    </row>
    <row r="8" spans="1:11" ht="14.4">
      <c r="B8" s="6" t="str">
        <f>+IFERROR(VLOOKUP(A8,'LISTES ACTIVITES'!$A$2:$B$14,2,FALSE()),"")</f>
        <v/>
      </c>
      <c r="C8" s="3"/>
      <c r="D8" s="3"/>
      <c r="I8" s="5"/>
      <c r="J8" s="5" t="str">
        <f t="shared" si="0"/>
        <v/>
      </c>
    </row>
    <row r="9" spans="1:11" ht="14.4">
      <c r="B9" s="6" t="str">
        <f>+IFERROR(VLOOKUP(A9,'LISTES ACTIVITES'!$A$2:$B$14,2,FALSE()),"")</f>
        <v/>
      </c>
      <c r="C9" s="3"/>
      <c r="D9" s="3"/>
      <c r="I9" s="5"/>
      <c r="J9" s="5" t="str">
        <f t="shared" si="0"/>
        <v/>
      </c>
    </row>
    <row r="10" spans="1:11" ht="14.4">
      <c r="B10" s="6" t="str">
        <f>+IFERROR(VLOOKUP(A10,'LISTES ACTIVITES'!$A$2:$B$14,2,FALSE()),"")</f>
        <v/>
      </c>
      <c r="C10" s="3"/>
      <c r="D10" s="3"/>
      <c r="I10" s="5"/>
      <c r="J10" s="5" t="str">
        <f t="shared" si="0"/>
        <v/>
      </c>
    </row>
    <row r="11" spans="1:11" ht="14.4">
      <c r="B11" s="6" t="str">
        <f>+IFERROR(VLOOKUP(A11,'LISTES ACTIVITES'!$A$2:$B$14,2,FALSE()),"")</f>
        <v/>
      </c>
      <c r="C11" s="3"/>
      <c r="D11" s="3"/>
      <c r="I11" s="5"/>
      <c r="J11" s="5" t="str">
        <f t="shared" si="0"/>
        <v/>
      </c>
    </row>
    <row r="12" spans="1:11" ht="14.4">
      <c r="B12" s="6" t="str">
        <f>+IFERROR(VLOOKUP(A12,'LISTES ACTIVITES'!$A$2:$B$14,2,FALSE()),"")</f>
        <v/>
      </c>
      <c r="C12" s="3"/>
      <c r="D12" s="3"/>
      <c r="I12" s="5"/>
      <c r="J12" s="5" t="str">
        <f t="shared" si="0"/>
        <v/>
      </c>
    </row>
    <row r="13" spans="1:11" ht="14.4">
      <c r="B13" s="6" t="str">
        <f>+IFERROR(VLOOKUP(A13,'LISTES ACTIVITES'!$A$2:$B$14,2,FALSE()),"")</f>
        <v/>
      </c>
      <c r="C13" s="3"/>
      <c r="D13" s="3"/>
      <c r="I13" s="5"/>
      <c r="J13" s="5" t="str">
        <f t="shared" si="0"/>
        <v/>
      </c>
    </row>
    <row r="14" spans="1:11" ht="14.4">
      <c r="B14" s="6" t="str">
        <f>+IFERROR(VLOOKUP(A14,'LISTES ACTIVITES'!$A$2:$B$14,2,FALSE()),"")</f>
        <v/>
      </c>
      <c r="C14" s="3"/>
      <c r="D14" s="3"/>
      <c r="I14" s="5"/>
      <c r="J14" s="5" t="str">
        <f t="shared" si="0"/>
        <v/>
      </c>
    </row>
    <row r="15" spans="1:11" ht="14.4">
      <c r="B15" s="6" t="str">
        <f>+IFERROR(VLOOKUP(A15,'LISTES ACTIVITES'!$A$2:$B$14,2,FALSE()),"")</f>
        <v/>
      </c>
      <c r="C15" s="3"/>
      <c r="D15" s="3"/>
      <c r="I15" s="5"/>
      <c r="J15" s="5" t="str">
        <f t="shared" si="0"/>
        <v/>
      </c>
    </row>
    <row r="16" spans="1:11" ht="14.4">
      <c r="B16" s="6" t="str">
        <f>+IFERROR(VLOOKUP(A16,'LISTES ACTIVITES'!$A$2:$B$14,2,FALSE()),"")</f>
        <v/>
      </c>
      <c r="C16" s="3"/>
      <c r="D16" s="3"/>
      <c r="I16" s="5"/>
      <c r="J16" s="5" t="str">
        <f t="shared" si="0"/>
        <v/>
      </c>
    </row>
    <row r="17" spans="2:10" ht="14.4">
      <c r="B17" s="6" t="str">
        <f>+IFERROR(VLOOKUP(A17,'LISTES ACTIVITES'!$A$2:$B$14,2,FALSE()),"")</f>
        <v/>
      </c>
      <c r="C17" s="3"/>
      <c r="D17" s="3"/>
      <c r="I17" s="5"/>
      <c r="J17" s="5" t="str">
        <f t="shared" si="0"/>
        <v/>
      </c>
    </row>
    <row r="18" spans="2:10" ht="14.4">
      <c r="B18" s="6" t="str">
        <f>+IFERROR(VLOOKUP(A18,'LISTES ACTIVITES'!$A$2:$B$14,2,FALSE()),"")</f>
        <v/>
      </c>
      <c r="C18" s="3"/>
      <c r="D18" s="3"/>
      <c r="I18" s="5"/>
      <c r="J18" s="5" t="str">
        <f t="shared" si="0"/>
        <v/>
      </c>
    </row>
    <row r="19" spans="2:10" ht="14.4">
      <c r="B19" s="6" t="str">
        <f>+IFERROR(VLOOKUP(A19,'LISTES ACTIVITES'!$A$2:$B$14,2,FALSE()),"")</f>
        <v/>
      </c>
      <c r="C19" s="3"/>
      <c r="D19" s="3"/>
      <c r="I19" s="5"/>
      <c r="J19" s="5" t="str">
        <f t="shared" si="0"/>
        <v/>
      </c>
    </row>
    <row r="20" spans="2:10" ht="14.4">
      <c r="B20" s="6" t="str">
        <f>+IFERROR(VLOOKUP(A20,'LISTES ACTIVITES'!$A$2:$B$14,2,FALSE()),"")</f>
        <v/>
      </c>
      <c r="C20" s="3"/>
      <c r="D20" s="3"/>
      <c r="I20" s="5"/>
      <c r="J20" s="5" t="str">
        <f t="shared" si="0"/>
        <v/>
      </c>
    </row>
    <row r="21" spans="2:10" ht="14.4">
      <c r="B21" s="6" t="str">
        <f>+IFERROR(VLOOKUP(A21,'LISTES ACTIVITES'!$A$2:$B$14,2,FALSE()),"")</f>
        <v/>
      </c>
      <c r="C21" s="3"/>
      <c r="D21" s="3"/>
      <c r="I21" s="5"/>
      <c r="J21" s="5" t="str">
        <f t="shared" si="0"/>
        <v/>
      </c>
    </row>
    <row r="22" spans="2:10" ht="14.4">
      <c r="B22" s="6" t="str">
        <f>+IFERROR(VLOOKUP(A22,'LISTES ACTIVITES'!$A$2:$B$14,2,FALSE()),"")</f>
        <v/>
      </c>
      <c r="C22" s="3"/>
      <c r="D22" s="3"/>
      <c r="I22" s="5"/>
      <c r="J22" s="5" t="str">
        <f t="shared" si="0"/>
        <v/>
      </c>
    </row>
    <row r="23" spans="2:10" ht="14.4">
      <c r="B23" s="6" t="str">
        <f>+IFERROR(VLOOKUP(A23,'LISTES ACTIVITES'!$A$2:$B$14,2,FALSE()),"")</f>
        <v/>
      </c>
      <c r="C23" s="3"/>
      <c r="D23" s="3"/>
      <c r="I23" s="5"/>
      <c r="J23" s="5" t="str">
        <f t="shared" si="0"/>
        <v/>
      </c>
    </row>
    <row r="24" spans="2:10" ht="14.4">
      <c r="B24" s="6" t="str">
        <f>+IFERROR(VLOOKUP(A24,'LISTES ACTIVITES'!$A$2:$B$14,2,FALSE()),"")</f>
        <v/>
      </c>
      <c r="C24" s="3"/>
      <c r="D24" s="3"/>
      <c r="I24" s="5"/>
      <c r="J24" s="5" t="str">
        <f t="shared" si="0"/>
        <v/>
      </c>
    </row>
    <row r="25" spans="2:10" ht="14.4">
      <c r="B25" s="6" t="str">
        <f>+IFERROR(VLOOKUP(A25,'LISTES ACTIVITES'!$A$2:$B$14,2,FALSE()),"")</f>
        <v/>
      </c>
      <c r="C25" s="3"/>
      <c r="D25" s="3"/>
      <c r="I25" s="5"/>
      <c r="J25" s="5" t="str">
        <f t="shared" si="0"/>
        <v/>
      </c>
    </row>
    <row r="26" spans="2:10" ht="14.4">
      <c r="B26" s="6" t="str">
        <f>+IFERROR(VLOOKUP(A26,'LISTES ACTIVITES'!$A$2:$B$14,2,FALSE()),"")</f>
        <v/>
      </c>
      <c r="C26" s="3"/>
      <c r="D26" s="3"/>
      <c r="I26" s="5"/>
      <c r="J26" s="5" t="str">
        <f t="shared" si="0"/>
        <v/>
      </c>
    </row>
    <row r="27" spans="2:10" ht="14.4">
      <c r="B27" s="6" t="str">
        <f>+IFERROR(VLOOKUP(A27,'LISTES ACTIVITES'!$A$2:$B$14,2,FALSE()),"")</f>
        <v/>
      </c>
      <c r="C27" s="3"/>
      <c r="D27" s="3"/>
      <c r="I27" s="5"/>
      <c r="J27" s="5" t="str">
        <f t="shared" si="0"/>
        <v/>
      </c>
    </row>
    <row r="28" spans="2:10" ht="14.4">
      <c r="B28" s="6" t="str">
        <f>+IFERROR(VLOOKUP(A28,'LISTES ACTIVITES'!$A$2:$B$14,2,FALSE()),"")</f>
        <v/>
      </c>
      <c r="C28" s="3"/>
      <c r="D28" s="3"/>
      <c r="I28" s="5"/>
      <c r="J28" s="5" t="str">
        <f t="shared" si="0"/>
        <v/>
      </c>
    </row>
    <row r="29" spans="2:10" ht="14.4">
      <c r="B29" s="6" t="str">
        <f>+IFERROR(VLOOKUP(A29,'LISTES ACTIVITES'!$A$2:$B$14,2,FALSE()),"")</f>
        <v/>
      </c>
      <c r="C29" s="3"/>
      <c r="D29" s="3"/>
      <c r="I29" s="5"/>
      <c r="J29" s="5" t="str">
        <f t="shared" si="0"/>
        <v/>
      </c>
    </row>
    <row r="30" spans="2:10" ht="14.4">
      <c r="B30" s="6" t="str">
        <f>+IFERROR(VLOOKUP(A30,'LISTES ACTIVITES'!$A$2:$B$14,2,FALSE()),"")</f>
        <v/>
      </c>
      <c r="C30" s="3"/>
      <c r="D30" s="3"/>
      <c r="I30" s="5"/>
      <c r="J30" s="5" t="str">
        <f t="shared" si="0"/>
        <v/>
      </c>
    </row>
    <row r="31" spans="2:10" ht="14.4">
      <c r="B31" s="6" t="str">
        <f>+IFERROR(VLOOKUP(A31,'LISTES ACTIVITES'!$A$2:$B$14,2,FALSE()),"")</f>
        <v/>
      </c>
      <c r="C31" s="3"/>
      <c r="D31" s="3"/>
      <c r="I31" s="5"/>
      <c r="J31" s="5" t="str">
        <f t="shared" si="0"/>
        <v/>
      </c>
    </row>
    <row r="32" spans="2:10" ht="14.4">
      <c r="B32" s="6" t="str">
        <f>+IFERROR(VLOOKUP(A32,'LISTES ACTIVITES'!$A$2:$B$14,2,FALSE()),"")</f>
        <v/>
      </c>
      <c r="C32" s="3"/>
      <c r="D32" s="3"/>
      <c r="I32" s="5"/>
      <c r="J32" s="5" t="str">
        <f t="shared" si="0"/>
        <v/>
      </c>
    </row>
    <row r="33" spans="2:10" ht="14.4">
      <c r="B33" s="6" t="str">
        <f>+IFERROR(VLOOKUP(A33,'LISTES ACTIVITES'!$A$2:$B$14,2,FALSE()),"")</f>
        <v/>
      </c>
      <c r="C33" s="3"/>
      <c r="D33" s="3"/>
      <c r="I33" s="5"/>
      <c r="J33" s="5" t="str">
        <f t="shared" si="0"/>
        <v/>
      </c>
    </row>
    <row r="34" spans="2:10" ht="14.4">
      <c r="B34" s="6" t="str">
        <f>+IFERROR(VLOOKUP(A34,'LISTES ACTIVITES'!$A$2:$B$14,2,FALSE()),"")</f>
        <v/>
      </c>
      <c r="C34" s="3"/>
      <c r="D34" s="3"/>
      <c r="I34" s="5"/>
      <c r="J34" s="5" t="str">
        <f t="shared" ref="J34:J65" si="1">IF(OR(G34="",I34=""),"",G34*I34)</f>
        <v/>
      </c>
    </row>
    <row r="35" spans="2:10" ht="14.4">
      <c r="B35" s="6" t="str">
        <f>+IFERROR(VLOOKUP(A35,'LISTES ACTIVITES'!$A$2:$B$14,2,FALSE()),"")</f>
        <v/>
      </c>
      <c r="C35" s="3"/>
      <c r="D35" s="3"/>
      <c r="I35" s="5"/>
      <c r="J35" s="5" t="str">
        <f t="shared" si="1"/>
        <v/>
      </c>
    </row>
    <row r="36" spans="2:10" ht="14.4">
      <c r="B36" s="6" t="str">
        <f>+IFERROR(VLOOKUP(A36,'LISTES ACTIVITES'!$A$2:$B$14,2,FALSE()),"")</f>
        <v/>
      </c>
      <c r="C36" s="3"/>
      <c r="D36" s="3"/>
      <c r="I36" s="5"/>
      <c r="J36" s="5" t="str">
        <f t="shared" si="1"/>
        <v/>
      </c>
    </row>
    <row r="37" spans="2:10" ht="14.4">
      <c r="B37" s="6" t="str">
        <f>+IFERROR(VLOOKUP(A37,'LISTES ACTIVITES'!$A$2:$B$14,2,FALSE()),"")</f>
        <v/>
      </c>
      <c r="C37" s="3"/>
      <c r="D37" s="3"/>
      <c r="I37" s="5"/>
      <c r="J37" s="5" t="str">
        <f t="shared" si="1"/>
        <v/>
      </c>
    </row>
    <row r="38" spans="2:10" ht="14.4">
      <c r="B38" s="6" t="str">
        <f>+IFERROR(VLOOKUP(A38,'LISTES ACTIVITES'!$A$2:$B$14,2,FALSE()),"")</f>
        <v/>
      </c>
      <c r="C38" s="3"/>
      <c r="D38" s="3"/>
      <c r="I38" s="5"/>
      <c r="J38" s="5" t="str">
        <f t="shared" si="1"/>
        <v/>
      </c>
    </row>
    <row r="39" spans="2:10" ht="14.4">
      <c r="B39" s="6" t="str">
        <f>+IFERROR(VLOOKUP(A39,'LISTES ACTIVITES'!$A$2:$B$14,2,FALSE()),"")</f>
        <v/>
      </c>
      <c r="C39" s="3"/>
      <c r="D39" s="3"/>
      <c r="I39" s="5"/>
      <c r="J39" s="5" t="str">
        <f t="shared" si="1"/>
        <v/>
      </c>
    </row>
    <row r="40" spans="2:10" ht="14.4">
      <c r="B40" s="6" t="str">
        <f>+IFERROR(VLOOKUP(A40,'LISTES ACTIVITES'!$A$2:$B$14,2,FALSE()),"")</f>
        <v/>
      </c>
      <c r="C40" s="3"/>
      <c r="D40" s="3"/>
      <c r="I40" s="5"/>
      <c r="J40" s="5" t="str">
        <f t="shared" si="1"/>
        <v/>
      </c>
    </row>
    <row r="41" spans="2:10" ht="14.4">
      <c r="B41" s="6" t="str">
        <f>+IFERROR(VLOOKUP(A41,'LISTES ACTIVITES'!$A$2:$B$14,2,FALSE()),"")</f>
        <v/>
      </c>
      <c r="C41" s="3"/>
      <c r="D41" s="3"/>
      <c r="I41" s="5"/>
      <c r="J41" s="5" t="str">
        <f t="shared" si="1"/>
        <v/>
      </c>
    </row>
    <row r="42" spans="2:10" ht="14.4">
      <c r="B42" s="6" t="str">
        <f>+IFERROR(VLOOKUP(A42,'LISTES ACTIVITES'!$A$2:$B$14,2,FALSE()),"")</f>
        <v/>
      </c>
      <c r="C42" s="3"/>
      <c r="D42" s="3"/>
      <c r="I42" s="5"/>
      <c r="J42" s="5" t="str">
        <f t="shared" si="1"/>
        <v/>
      </c>
    </row>
    <row r="43" spans="2:10" ht="14.4">
      <c r="B43" s="6" t="str">
        <f>+IFERROR(VLOOKUP(A43,'LISTES ACTIVITES'!$A$2:$B$14,2,FALSE()),"")</f>
        <v/>
      </c>
      <c r="C43" s="3"/>
      <c r="D43" s="3"/>
      <c r="I43" s="5"/>
      <c r="J43" s="5" t="str">
        <f t="shared" si="1"/>
        <v/>
      </c>
    </row>
    <row r="44" spans="2:10" ht="14.4">
      <c r="B44" s="6" t="str">
        <f>+IFERROR(VLOOKUP(A44,'LISTES ACTIVITES'!$A$2:$B$14,2,FALSE()),"")</f>
        <v/>
      </c>
      <c r="C44" s="3"/>
      <c r="D44" s="3"/>
      <c r="I44" s="5"/>
      <c r="J44" s="5" t="str">
        <f t="shared" si="1"/>
        <v/>
      </c>
    </row>
    <row r="45" spans="2:10" ht="14.4">
      <c r="B45" s="6" t="str">
        <f>+IFERROR(VLOOKUP(A45,'LISTES ACTIVITES'!$A$2:$B$14,2,FALSE()),"")</f>
        <v/>
      </c>
      <c r="C45" s="3"/>
      <c r="D45" s="3"/>
      <c r="I45" s="5"/>
      <c r="J45" s="5" t="str">
        <f t="shared" si="1"/>
        <v/>
      </c>
    </row>
    <row r="46" spans="2:10" ht="14.4">
      <c r="B46" s="6" t="str">
        <f>+IFERROR(VLOOKUP(A46,'LISTES ACTIVITES'!$A$2:$B$14,2,FALSE()),"")</f>
        <v/>
      </c>
      <c r="C46" s="3"/>
      <c r="D46" s="3"/>
      <c r="I46" s="5"/>
      <c r="J46" s="5" t="str">
        <f t="shared" si="1"/>
        <v/>
      </c>
    </row>
    <row r="47" spans="2:10" ht="14.4">
      <c r="B47" s="6" t="str">
        <f>+IFERROR(VLOOKUP(A47,'LISTES ACTIVITES'!$A$2:$B$14,2,FALSE()),"")</f>
        <v/>
      </c>
      <c r="C47" s="3"/>
      <c r="D47" s="3"/>
      <c r="I47" s="5"/>
      <c r="J47" s="5" t="str">
        <f t="shared" si="1"/>
        <v/>
      </c>
    </row>
    <row r="48" spans="2:10" ht="14.4">
      <c r="B48" s="6" t="str">
        <f>+IFERROR(VLOOKUP(A48,'LISTES ACTIVITES'!$A$2:$B$14,2,FALSE()),"")</f>
        <v/>
      </c>
      <c r="C48" s="3"/>
      <c r="D48" s="3"/>
      <c r="I48" s="5"/>
      <c r="J48" s="5" t="str">
        <f t="shared" si="1"/>
        <v/>
      </c>
    </row>
    <row r="49" spans="2:10" ht="14.4">
      <c r="B49" s="6" t="str">
        <f>+IFERROR(VLOOKUP(A49,'LISTES ACTIVITES'!$A$2:$B$14,2,FALSE()),"")</f>
        <v/>
      </c>
      <c r="C49" s="3"/>
      <c r="D49" s="3"/>
      <c r="I49" s="5"/>
      <c r="J49" s="5" t="str">
        <f t="shared" si="1"/>
        <v/>
      </c>
    </row>
    <row r="50" spans="2:10" ht="14.4">
      <c r="B50" s="6" t="str">
        <f>+IFERROR(VLOOKUP(A50,'LISTES ACTIVITES'!$A$2:$B$14,2,FALSE()),"")</f>
        <v/>
      </c>
      <c r="C50" s="3"/>
      <c r="D50" s="3"/>
      <c r="I50" s="5"/>
      <c r="J50" s="5" t="str">
        <f t="shared" si="1"/>
        <v/>
      </c>
    </row>
    <row r="51" spans="2:10" ht="14.4">
      <c r="B51" s="6" t="str">
        <f>+IFERROR(VLOOKUP(A51,'LISTES ACTIVITES'!$A$2:$B$14,2,FALSE()),"")</f>
        <v/>
      </c>
      <c r="C51" s="3"/>
      <c r="D51" s="3"/>
      <c r="I51" s="5"/>
      <c r="J51" s="5" t="str">
        <f t="shared" si="1"/>
        <v/>
      </c>
    </row>
    <row r="52" spans="2:10" ht="14.4">
      <c r="B52" s="6" t="str">
        <f>+IFERROR(VLOOKUP(A52,'LISTES ACTIVITES'!$A$2:$B$14,2,FALSE()),"")</f>
        <v/>
      </c>
      <c r="C52" s="3"/>
      <c r="D52" s="3"/>
      <c r="I52" s="5"/>
      <c r="J52" s="5" t="str">
        <f t="shared" si="1"/>
        <v/>
      </c>
    </row>
    <row r="53" spans="2:10" ht="14.4">
      <c r="B53" s="6" t="str">
        <f>+IFERROR(VLOOKUP(A53,'LISTES ACTIVITES'!$A$2:$B$14,2,FALSE()),"")</f>
        <v/>
      </c>
      <c r="C53" s="3"/>
      <c r="D53" s="3"/>
      <c r="I53" s="5"/>
      <c r="J53" s="5" t="str">
        <f t="shared" si="1"/>
        <v/>
      </c>
    </row>
    <row r="54" spans="2:10" ht="14.4">
      <c r="B54" s="6" t="str">
        <f>+IFERROR(VLOOKUP(A54,'LISTES ACTIVITES'!$A$2:$B$14,2,FALSE()),"")</f>
        <v/>
      </c>
      <c r="C54" s="3"/>
      <c r="D54" s="3"/>
      <c r="I54" s="5"/>
      <c r="J54" s="5" t="str">
        <f t="shared" si="1"/>
        <v/>
      </c>
    </row>
    <row r="55" spans="2:10" ht="14.4">
      <c r="B55" s="6" t="str">
        <f>+IFERROR(VLOOKUP(A55,'LISTES ACTIVITES'!$A$2:$B$14,2,FALSE()),"")</f>
        <v/>
      </c>
      <c r="C55" s="3"/>
      <c r="D55" s="3"/>
      <c r="I55" s="5"/>
      <c r="J55" s="5" t="str">
        <f t="shared" si="1"/>
        <v/>
      </c>
    </row>
    <row r="56" spans="2:10" ht="14.4">
      <c r="B56" s="6" t="str">
        <f>+IFERROR(VLOOKUP(A56,'LISTES ACTIVITES'!$A$2:$B$14,2,FALSE()),"")</f>
        <v/>
      </c>
      <c r="C56" s="3"/>
      <c r="D56" s="3"/>
      <c r="I56" s="5"/>
      <c r="J56" s="5" t="str">
        <f t="shared" si="1"/>
        <v/>
      </c>
    </row>
    <row r="57" spans="2:10" ht="14.4">
      <c r="B57" s="6" t="str">
        <f>+IFERROR(VLOOKUP(A57,'LISTES ACTIVITES'!$A$2:$B$14,2,FALSE()),"")</f>
        <v/>
      </c>
      <c r="C57" s="3"/>
      <c r="D57" s="3"/>
      <c r="I57" s="5"/>
      <c r="J57" s="5" t="str">
        <f t="shared" si="1"/>
        <v/>
      </c>
    </row>
    <row r="58" spans="2:10" ht="14.4">
      <c r="B58" s="6" t="str">
        <f>+IFERROR(VLOOKUP(A58,'LISTES ACTIVITES'!$A$2:$B$14,2,FALSE()),"")</f>
        <v/>
      </c>
      <c r="C58" s="3"/>
      <c r="D58" s="3"/>
      <c r="I58" s="5"/>
      <c r="J58" s="5" t="str">
        <f t="shared" si="1"/>
        <v/>
      </c>
    </row>
    <row r="59" spans="2:10" ht="14.4">
      <c r="B59" s="6" t="str">
        <f>+IFERROR(VLOOKUP(A59,'LISTES ACTIVITES'!$A$2:$B$14,2,FALSE()),"")</f>
        <v/>
      </c>
      <c r="C59" s="3"/>
      <c r="D59" s="3"/>
      <c r="I59" s="5"/>
      <c r="J59" s="5" t="str">
        <f t="shared" si="1"/>
        <v/>
      </c>
    </row>
    <row r="60" spans="2:10" ht="14.4">
      <c r="B60" s="6" t="str">
        <f>+IFERROR(VLOOKUP(A60,'LISTES ACTIVITES'!$A$2:$B$14,2,FALSE()),"")</f>
        <v/>
      </c>
      <c r="C60" s="3"/>
      <c r="D60" s="3"/>
      <c r="I60" s="5"/>
      <c r="J60" s="5" t="str">
        <f t="shared" si="1"/>
        <v/>
      </c>
    </row>
    <row r="61" spans="2:10" ht="14.4">
      <c r="B61" s="6" t="str">
        <f>+IFERROR(VLOOKUP(A61,'LISTES ACTIVITES'!$A$2:$B$14,2,FALSE()),"")</f>
        <v/>
      </c>
      <c r="C61" s="3"/>
      <c r="D61" s="3"/>
      <c r="I61" s="5"/>
      <c r="J61" s="5" t="str">
        <f t="shared" si="1"/>
        <v/>
      </c>
    </row>
    <row r="62" spans="2:10" ht="14.4">
      <c r="B62" s="6" t="str">
        <f>+IFERROR(VLOOKUP(A62,'LISTES ACTIVITES'!$A$2:$B$14,2,FALSE()),"")</f>
        <v/>
      </c>
      <c r="C62" s="3"/>
      <c r="D62" s="3"/>
      <c r="I62" s="5"/>
      <c r="J62" s="5" t="str">
        <f t="shared" si="1"/>
        <v/>
      </c>
    </row>
    <row r="63" spans="2:10" ht="14.4">
      <c r="B63" s="6" t="str">
        <f>+IFERROR(VLOOKUP(A63,'LISTES ACTIVITES'!$A$2:$B$14,2,FALSE()),"")</f>
        <v/>
      </c>
      <c r="C63" s="3"/>
      <c r="D63" s="3"/>
      <c r="I63" s="5"/>
      <c r="J63" s="5" t="str">
        <f t="shared" si="1"/>
        <v/>
      </c>
    </row>
    <row r="64" spans="2:10" ht="14.4">
      <c r="B64" s="6" t="str">
        <f>+IFERROR(VLOOKUP(A64,'LISTES ACTIVITES'!$A$2:$B$14,2,FALSE()),"")</f>
        <v/>
      </c>
      <c r="C64" s="3"/>
      <c r="D64" s="3"/>
      <c r="I64" s="5"/>
      <c r="J64" s="5" t="str">
        <f t="shared" si="1"/>
        <v/>
      </c>
    </row>
    <row r="65" spans="2:10" ht="14.4">
      <c r="B65" s="6" t="str">
        <f>+IFERROR(VLOOKUP(A65,'LISTES ACTIVITES'!$A$2:$B$14,2,FALSE()),"")</f>
        <v/>
      </c>
      <c r="C65" s="3"/>
      <c r="D65" s="3"/>
      <c r="I65" s="5"/>
      <c r="J65" s="5" t="str">
        <f t="shared" si="1"/>
        <v/>
      </c>
    </row>
    <row r="66" spans="2:10" ht="14.4">
      <c r="B66" s="6" t="str">
        <f>+IFERROR(VLOOKUP(A66,'LISTES ACTIVITES'!$A$2:$B$14,2,FALSE()),"")</f>
        <v/>
      </c>
      <c r="C66" s="3"/>
      <c r="D66" s="3"/>
      <c r="I66" s="5"/>
      <c r="J66" s="5" t="str">
        <f t="shared" ref="J66:J97" si="2">IF(OR(G66="",I66=""),"",G66*I66)</f>
        <v/>
      </c>
    </row>
    <row r="67" spans="2:10" ht="14.4">
      <c r="B67" s="6" t="str">
        <f>+IFERROR(VLOOKUP(A67,'LISTES ACTIVITES'!$A$2:$B$14,2,FALSE()),"")</f>
        <v/>
      </c>
      <c r="C67" s="3"/>
      <c r="D67" s="3"/>
      <c r="I67" s="5"/>
      <c r="J67" s="5" t="str">
        <f t="shared" si="2"/>
        <v/>
      </c>
    </row>
    <row r="68" spans="2:10" ht="14.4">
      <c r="B68" s="6" t="str">
        <f>+IFERROR(VLOOKUP(A68,'LISTES ACTIVITES'!$A$2:$B$14,2,FALSE()),"")</f>
        <v/>
      </c>
      <c r="C68" s="3"/>
      <c r="D68" s="3"/>
      <c r="I68" s="5"/>
      <c r="J68" s="5" t="str">
        <f t="shared" si="2"/>
        <v/>
      </c>
    </row>
    <row r="69" spans="2:10" ht="14.4">
      <c r="B69" s="6" t="str">
        <f>+IFERROR(VLOOKUP(A69,'LISTES ACTIVITES'!$A$2:$B$14,2,FALSE()),"")</f>
        <v/>
      </c>
      <c r="C69" s="3"/>
      <c r="D69" s="3"/>
      <c r="I69" s="5"/>
      <c r="J69" s="5" t="str">
        <f t="shared" si="2"/>
        <v/>
      </c>
    </row>
    <row r="70" spans="2:10" ht="14.4">
      <c r="B70" s="6" t="str">
        <f>+IFERROR(VLOOKUP(A70,'LISTES ACTIVITES'!$A$2:$B$14,2,FALSE()),"")</f>
        <v/>
      </c>
      <c r="C70" s="3"/>
      <c r="D70" s="3"/>
      <c r="I70" s="5"/>
      <c r="J70" s="5" t="str">
        <f t="shared" si="2"/>
        <v/>
      </c>
    </row>
    <row r="71" spans="2:10" ht="14.4">
      <c r="B71" s="6" t="str">
        <f>+IFERROR(VLOOKUP(A71,'LISTES ACTIVITES'!$A$2:$B$14,2,FALSE()),"")</f>
        <v/>
      </c>
      <c r="C71" s="3"/>
      <c r="D71" s="3"/>
      <c r="I71" s="5"/>
      <c r="J71" s="5" t="str">
        <f t="shared" si="2"/>
        <v/>
      </c>
    </row>
    <row r="72" spans="2:10" ht="14.4">
      <c r="B72" s="6" t="str">
        <f>+IFERROR(VLOOKUP(A72,'LISTES ACTIVITES'!$A$2:$B$14,2,FALSE()),"")</f>
        <v/>
      </c>
      <c r="C72" s="3"/>
      <c r="D72" s="3"/>
      <c r="I72" s="5"/>
      <c r="J72" s="5" t="str">
        <f t="shared" si="2"/>
        <v/>
      </c>
    </row>
    <row r="73" spans="2:10" ht="14.4">
      <c r="B73" s="6" t="str">
        <f>+IFERROR(VLOOKUP(A73,'LISTES ACTIVITES'!$A$2:$B$14,2,FALSE()),"")</f>
        <v/>
      </c>
      <c r="C73" s="3"/>
      <c r="D73" s="3"/>
      <c r="I73" s="5"/>
      <c r="J73" s="5" t="str">
        <f t="shared" si="2"/>
        <v/>
      </c>
    </row>
    <row r="74" spans="2:10" ht="14.4">
      <c r="B74" s="6" t="str">
        <f>+IFERROR(VLOOKUP(A74,'LISTES ACTIVITES'!$A$2:$B$14,2,FALSE()),"")</f>
        <v/>
      </c>
      <c r="C74" s="3"/>
      <c r="D74" s="3"/>
      <c r="I74" s="5"/>
      <c r="J74" s="5" t="str">
        <f t="shared" si="2"/>
        <v/>
      </c>
    </row>
    <row r="75" spans="2:10" ht="14.4">
      <c r="B75" s="6" t="str">
        <f>+IFERROR(VLOOKUP(A75,'LISTES ACTIVITES'!$A$2:$B$14,2,FALSE()),"")</f>
        <v/>
      </c>
      <c r="C75" s="3"/>
      <c r="D75" s="3"/>
      <c r="I75" s="5"/>
      <c r="J75" s="5" t="str">
        <f t="shared" si="2"/>
        <v/>
      </c>
    </row>
    <row r="76" spans="2:10" ht="14.4">
      <c r="B76" s="6" t="str">
        <f>+IFERROR(VLOOKUP(A76,'LISTES ACTIVITES'!$A$2:$B$14,2,FALSE()),"")</f>
        <v/>
      </c>
      <c r="C76" s="3"/>
      <c r="D76" s="3"/>
      <c r="I76" s="5"/>
      <c r="J76" s="5" t="str">
        <f t="shared" si="2"/>
        <v/>
      </c>
    </row>
    <row r="77" spans="2:10" ht="14.4">
      <c r="B77" s="6" t="str">
        <f>+IFERROR(VLOOKUP(A77,'LISTES ACTIVITES'!$A$2:$B$14,2,FALSE()),"")</f>
        <v/>
      </c>
      <c r="C77" s="3"/>
      <c r="D77" s="3"/>
      <c r="I77" s="5"/>
      <c r="J77" s="5" t="str">
        <f t="shared" si="2"/>
        <v/>
      </c>
    </row>
    <row r="78" spans="2:10" ht="14.4">
      <c r="B78" s="6" t="str">
        <f>+IFERROR(VLOOKUP(A78,'LISTES ACTIVITES'!$A$2:$B$14,2,FALSE()),"")</f>
        <v/>
      </c>
      <c r="C78" s="3"/>
      <c r="D78" s="3"/>
      <c r="I78" s="5"/>
      <c r="J78" s="5" t="str">
        <f t="shared" si="2"/>
        <v/>
      </c>
    </row>
    <row r="79" spans="2:10" ht="14.4">
      <c r="B79" s="6" t="str">
        <f>+IFERROR(VLOOKUP(A79,'LISTES ACTIVITES'!$A$2:$B$14,2,FALSE()),"")</f>
        <v/>
      </c>
      <c r="C79" s="3"/>
      <c r="D79" s="3"/>
      <c r="I79" s="5"/>
      <c r="J79" s="5" t="str">
        <f t="shared" si="2"/>
        <v/>
      </c>
    </row>
    <row r="80" spans="2:10" ht="14.4">
      <c r="B80" s="6" t="str">
        <f>+IFERROR(VLOOKUP(A80,'LISTES ACTIVITES'!$A$2:$B$14,2,FALSE()),"")</f>
        <v/>
      </c>
      <c r="C80" s="3"/>
      <c r="D80" s="3"/>
      <c r="I80" s="5"/>
      <c r="J80" s="5" t="str">
        <f t="shared" si="2"/>
        <v/>
      </c>
    </row>
    <row r="81" spans="2:10" ht="14.4">
      <c r="B81" s="6" t="str">
        <f>+IFERROR(VLOOKUP(A81,'LISTES ACTIVITES'!$A$2:$B$14,2,FALSE()),"")</f>
        <v/>
      </c>
      <c r="C81" s="3"/>
      <c r="D81" s="3"/>
      <c r="I81" s="5"/>
      <c r="J81" s="5" t="str">
        <f t="shared" si="2"/>
        <v/>
      </c>
    </row>
    <row r="82" spans="2:10" ht="14.4">
      <c r="B82" s="6" t="str">
        <f>+IFERROR(VLOOKUP(A82,'LISTES ACTIVITES'!$A$2:$B$14,2,FALSE()),"")</f>
        <v/>
      </c>
      <c r="C82" s="3"/>
      <c r="D82" s="3"/>
      <c r="I82" s="5"/>
      <c r="J82" s="5" t="str">
        <f t="shared" si="2"/>
        <v/>
      </c>
    </row>
    <row r="83" spans="2:10" ht="14.4">
      <c r="B83" s="6" t="str">
        <f>+IFERROR(VLOOKUP(A83,'LISTES ACTIVITES'!$A$2:$B$14,2,FALSE()),"")</f>
        <v/>
      </c>
      <c r="C83" s="3"/>
      <c r="D83" s="3"/>
      <c r="I83" s="5"/>
      <c r="J83" s="5" t="str">
        <f t="shared" si="2"/>
        <v/>
      </c>
    </row>
    <row r="84" spans="2:10" ht="14.4">
      <c r="B84" s="6" t="str">
        <f>+IFERROR(VLOOKUP(A84,'LISTES ACTIVITES'!$A$2:$B$14,2,FALSE()),"")</f>
        <v/>
      </c>
      <c r="C84" s="3"/>
      <c r="D84" s="3"/>
      <c r="I84" s="5"/>
      <c r="J84" s="5" t="str">
        <f t="shared" si="2"/>
        <v/>
      </c>
    </row>
    <row r="85" spans="2:10" ht="14.4">
      <c r="B85" s="6" t="str">
        <f>+IFERROR(VLOOKUP(A85,'LISTES ACTIVITES'!$A$2:$B$14,2,FALSE()),"")</f>
        <v/>
      </c>
      <c r="C85" s="3"/>
      <c r="D85" s="3"/>
      <c r="I85" s="5"/>
      <c r="J85" s="5" t="str">
        <f t="shared" si="2"/>
        <v/>
      </c>
    </row>
    <row r="86" spans="2:10" ht="14.4">
      <c r="B86" s="6" t="str">
        <f>+IFERROR(VLOOKUP(A86,'LISTES ACTIVITES'!$A$2:$B$14,2,FALSE()),"")</f>
        <v/>
      </c>
      <c r="C86" s="3"/>
      <c r="D86" s="3"/>
      <c r="I86" s="5"/>
      <c r="J86" s="5" t="str">
        <f t="shared" si="2"/>
        <v/>
      </c>
    </row>
    <row r="87" spans="2:10" ht="14.4">
      <c r="B87" s="6" t="str">
        <f>+IFERROR(VLOOKUP(A87,'LISTES ACTIVITES'!$A$2:$B$14,2,FALSE()),"")</f>
        <v/>
      </c>
      <c r="C87" s="3"/>
      <c r="D87" s="3"/>
      <c r="I87" s="5"/>
      <c r="J87" s="5" t="str">
        <f t="shared" si="2"/>
        <v/>
      </c>
    </row>
    <row r="88" spans="2:10" ht="14.4">
      <c r="B88" s="6" t="str">
        <f>+IFERROR(VLOOKUP(A88,'LISTES ACTIVITES'!$A$2:$B$14,2,FALSE()),"")</f>
        <v/>
      </c>
      <c r="C88" s="3"/>
      <c r="D88" s="3"/>
      <c r="I88" s="5"/>
      <c r="J88" s="5" t="str">
        <f t="shared" si="2"/>
        <v/>
      </c>
    </row>
    <row r="89" spans="2:10" ht="14.4">
      <c r="B89" s="6" t="str">
        <f>+IFERROR(VLOOKUP(A89,'LISTES ACTIVITES'!$A$2:$B$14,2,FALSE()),"")</f>
        <v/>
      </c>
      <c r="C89" s="3"/>
      <c r="D89" s="3"/>
      <c r="I89" s="5"/>
      <c r="J89" s="5" t="str">
        <f t="shared" si="2"/>
        <v/>
      </c>
    </row>
    <row r="90" spans="2:10" ht="14.4">
      <c r="B90" s="6" t="str">
        <f>+IFERROR(VLOOKUP(A90,'LISTES ACTIVITES'!$A$2:$B$14,2,FALSE()),"")</f>
        <v/>
      </c>
      <c r="C90" s="3"/>
      <c r="D90" s="3"/>
      <c r="I90" s="5"/>
      <c r="J90" s="5" t="str">
        <f t="shared" si="2"/>
        <v/>
      </c>
    </row>
    <row r="91" spans="2:10" ht="14.4">
      <c r="B91" s="6" t="str">
        <f>+IFERROR(VLOOKUP(A91,'LISTES ACTIVITES'!$A$2:$B$14,2,FALSE()),"")</f>
        <v/>
      </c>
      <c r="C91" s="3"/>
      <c r="D91" s="3"/>
      <c r="I91" s="5"/>
      <c r="J91" s="5" t="str">
        <f t="shared" si="2"/>
        <v/>
      </c>
    </row>
    <row r="92" spans="2:10" ht="14.4">
      <c r="B92" s="6" t="str">
        <f>+IFERROR(VLOOKUP(A92,'LISTES ACTIVITES'!$A$2:$B$14,2,FALSE()),"")</f>
        <v/>
      </c>
      <c r="C92" s="3"/>
      <c r="D92" s="3"/>
      <c r="I92" s="5"/>
      <c r="J92" s="5" t="str">
        <f t="shared" si="2"/>
        <v/>
      </c>
    </row>
    <row r="93" spans="2:10" ht="14.4">
      <c r="B93" s="6" t="str">
        <f>+IFERROR(VLOOKUP(A93,'LISTES ACTIVITES'!$A$2:$B$14,2,FALSE()),"")</f>
        <v/>
      </c>
      <c r="C93" s="3"/>
      <c r="D93" s="3"/>
      <c r="I93" s="5"/>
      <c r="J93" s="5" t="str">
        <f t="shared" si="2"/>
        <v/>
      </c>
    </row>
    <row r="94" spans="2:10" ht="14.4">
      <c r="B94" s="6" t="str">
        <f>+IFERROR(VLOOKUP(A94,'LISTES ACTIVITES'!$A$2:$B$14,2,FALSE()),"")</f>
        <v/>
      </c>
      <c r="C94" s="3"/>
      <c r="D94" s="3"/>
      <c r="I94" s="5"/>
      <c r="J94" s="5" t="str">
        <f t="shared" si="2"/>
        <v/>
      </c>
    </row>
    <row r="95" spans="2:10" ht="14.4">
      <c r="B95" s="6" t="str">
        <f>+IFERROR(VLOOKUP(A95,'LISTES ACTIVITES'!$A$2:$B$14,2,FALSE()),"")</f>
        <v/>
      </c>
      <c r="C95" s="3"/>
      <c r="D95" s="3"/>
      <c r="I95" s="5"/>
      <c r="J95" s="5" t="str">
        <f t="shared" si="2"/>
        <v/>
      </c>
    </row>
    <row r="96" spans="2:10" ht="14.4">
      <c r="B96" s="6" t="str">
        <f>+IFERROR(VLOOKUP(A96,'LISTES ACTIVITES'!$A$2:$B$14,2,FALSE()),"")</f>
        <v/>
      </c>
      <c r="C96" s="3"/>
      <c r="D96" s="3"/>
      <c r="I96" s="5"/>
      <c r="J96" s="5" t="str">
        <f t="shared" si="2"/>
        <v/>
      </c>
    </row>
    <row r="97" spans="2:10" ht="14.4">
      <c r="B97" s="6" t="str">
        <f>+IFERROR(VLOOKUP(A97,'LISTES ACTIVITES'!$A$2:$B$14,2,FALSE()),"")</f>
        <v/>
      </c>
      <c r="C97" s="3"/>
      <c r="D97" s="3"/>
      <c r="I97" s="5"/>
      <c r="J97" s="5" t="str">
        <f t="shared" si="2"/>
        <v/>
      </c>
    </row>
    <row r="98" spans="2:10" ht="14.4">
      <c r="B98" s="6" t="str">
        <f>+IFERROR(VLOOKUP(A98,'LISTES ACTIVITES'!$A$2:$B$14,2,FALSE()),"")</f>
        <v/>
      </c>
      <c r="C98" s="3"/>
      <c r="D98" s="3"/>
      <c r="I98" s="5"/>
      <c r="J98" s="5" t="str">
        <f t="shared" ref="J98:J101" si="3">IF(OR(G98="",I98=""),"",G98*I98)</f>
        <v/>
      </c>
    </row>
    <row r="99" spans="2:10" ht="14.4">
      <c r="B99" s="6" t="str">
        <f>+IFERROR(VLOOKUP(A99,'LISTES ACTIVITES'!$A$2:$B$14,2,FALSE()),"")</f>
        <v/>
      </c>
      <c r="C99" s="3"/>
      <c r="D99" s="3"/>
      <c r="I99" s="5"/>
      <c r="J99" s="5" t="str">
        <f t="shared" si="3"/>
        <v/>
      </c>
    </row>
    <row r="100" spans="2:10" ht="14.4">
      <c r="B100" s="6" t="str">
        <f>+IFERROR(VLOOKUP(A100,'LISTES ACTIVITES'!$A$2:$B$14,2,FALSE()),"")</f>
        <v/>
      </c>
      <c r="C100" s="3"/>
      <c r="D100" s="3"/>
      <c r="I100" s="5"/>
      <c r="J100" s="5" t="str">
        <f t="shared" si="3"/>
        <v/>
      </c>
    </row>
    <row r="101" spans="2:10" ht="14.4">
      <c r="B101" s="6" t="str">
        <f>+IFERROR(VLOOKUP(A101,'LISTES ACTIVITES'!$A$2:$B$14,2,FALSE()),"")</f>
        <v/>
      </c>
      <c r="C101" s="3"/>
      <c r="D101" s="3"/>
      <c r="I101" s="5"/>
      <c r="J101" s="5" t="str">
        <f t="shared" si="3"/>
        <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EA873F7-C140-4D0F-8B3D-F9F1E8B594BF}">
          <x14:formula1>
            <xm:f>LISTES!$C$2:$C$12</xm:f>
          </x14:formula1>
          <xm:sqref>E2:E101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01"/>
  <sheetViews>
    <sheetView topLeftCell="D1" workbookViewId="0">
      <selection activeCell="G4" sqref="G4"/>
    </sheetView>
  </sheetViews>
  <sheetFormatPr baseColWidth="10" defaultColWidth="8.796875" defaultRowHeight="13.8"/>
  <cols>
    <col min="1" max="1" width="6" customWidth="1"/>
    <col min="2" max="2" width="14" customWidth="1"/>
    <col min="3" max="3" width="26" customWidth="1"/>
    <col min="4" max="5" width="15" customWidth="1"/>
    <col min="6" max="6" width="14" customWidth="1"/>
    <col min="7" max="7" width="28" customWidth="1"/>
    <col min="8" max="8" width="26" customWidth="1"/>
    <col min="9" max="9" width="20" customWidth="1"/>
    <col min="10" max="14" width="18" customWidth="1"/>
    <col min="15" max="15" width="12" customWidth="1"/>
    <col min="16" max="16" width="14" customWidth="1"/>
    <col min="17" max="17" width="18" customWidth="1"/>
    <col min="18" max="20" width="24" customWidth="1"/>
    <col min="21" max="21" width="34" customWidth="1"/>
    <col min="22" max="22" width="20" customWidth="1"/>
  </cols>
  <sheetData>
    <row r="1" spans="1:22" ht="27.6">
      <c r="A1" s="1" t="s">
        <v>0</v>
      </c>
      <c r="B1" s="1" t="s">
        <v>1</v>
      </c>
      <c r="C1" s="1" t="s">
        <v>2</v>
      </c>
      <c r="D1" s="1" t="s">
        <v>3</v>
      </c>
      <c r="E1" s="1" t="s">
        <v>4</v>
      </c>
      <c r="F1" s="1" t="s">
        <v>5</v>
      </c>
      <c r="G1" s="1" t="s">
        <v>6</v>
      </c>
      <c r="H1" s="1" t="s">
        <v>7</v>
      </c>
      <c r="I1" s="1" t="s">
        <v>8</v>
      </c>
      <c r="J1" s="1" t="s">
        <v>9</v>
      </c>
      <c r="K1" s="9" t="s">
        <v>10</v>
      </c>
      <c r="L1" s="9" t="s">
        <v>11</v>
      </c>
      <c r="M1" s="9" t="s">
        <v>12</v>
      </c>
      <c r="N1" s="1" t="s">
        <v>13</v>
      </c>
      <c r="O1" s="1" t="s">
        <v>14</v>
      </c>
      <c r="P1" s="1" t="s">
        <v>15</v>
      </c>
      <c r="Q1" s="1" t="s">
        <v>16</v>
      </c>
      <c r="R1" s="1" t="s">
        <v>141</v>
      </c>
      <c r="S1" s="1" t="s">
        <v>17</v>
      </c>
      <c r="T1" s="1" t="s">
        <v>18</v>
      </c>
      <c r="U1" s="1" t="s">
        <v>19</v>
      </c>
      <c r="V1" s="1" t="s">
        <v>20</v>
      </c>
    </row>
    <row r="2" spans="1:22" ht="14.4">
      <c r="A2">
        <f t="shared" ref="A2:A65" si="0">ROW()-1</f>
        <v>1</v>
      </c>
      <c r="B2" s="6" t="s">
        <v>91</v>
      </c>
      <c r="C2" s="6" t="str">
        <f>+IFERROR(VLOOKUP(ControlePJTable[[#This Row],[Code activité]],'LISTES ACTIVITES'!$A$1:$B$38,2,FALSE()),"")</f>
        <v>Atelier PSN N°01</v>
      </c>
      <c r="D2" s="3">
        <v>46153</v>
      </c>
      <c r="E2" s="3">
        <v>46157</v>
      </c>
      <c r="F2" s="3">
        <v>46223</v>
      </c>
      <c r="G2" t="s">
        <v>111</v>
      </c>
      <c r="H2" t="s">
        <v>110</v>
      </c>
      <c r="I2" t="s">
        <v>44</v>
      </c>
      <c r="J2" s="5">
        <v>3750000</v>
      </c>
      <c r="K2" s="5">
        <v>3750000</v>
      </c>
      <c r="L2" s="5">
        <v>3750000</v>
      </c>
      <c r="M2" s="5">
        <f t="shared" ref="M2:M65" si="1">IF(OR(J2="",K2=""),"",K2-J2)</f>
        <v>0</v>
      </c>
      <c r="N2" s="5">
        <f t="shared" ref="N2:N65" si="2">IF(OR(K2="",L2=""),"",L2-K2)</f>
        <v>0</v>
      </c>
      <c r="O2" t="s">
        <v>43</v>
      </c>
      <c r="P2" t="s">
        <v>43</v>
      </c>
      <c r="Q2" t="str">
        <f t="shared" ref="Q2:Q65" si="3">IF(OR(D2="",E2="",F2=""),"",IF(AND(F2&gt;=D2,E2&lt;=F2),"Oui","Non"))</f>
        <v>Oui</v>
      </c>
      <c r="R2" s="5">
        <v>3750000</v>
      </c>
      <c r="S2" s="5">
        <f>IF(B2="","",SUMIFS(REFERENTIEL_BUDGET!$J$2:$J$101,REFERENTIEL_BUDGET!$A$2:$A$101,B2,REFERENTIEL_BUDGET!$E$2:$E$101,G2))</f>
        <v>3750000</v>
      </c>
      <c r="T2" t="str">
        <f>IF(B2="","",IF(COUNTIFS(PRESENCES_INDEMNITES!$B$2:$B$501,B2,PRESENCES_INDEMNITES!$S$2:$S$501,"&lt;&gt;CONFORME",PRESENCES_INDEMNITES!$S$2:$S$501,"&lt;&gt;")&gt;0,"Anomalie détectée",IF(R2&gt;S2,"Dépassement budget indemnités","Conforme")))</f>
        <v>Conforme</v>
      </c>
      <c r="V2" t="str">
        <f t="shared" ref="V2:V65" si="4">IF(O2="Non","PJ non reçue",IF(O2="","",IF(Q2="Non","Date PJ non conforme",IF(OR(M2&gt;0,N2&lt;&gt;0,P2="Non",T2="Anomalie détectée",T2="Dépassement budget indemnités"),"Non conforme",IF(P2="À vérifier","À vérifier","Conforme")))))</f>
        <v>Conforme</v>
      </c>
    </row>
    <row r="3" spans="1:22" ht="14.4">
      <c r="A3">
        <f t="shared" si="0"/>
        <v>2</v>
      </c>
      <c r="B3" s="6" t="s">
        <v>91</v>
      </c>
      <c r="C3" t="str">
        <f>+IFERROR(VLOOKUP(ControlePJTable[[#This Row],[Code activité]],'LISTES ACTIVITES'!$A$1:$B$38,2,FALSE()),"")</f>
        <v>Atelier PSN N°01</v>
      </c>
      <c r="D3" s="3">
        <v>46153</v>
      </c>
      <c r="E3" s="3">
        <v>46157</v>
      </c>
      <c r="F3" s="3">
        <v>46159</v>
      </c>
      <c r="G3" t="s">
        <v>116</v>
      </c>
      <c r="H3" t="s">
        <v>125</v>
      </c>
      <c r="I3" t="s">
        <v>48</v>
      </c>
      <c r="J3" s="5">
        <v>22500000</v>
      </c>
      <c r="K3" s="5">
        <v>10800000</v>
      </c>
      <c r="L3" s="5">
        <v>10800000</v>
      </c>
      <c r="M3" s="5">
        <f t="shared" si="1"/>
        <v>-11700000</v>
      </c>
      <c r="N3" s="5">
        <f t="shared" si="2"/>
        <v>0</v>
      </c>
      <c r="O3" t="s">
        <v>43</v>
      </c>
      <c r="P3" t="s">
        <v>43</v>
      </c>
      <c r="Q3" t="str">
        <f t="shared" si="3"/>
        <v>Oui</v>
      </c>
      <c r="R3" s="5">
        <f>IF(B3="","",SUMIFS(PRESENCES_INDEMNITES!$N$2:$N$501,PRESENCES_INDEMNITES!$B$2:$B$501,B3,PRESENCES_INDEMNITES!$S$2:$S$501,"CONFORME"))</f>
        <v>10800000</v>
      </c>
      <c r="S3" s="5">
        <f>IF(B3="","",SUMIFS(REFERENTIEL_BUDGET!$J$2:$J$101,REFERENTIEL_BUDGET!$A$2:$A$101,B3,REFERENTIEL_BUDGET!$E$2:$E$101,G3))</f>
        <v>22500000</v>
      </c>
      <c r="T3" t="str">
        <f>IF(B3="","",IF(COUNTIFS(PRESENCES_INDEMNITES!$B$2:$B$501,B3,PRESENCES_INDEMNITES!$S$2:$S$501,"&lt;&gt;CONFORME",PRESENCES_INDEMNITES!$S$2:$S$501,"&lt;&gt;")&gt;0,"Anomalie détectée",IF(R3&gt;S3,"Dépassement budget indemnités","Conforme")))</f>
        <v>Conforme</v>
      </c>
      <c r="V3" t="str">
        <f t="shared" si="4"/>
        <v>Conforme</v>
      </c>
    </row>
    <row r="4" spans="1:22">
      <c r="A4">
        <f t="shared" si="0"/>
        <v>3</v>
      </c>
      <c r="C4" t="str">
        <f>+IFERROR(VLOOKUP(ControlePJTable[[#This Row],[Code activité]],'LISTES ACTIVITES'!$A$1:$B$38,2,FALSE()),"")</f>
        <v/>
      </c>
      <c r="D4" s="3"/>
      <c r="E4" s="3"/>
      <c r="F4" s="3"/>
      <c r="G4" t="s">
        <v>117</v>
      </c>
      <c r="J4" s="5"/>
      <c r="K4" s="5"/>
      <c r="L4" s="5"/>
      <c r="M4" s="5" t="str">
        <f t="shared" si="1"/>
        <v/>
      </c>
      <c r="N4" s="5" t="str">
        <f t="shared" si="2"/>
        <v/>
      </c>
      <c r="Q4" t="str">
        <f t="shared" si="3"/>
        <v/>
      </c>
      <c r="R4" s="5" t="str">
        <f>IF(B4="","",SUMIFS(PRESENCES_INDEMNITES!$N$2:$N$501,PRESENCES_INDEMNITES!$B$2:$B$501,B4,PRESENCES_INDEMNITES!$S$2:$S$501,"CONFORME"))</f>
        <v/>
      </c>
      <c r="S4" s="5" t="str">
        <f>IF(B4="","",SUMIFS(REFERENTIEL_BUDGET!$J$2:$J$101,REFERENTIEL_BUDGET!$A$2:$A$101,B4,REFERENTIEL_BUDGET!$E$2:$E$101,G4))</f>
        <v/>
      </c>
      <c r="T4" t="str">
        <f>IF(B4="","",IF(COUNTIFS(PRESENCES_INDEMNITES!$B$2:$B$501,B4,PRESENCES_INDEMNITES!$S$2:$S$501,"&lt;&gt;CONFORME",PRESENCES_INDEMNITES!$S$2:$S$501,"&lt;&gt;")&gt;0,"Anomalie détectée",IF(R4&gt;S4,"Dépassement budget indemnités","Conforme")))</f>
        <v/>
      </c>
      <c r="V4" t="str">
        <f t="shared" si="4"/>
        <v/>
      </c>
    </row>
    <row r="5" spans="1:22">
      <c r="A5">
        <f t="shared" si="0"/>
        <v>4</v>
      </c>
      <c r="C5" t="str">
        <f>+IFERROR(VLOOKUP(ControlePJTable[[#This Row],[Code activité]],'LISTES ACTIVITES'!$A$1:$B$38,2,FALSE()),"")</f>
        <v/>
      </c>
      <c r="D5" s="3"/>
      <c r="E5" s="3"/>
      <c r="F5" s="3"/>
      <c r="J5" s="5"/>
      <c r="K5" s="5"/>
      <c r="L5" s="5"/>
      <c r="M5" s="5" t="str">
        <f t="shared" si="1"/>
        <v/>
      </c>
      <c r="N5" s="5" t="str">
        <f t="shared" si="2"/>
        <v/>
      </c>
      <c r="Q5" t="str">
        <f t="shared" si="3"/>
        <v/>
      </c>
      <c r="R5" s="5" t="str">
        <f>IF(B5="","",SUMIFS(PRESENCES_INDEMNITES!$N$2:$N$501,PRESENCES_INDEMNITES!$B$2:$B$501,B5,PRESENCES_INDEMNITES!$S$2:$S$501,"CONFORME"))</f>
        <v/>
      </c>
      <c r="S5" s="5" t="str">
        <f>IF(B5="","",SUMIFS(REFERENTIEL_BUDGET!$J$2:$J$101,REFERENTIEL_BUDGET!$A$2:$A$101,B5,REFERENTIEL_BUDGET!$E$2:$E$101,G5))</f>
        <v/>
      </c>
      <c r="T5" t="str">
        <f>IF(B5="","",IF(COUNTIFS(PRESENCES_INDEMNITES!$B$2:$B$501,B5,PRESENCES_INDEMNITES!$S$2:$S$501,"&lt;&gt;CONFORME",PRESENCES_INDEMNITES!$S$2:$S$501,"&lt;&gt;")&gt;0,"Anomalie détectée",IF(R5&gt;S5,"Dépassement budget indemnités","Conforme")))</f>
        <v/>
      </c>
      <c r="V5" t="str">
        <f t="shared" si="4"/>
        <v/>
      </c>
    </row>
    <row r="6" spans="1:22">
      <c r="A6">
        <f t="shared" si="0"/>
        <v>5</v>
      </c>
      <c r="C6" t="str">
        <f>+IFERROR(VLOOKUP(ControlePJTable[[#This Row],[Code activité]],'LISTES ACTIVITES'!$A$1:$B$38,2,FALSE()),"")</f>
        <v/>
      </c>
      <c r="D6" s="3"/>
      <c r="E6" s="3"/>
      <c r="F6" s="3"/>
      <c r="J6" s="5"/>
      <c r="K6" s="5"/>
      <c r="L6" s="5"/>
      <c r="M6" s="5" t="str">
        <f t="shared" si="1"/>
        <v/>
      </c>
      <c r="N6" s="5" t="str">
        <f t="shared" si="2"/>
        <v/>
      </c>
      <c r="Q6" t="str">
        <f t="shared" si="3"/>
        <v/>
      </c>
      <c r="R6" s="5" t="str">
        <f>IF(B6="","",SUMIFS(PRESENCES_INDEMNITES!$N$2:$N$501,PRESENCES_INDEMNITES!$B$2:$B$501,B6,PRESENCES_INDEMNITES!$S$2:$S$501,"CONFORME"))</f>
        <v/>
      </c>
      <c r="S6" s="5" t="str">
        <f>IF(B6="","",SUMIFS(REFERENTIEL_BUDGET!$J$2:$J$101,REFERENTIEL_BUDGET!$A$2:$A$101,B6,REFERENTIEL_BUDGET!$E$2:$E$101,G6))</f>
        <v/>
      </c>
      <c r="T6" t="str">
        <f>IF(B6="","",IF(COUNTIFS(PRESENCES_INDEMNITES!$B$2:$B$501,B6,PRESENCES_INDEMNITES!$S$2:$S$501,"&lt;&gt;CONFORME",PRESENCES_INDEMNITES!$S$2:$S$501,"&lt;&gt;")&gt;0,"Anomalie détectée",IF(R6&gt;S6,"Dépassement budget indemnités","Conforme")))</f>
        <v/>
      </c>
      <c r="V6" t="str">
        <f t="shared" si="4"/>
        <v/>
      </c>
    </row>
    <row r="7" spans="1:22">
      <c r="A7">
        <f t="shared" si="0"/>
        <v>6</v>
      </c>
      <c r="C7" t="str">
        <f>+IFERROR(VLOOKUP(ControlePJTable[[#This Row],[Code activité]],'LISTES ACTIVITES'!$A$1:$B$38,2,FALSE()),"")</f>
        <v/>
      </c>
      <c r="D7" s="3"/>
      <c r="E7" s="3"/>
      <c r="F7" s="3"/>
      <c r="J7" s="5"/>
      <c r="K7" s="5"/>
      <c r="L7" s="5"/>
      <c r="M7" s="5" t="str">
        <f t="shared" si="1"/>
        <v/>
      </c>
      <c r="N7" s="5" t="str">
        <f t="shared" si="2"/>
        <v/>
      </c>
      <c r="Q7" t="str">
        <f t="shared" si="3"/>
        <v/>
      </c>
      <c r="R7" s="5" t="str">
        <f>IF(B7="","",SUMIFS(PRESENCES_INDEMNITES!$N$2:$N$501,PRESENCES_INDEMNITES!$B$2:$B$501,B7,PRESENCES_INDEMNITES!$S$2:$S$501,"CONFORME"))</f>
        <v/>
      </c>
      <c r="S7" s="5" t="str">
        <f>IF(B7="","",SUMIFS(REFERENTIEL_BUDGET!$J$2:$J$101,REFERENTIEL_BUDGET!$A$2:$A$101,B7,REFERENTIEL_BUDGET!$E$2:$E$101,G7))</f>
        <v/>
      </c>
      <c r="T7" t="str">
        <f>IF(B7="","",IF(COUNTIFS(PRESENCES_INDEMNITES!$B$2:$B$501,B7,PRESENCES_INDEMNITES!$S$2:$S$501,"&lt;&gt;CONFORME",PRESENCES_INDEMNITES!$S$2:$S$501,"&lt;&gt;")&gt;0,"Anomalie détectée",IF(R7&gt;S7,"Dépassement budget indemnités","Conforme")))</f>
        <v/>
      </c>
      <c r="V7" t="str">
        <f t="shared" si="4"/>
        <v/>
      </c>
    </row>
    <row r="8" spans="1:22">
      <c r="A8">
        <f t="shared" si="0"/>
        <v>7</v>
      </c>
      <c r="C8" t="str">
        <f>+IFERROR(VLOOKUP(ControlePJTable[[#This Row],[Code activité]],'LISTES ACTIVITES'!$A$1:$B$38,2,FALSE()),"")</f>
        <v/>
      </c>
      <c r="D8" s="3"/>
      <c r="E8" s="3"/>
      <c r="F8" s="3"/>
      <c r="J8" s="5"/>
      <c r="K8" s="5"/>
      <c r="L8" s="5"/>
      <c r="M8" s="5" t="str">
        <f t="shared" si="1"/>
        <v/>
      </c>
      <c r="N8" s="5" t="str">
        <f t="shared" si="2"/>
        <v/>
      </c>
      <c r="Q8" t="str">
        <f t="shared" si="3"/>
        <v/>
      </c>
      <c r="R8" s="5" t="str">
        <f>IF(B8="","",SUMIFS(PRESENCES_INDEMNITES!$N$2:$N$501,PRESENCES_INDEMNITES!$B$2:$B$501,B8,PRESENCES_INDEMNITES!$S$2:$S$501,"CONFORME"))</f>
        <v/>
      </c>
      <c r="S8" s="5" t="str">
        <f>IF(B8="","",SUMIFS(REFERENTIEL_BUDGET!$J$2:$J$101,REFERENTIEL_BUDGET!$A$2:$A$101,B8,REFERENTIEL_BUDGET!$E$2:$E$101,G8))</f>
        <v/>
      </c>
      <c r="T8" t="str">
        <f>IF(B8="","",IF(COUNTIFS(PRESENCES_INDEMNITES!$B$2:$B$501,B8,PRESENCES_INDEMNITES!$S$2:$S$501,"&lt;&gt;CONFORME",PRESENCES_INDEMNITES!$S$2:$S$501,"&lt;&gt;")&gt;0,"Anomalie détectée",IF(R8&gt;S8,"Dépassement budget indemnités","Conforme")))</f>
        <v/>
      </c>
      <c r="V8" t="str">
        <f t="shared" si="4"/>
        <v/>
      </c>
    </row>
    <row r="9" spans="1:22">
      <c r="A9">
        <f t="shared" si="0"/>
        <v>8</v>
      </c>
      <c r="C9" t="str">
        <f>+IFERROR(VLOOKUP(ControlePJTable[[#This Row],[Code activité]],'LISTES ACTIVITES'!$A$1:$B$38,2,FALSE()),"")</f>
        <v/>
      </c>
      <c r="D9" s="3"/>
      <c r="E9" s="3"/>
      <c r="F9" s="3"/>
      <c r="J9" s="5"/>
      <c r="K9" s="5"/>
      <c r="L9" s="5"/>
      <c r="M9" s="5" t="str">
        <f t="shared" si="1"/>
        <v/>
      </c>
      <c r="N9" s="5" t="str">
        <f t="shared" si="2"/>
        <v/>
      </c>
      <c r="Q9" t="str">
        <f t="shared" si="3"/>
        <v/>
      </c>
      <c r="R9" s="5" t="str">
        <f>IF(B9="","",SUMIFS(PRESENCES_INDEMNITES!$N$2:$N$501,PRESENCES_INDEMNITES!$B$2:$B$501,B9,PRESENCES_INDEMNITES!$S$2:$S$501,"CONFORME"))</f>
        <v/>
      </c>
      <c r="S9" s="5" t="str">
        <f>IF(B9="","",SUMIFS(REFERENTIEL_BUDGET!$J$2:$J$101,REFERENTIEL_BUDGET!$A$2:$A$101,B9,REFERENTIEL_BUDGET!$E$2:$E$101,G9))</f>
        <v/>
      </c>
      <c r="T9" t="str">
        <f>IF(B9="","",IF(COUNTIFS(PRESENCES_INDEMNITES!$B$2:$B$501,B9,PRESENCES_INDEMNITES!$S$2:$S$501,"&lt;&gt;CONFORME",PRESENCES_INDEMNITES!$S$2:$S$501,"&lt;&gt;")&gt;0,"Anomalie détectée",IF(R9&gt;S9,"Dépassement budget indemnités","Conforme")))</f>
        <v/>
      </c>
      <c r="V9" t="str">
        <f t="shared" si="4"/>
        <v/>
      </c>
    </row>
    <row r="10" spans="1:22">
      <c r="A10">
        <f t="shared" si="0"/>
        <v>9</v>
      </c>
      <c r="C10" t="str">
        <f>+IFERROR(VLOOKUP(ControlePJTable[[#This Row],[Code activité]],'LISTES ACTIVITES'!$A$1:$B$38,2,FALSE()),"")</f>
        <v/>
      </c>
      <c r="D10" s="3"/>
      <c r="E10" s="3"/>
      <c r="F10" s="3"/>
      <c r="J10" s="5"/>
      <c r="K10" s="5"/>
      <c r="L10" s="5"/>
      <c r="M10" s="5" t="str">
        <f t="shared" si="1"/>
        <v/>
      </c>
      <c r="N10" s="5" t="str">
        <f t="shared" si="2"/>
        <v/>
      </c>
      <c r="Q10" t="str">
        <f t="shared" si="3"/>
        <v/>
      </c>
      <c r="R10" s="5" t="str">
        <f>IF(B10="","",SUMIFS(PRESENCES_INDEMNITES!$N$2:$N$501,PRESENCES_INDEMNITES!$B$2:$B$501,B10,PRESENCES_INDEMNITES!$S$2:$S$501,"CONFORME"))</f>
        <v/>
      </c>
      <c r="S10" s="5" t="str">
        <f>IF(B10="","",SUMIFS(REFERENTIEL_BUDGET!$J$2:$J$101,REFERENTIEL_BUDGET!$A$2:$A$101,B10,REFERENTIEL_BUDGET!$E$2:$E$101,"Indemnités participants"))</f>
        <v/>
      </c>
      <c r="T10" t="str">
        <f>IF(B10="","",IF(COUNTIFS(PRESENCES_INDEMNITES!$B$2:$B$501,B10,PRESENCES_INDEMNITES!$S$2:$S$501,"&lt;&gt;CONFORME",PRESENCES_INDEMNITES!$S$2:$S$501,"&lt;&gt;")&gt;0,"Anomalie détectée",IF(R10&gt;S10,"Dépassement budget indemnités","Conforme")))</f>
        <v/>
      </c>
      <c r="V10" t="str">
        <f t="shared" si="4"/>
        <v/>
      </c>
    </row>
    <row r="11" spans="1:22">
      <c r="A11">
        <f t="shared" si="0"/>
        <v>10</v>
      </c>
      <c r="C11" t="str">
        <f>+IFERROR(VLOOKUP(ControlePJTable[[#This Row],[Code activité]],'LISTES ACTIVITES'!$A$1:$B$38,2,FALSE()),"")</f>
        <v/>
      </c>
      <c r="D11" s="3"/>
      <c r="E11" s="3"/>
      <c r="F11" s="3"/>
      <c r="J11" s="5"/>
      <c r="K11" s="5"/>
      <c r="L11" s="5"/>
      <c r="M11" s="5" t="str">
        <f t="shared" si="1"/>
        <v/>
      </c>
      <c r="N11" s="5" t="str">
        <f t="shared" si="2"/>
        <v/>
      </c>
      <c r="Q11" t="str">
        <f t="shared" si="3"/>
        <v/>
      </c>
      <c r="R11" s="5" t="str">
        <f>IF(B11="","",SUMIFS(PRESENCES_INDEMNITES!$N$2:$N$501,PRESENCES_INDEMNITES!$B$2:$B$501,B11,PRESENCES_INDEMNITES!$S$2:$S$501,"CONFORME"))</f>
        <v/>
      </c>
      <c r="S11" s="5" t="str">
        <f>IF(B11="","",SUMIFS(REFERENTIEL_BUDGET!$J$2:$J$101,REFERENTIEL_BUDGET!$A$2:$A$101,B11,REFERENTIEL_BUDGET!$E$2:$E$101,"Indemnités participants"))</f>
        <v/>
      </c>
      <c r="T11" t="str">
        <f>IF(B11="","",IF(COUNTIFS(PRESENCES_INDEMNITES!$B$2:$B$501,B11,PRESENCES_INDEMNITES!$S$2:$S$501,"&lt;&gt;CONFORME",PRESENCES_INDEMNITES!$S$2:$S$501,"&lt;&gt;")&gt;0,"Anomalie détectée",IF(R11&gt;S11,"Dépassement budget indemnités","Conforme")))</f>
        <v/>
      </c>
      <c r="V11" t="str">
        <f t="shared" si="4"/>
        <v/>
      </c>
    </row>
    <row r="12" spans="1:22">
      <c r="A12">
        <f t="shared" si="0"/>
        <v>11</v>
      </c>
      <c r="C12" t="str">
        <f>+IFERROR(VLOOKUP(ControlePJTable[[#This Row],[Code activité]],'LISTES ACTIVITES'!$A$1:$B$38,2,FALSE()),"")</f>
        <v/>
      </c>
      <c r="D12" s="3"/>
      <c r="E12" s="3"/>
      <c r="F12" s="3"/>
      <c r="J12" s="5"/>
      <c r="K12" s="5"/>
      <c r="L12" s="5"/>
      <c r="M12" s="5" t="str">
        <f t="shared" si="1"/>
        <v/>
      </c>
      <c r="N12" s="5" t="str">
        <f t="shared" si="2"/>
        <v/>
      </c>
      <c r="Q12" t="str">
        <f t="shared" si="3"/>
        <v/>
      </c>
      <c r="R12" s="5" t="str">
        <f>IF(B12="","",SUMIFS(PRESENCES_INDEMNITES!$N$2:$N$501,PRESENCES_INDEMNITES!$B$2:$B$501,B12,PRESENCES_INDEMNITES!$S$2:$S$501,"CONFORME"))</f>
        <v/>
      </c>
      <c r="S12" s="5" t="str">
        <f>IF(B12="","",SUMIFS(REFERENTIEL_BUDGET!$J$2:$J$101,REFERENTIEL_BUDGET!$A$2:$A$101,B12,REFERENTIEL_BUDGET!$E$2:$E$101,"Indemnités participants"))</f>
        <v/>
      </c>
      <c r="T12" t="str">
        <f>IF(B12="","",IF(COUNTIFS(PRESENCES_INDEMNITES!$B$2:$B$501,B12,PRESENCES_INDEMNITES!$S$2:$S$501,"&lt;&gt;CONFORME",PRESENCES_INDEMNITES!$S$2:$S$501,"&lt;&gt;")&gt;0,"Anomalie détectée",IF(R12&gt;S12,"Dépassement budget indemnités","Conforme")))</f>
        <v/>
      </c>
      <c r="V12" t="str">
        <f t="shared" si="4"/>
        <v/>
      </c>
    </row>
    <row r="13" spans="1:22">
      <c r="A13">
        <f t="shared" si="0"/>
        <v>12</v>
      </c>
      <c r="C13" t="str">
        <f>+IFERROR(VLOOKUP(ControlePJTable[[#This Row],[Code activité]],'LISTES ACTIVITES'!$A$1:$B$38,2,FALSE()),"")</f>
        <v/>
      </c>
      <c r="D13" s="3"/>
      <c r="E13" s="3"/>
      <c r="F13" s="3"/>
      <c r="J13" s="5"/>
      <c r="K13" s="5"/>
      <c r="L13" s="5"/>
      <c r="M13" s="5" t="str">
        <f t="shared" si="1"/>
        <v/>
      </c>
      <c r="N13" s="5" t="str">
        <f t="shared" si="2"/>
        <v/>
      </c>
      <c r="Q13" t="str">
        <f t="shared" si="3"/>
        <v/>
      </c>
      <c r="R13" s="5" t="str">
        <f>IF(B13="","",SUMIFS(PRESENCES_INDEMNITES!$N$2:$N$501,PRESENCES_INDEMNITES!$B$2:$B$501,B13,PRESENCES_INDEMNITES!$S$2:$S$501,"CONFORME"))</f>
        <v/>
      </c>
      <c r="S13" s="5" t="str">
        <f>IF(B13="","",SUMIFS(REFERENTIEL_BUDGET!$J$2:$J$101,REFERENTIEL_BUDGET!$A$2:$A$101,B13,REFERENTIEL_BUDGET!$E$2:$E$101,"Indemnités participants"))</f>
        <v/>
      </c>
      <c r="T13" t="str">
        <f>IF(B13="","",IF(COUNTIFS(PRESENCES_INDEMNITES!$B$2:$B$501,B13,PRESENCES_INDEMNITES!$S$2:$S$501,"&lt;&gt;CONFORME",PRESENCES_INDEMNITES!$S$2:$S$501,"&lt;&gt;")&gt;0,"Anomalie détectée",IF(R13&gt;S13,"Dépassement budget indemnités","Conforme")))</f>
        <v/>
      </c>
      <c r="V13" t="str">
        <f t="shared" si="4"/>
        <v/>
      </c>
    </row>
    <row r="14" spans="1:22">
      <c r="A14">
        <f t="shared" si="0"/>
        <v>13</v>
      </c>
      <c r="C14" t="str">
        <f>+IFERROR(VLOOKUP(ControlePJTable[[#This Row],[Code activité]],'LISTES ACTIVITES'!$A$1:$B$38,2,FALSE()),"")</f>
        <v/>
      </c>
      <c r="D14" s="3"/>
      <c r="E14" s="3"/>
      <c r="F14" s="3"/>
      <c r="J14" s="5"/>
      <c r="K14" s="5"/>
      <c r="L14" s="5"/>
      <c r="M14" s="5" t="str">
        <f t="shared" si="1"/>
        <v/>
      </c>
      <c r="N14" s="5" t="str">
        <f t="shared" si="2"/>
        <v/>
      </c>
      <c r="Q14" t="str">
        <f t="shared" si="3"/>
        <v/>
      </c>
      <c r="R14" s="5" t="str">
        <f>IF(B14="","",SUMIFS(PRESENCES_INDEMNITES!$N$2:$N$501,PRESENCES_INDEMNITES!$B$2:$B$501,B14,PRESENCES_INDEMNITES!$S$2:$S$501,"CONFORME"))</f>
        <v/>
      </c>
      <c r="S14" s="5" t="str">
        <f>IF(B14="","",SUMIFS(REFERENTIEL_BUDGET!$J$2:$J$101,REFERENTIEL_BUDGET!$A$2:$A$101,B14,REFERENTIEL_BUDGET!$E$2:$E$101,"Indemnités participants"))</f>
        <v/>
      </c>
      <c r="T14" t="str">
        <f>IF(B14="","",IF(COUNTIFS(PRESENCES_INDEMNITES!$B$2:$B$501,B14,PRESENCES_INDEMNITES!$S$2:$S$501,"&lt;&gt;CONFORME",PRESENCES_INDEMNITES!$S$2:$S$501,"&lt;&gt;")&gt;0,"Anomalie détectée",IF(R14&gt;S14,"Dépassement budget indemnités","Conforme")))</f>
        <v/>
      </c>
      <c r="V14" t="str">
        <f t="shared" si="4"/>
        <v/>
      </c>
    </row>
    <row r="15" spans="1:22">
      <c r="A15">
        <f t="shared" si="0"/>
        <v>14</v>
      </c>
      <c r="C15" t="str">
        <f>+IFERROR(VLOOKUP(ControlePJTable[[#This Row],[Code activité]],'LISTES ACTIVITES'!$A$1:$B$38,2,FALSE()),"")</f>
        <v/>
      </c>
      <c r="D15" s="3"/>
      <c r="E15" s="3"/>
      <c r="F15" s="3"/>
      <c r="J15" s="5"/>
      <c r="K15" s="5"/>
      <c r="L15" s="5"/>
      <c r="M15" s="5" t="str">
        <f t="shared" si="1"/>
        <v/>
      </c>
      <c r="N15" s="5" t="str">
        <f t="shared" si="2"/>
        <v/>
      </c>
      <c r="Q15" t="str">
        <f t="shared" si="3"/>
        <v/>
      </c>
      <c r="R15" s="5" t="str">
        <f>IF(B15="","",SUMIFS(PRESENCES_INDEMNITES!$N$2:$N$501,PRESENCES_INDEMNITES!$B$2:$B$501,B15,PRESENCES_INDEMNITES!$S$2:$S$501,"CONFORME"))</f>
        <v/>
      </c>
      <c r="S15" s="5" t="str">
        <f>IF(B15="","",SUMIFS(REFERENTIEL_BUDGET!$J$2:$J$101,REFERENTIEL_BUDGET!$A$2:$A$101,B15,REFERENTIEL_BUDGET!$E$2:$E$101,"Indemnités participants"))</f>
        <v/>
      </c>
      <c r="T15" t="str">
        <f>IF(B15="","",IF(COUNTIFS(PRESENCES_INDEMNITES!$B$2:$B$501,B15,PRESENCES_INDEMNITES!$S$2:$S$501,"&lt;&gt;CONFORME",PRESENCES_INDEMNITES!$S$2:$S$501,"&lt;&gt;")&gt;0,"Anomalie détectée",IF(R15&gt;S15,"Dépassement budget indemnités","Conforme")))</f>
        <v/>
      </c>
      <c r="V15" t="str">
        <f t="shared" si="4"/>
        <v/>
      </c>
    </row>
    <row r="16" spans="1:22">
      <c r="A16">
        <f t="shared" si="0"/>
        <v>15</v>
      </c>
      <c r="C16" t="str">
        <f>+IFERROR(VLOOKUP(ControlePJTable[[#This Row],[Code activité]],'LISTES ACTIVITES'!$A$1:$B$38,2,FALSE()),"")</f>
        <v/>
      </c>
      <c r="D16" s="3"/>
      <c r="E16" s="3"/>
      <c r="F16" s="3"/>
      <c r="J16" s="5"/>
      <c r="K16" s="5"/>
      <c r="L16" s="5"/>
      <c r="M16" s="5" t="str">
        <f t="shared" si="1"/>
        <v/>
      </c>
      <c r="N16" s="5" t="str">
        <f t="shared" si="2"/>
        <v/>
      </c>
      <c r="Q16" t="str">
        <f t="shared" si="3"/>
        <v/>
      </c>
      <c r="R16" s="5" t="str">
        <f>IF(B16="","",SUMIFS(PRESENCES_INDEMNITES!$N$2:$N$501,PRESENCES_INDEMNITES!$B$2:$B$501,B16,PRESENCES_INDEMNITES!$S$2:$S$501,"CONFORME"))</f>
        <v/>
      </c>
      <c r="S16" s="5" t="str">
        <f>IF(B16="","",SUMIFS(REFERENTIEL_BUDGET!$J$2:$J$101,REFERENTIEL_BUDGET!$A$2:$A$101,B16,REFERENTIEL_BUDGET!$E$2:$E$101,"Indemnités participants"))</f>
        <v/>
      </c>
      <c r="T16" t="str">
        <f>IF(B16="","",IF(COUNTIFS(PRESENCES_INDEMNITES!$B$2:$B$501,B16,PRESENCES_INDEMNITES!$S$2:$S$501,"&lt;&gt;CONFORME",PRESENCES_INDEMNITES!$S$2:$S$501,"&lt;&gt;")&gt;0,"Anomalie détectée",IF(R16&gt;S16,"Dépassement budget indemnités","Conforme")))</f>
        <v/>
      </c>
      <c r="V16" t="str">
        <f t="shared" si="4"/>
        <v/>
      </c>
    </row>
    <row r="17" spans="1:22">
      <c r="A17">
        <f t="shared" si="0"/>
        <v>16</v>
      </c>
      <c r="C17" t="str">
        <f>+IFERROR(VLOOKUP(ControlePJTable[[#This Row],[Code activité]],'LISTES ACTIVITES'!$A$1:$B$38,2,FALSE()),"")</f>
        <v/>
      </c>
      <c r="D17" s="3"/>
      <c r="E17" s="3"/>
      <c r="F17" s="3"/>
      <c r="J17" s="5"/>
      <c r="K17" s="5"/>
      <c r="L17" s="5"/>
      <c r="M17" s="5" t="str">
        <f t="shared" si="1"/>
        <v/>
      </c>
      <c r="N17" s="5" t="str">
        <f t="shared" si="2"/>
        <v/>
      </c>
      <c r="Q17" t="str">
        <f t="shared" si="3"/>
        <v/>
      </c>
      <c r="R17" s="5" t="str">
        <f>IF(B17="","",SUMIFS(PRESENCES_INDEMNITES!$N$2:$N$501,PRESENCES_INDEMNITES!$B$2:$B$501,B17,PRESENCES_INDEMNITES!$S$2:$S$501,"CONFORME"))</f>
        <v/>
      </c>
      <c r="S17" s="5" t="str">
        <f>IF(B17="","",SUMIFS(REFERENTIEL_BUDGET!$J$2:$J$101,REFERENTIEL_BUDGET!$A$2:$A$101,B17,REFERENTIEL_BUDGET!$E$2:$E$101,"Indemnités participants"))</f>
        <v/>
      </c>
      <c r="T17" t="str">
        <f>IF(B17="","",IF(COUNTIFS(PRESENCES_INDEMNITES!$B$2:$B$501,B17,PRESENCES_INDEMNITES!$S$2:$S$501,"&lt;&gt;CONFORME",PRESENCES_INDEMNITES!$S$2:$S$501,"&lt;&gt;")&gt;0,"Anomalie détectée",IF(R17&gt;S17,"Dépassement budget indemnités","Conforme")))</f>
        <v/>
      </c>
      <c r="V17" t="str">
        <f t="shared" si="4"/>
        <v/>
      </c>
    </row>
    <row r="18" spans="1:22">
      <c r="A18">
        <f t="shared" si="0"/>
        <v>17</v>
      </c>
      <c r="C18" t="str">
        <f>+IFERROR(VLOOKUP(ControlePJTable[[#This Row],[Code activité]],'LISTES ACTIVITES'!$A$1:$B$38,2,FALSE()),"")</f>
        <v/>
      </c>
      <c r="D18" s="3"/>
      <c r="E18" s="3"/>
      <c r="F18" s="3"/>
      <c r="J18" s="5"/>
      <c r="K18" s="5"/>
      <c r="L18" s="5"/>
      <c r="M18" s="5" t="str">
        <f t="shared" si="1"/>
        <v/>
      </c>
      <c r="N18" s="5" t="str">
        <f t="shared" si="2"/>
        <v/>
      </c>
      <c r="Q18" t="str">
        <f t="shared" si="3"/>
        <v/>
      </c>
      <c r="R18" s="5" t="str">
        <f>IF(B18="","",SUMIFS(PRESENCES_INDEMNITES!$N$2:$N$501,PRESENCES_INDEMNITES!$B$2:$B$501,B18,PRESENCES_INDEMNITES!$S$2:$S$501,"CONFORME"))</f>
        <v/>
      </c>
      <c r="S18" s="5" t="str">
        <f>IF(B18="","",SUMIFS(REFERENTIEL_BUDGET!$J$2:$J$101,REFERENTIEL_BUDGET!$A$2:$A$101,B18,REFERENTIEL_BUDGET!$E$2:$E$101,"Indemnités participants"))</f>
        <v/>
      </c>
      <c r="T18" t="str">
        <f>IF(B18="","",IF(COUNTIFS(PRESENCES_INDEMNITES!$B$2:$B$501,B18,PRESENCES_INDEMNITES!$S$2:$S$501,"&lt;&gt;CONFORME",PRESENCES_INDEMNITES!$S$2:$S$501,"&lt;&gt;")&gt;0,"Anomalie détectée",IF(R18&gt;S18,"Dépassement budget indemnités","Conforme")))</f>
        <v/>
      </c>
      <c r="V18" t="str">
        <f t="shared" si="4"/>
        <v/>
      </c>
    </row>
    <row r="19" spans="1:22">
      <c r="A19">
        <f t="shared" si="0"/>
        <v>18</v>
      </c>
      <c r="C19" t="str">
        <f>+IFERROR(VLOOKUP(ControlePJTable[[#This Row],[Code activité]],'LISTES ACTIVITES'!$A$1:$B$38,2,FALSE()),"")</f>
        <v/>
      </c>
      <c r="D19" s="3"/>
      <c r="E19" s="3"/>
      <c r="F19" s="3"/>
      <c r="J19" s="5"/>
      <c r="K19" s="5"/>
      <c r="L19" s="5"/>
      <c r="M19" s="5" t="str">
        <f t="shared" si="1"/>
        <v/>
      </c>
      <c r="N19" s="5" t="str">
        <f t="shared" si="2"/>
        <v/>
      </c>
      <c r="Q19" t="str">
        <f t="shared" si="3"/>
        <v/>
      </c>
      <c r="R19" s="5" t="str">
        <f>IF(B19="","",SUMIFS(PRESENCES_INDEMNITES!$N$2:$N$501,PRESENCES_INDEMNITES!$B$2:$B$501,B19,PRESENCES_INDEMNITES!$S$2:$S$501,"CONFORME"))</f>
        <v/>
      </c>
      <c r="S19" s="5" t="str">
        <f>IF(B19="","",SUMIFS(REFERENTIEL_BUDGET!$J$2:$J$101,REFERENTIEL_BUDGET!$A$2:$A$101,B19,REFERENTIEL_BUDGET!$E$2:$E$101,"Indemnités participants"))</f>
        <v/>
      </c>
      <c r="T19" t="str">
        <f>IF(B19="","",IF(COUNTIFS(PRESENCES_INDEMNITES!$B$2:$B$501,B19,PRESENCES_INDEMNITES!$S$2:$S$501,"&lt;&gt;CONFORME",PRESENCES_INDEMNITES!$S$2:$S$501,"&lt;&gt;")&gt;0,"Anomalie détectée",IF(R19&gt;S19,"Dépassement budget indemnités","Conforme")))</f>
        <v/>
      </c>
      <c r="V19" t="str">
        <f t="shared" si="4"/>
        <v/>
      </c>
    </row>
    <row r="20" spans="1:22">
      <c r="A20">
        <f t="shared" si="0"/>
        <v>19</v>
      </c>
      <c r="C20" t="str">
        <f>+IFERROR(VLOOKUP(ControlePJTable[[#This Row],[Code activité]],'LISTES ACTIVITES'!$A$1:$B$38,2,FALSE()),"")</f>
        <v/>
      </c>
      <c r="D20" s="3"/>
      <c r="E20" s="3"/>
      <c r="F20" s="3"/>
      <c r="J20" s="5"/>
      <c r="K20" s="5"/>
      <c r="L20" s="5"/>
      <c r="M20" s="5" t="str">
        <f t="shared" si="1"/>
        <v/>
      </c>
      <c r="N20" s="5" t="str">
        <f t="shared" si="2"/>
        <v/>
      </c>
      <c r="Q20" t="str">
        <f t="shared" si="3"/>
        <v/>
      </c>
      <c r="R20" s="5" t="str">
        <f>IF(B20="","",SUMIFS(PRESENCES_INDEMNITES!$N$2:$N$501,PRESENCES_INDEMNITES!$B$2:$B$501,B20,PRESENCES_INDEMNITES!$S$2:$S$501,"CONFORME"))</f>
        <v/>
      </c>
      <c r="S20" s="5" t="str">
        <f>IF(B20="","",SUMIFS(REFERENTIEL_BUDGET!$J$2:$J$101,REFERENTIEL_BUDGET!$A$2:$A$101,B20,REFERENTIEL_BUDGET!$E$2:$E$101,"Indemnités participants"))</f>
        <v/>
      </c>
      <c r="T20" t="str">
        <f>IF(B20="","",IF(COUNTIFS(PRESENCES_INDEMNITES!$B$2:$B$501,B20,PRESENCES_INDEMNITES!$S$2:$S$501,"&lt;&gt;CONFORME",PRESENCES_INDEMNITES!$S$2:$S$501,"&lt;&gt;")&gt;0,"Anomalie détectée",IF(R20&gt;S20,"Dépassement budget indemnités","Conforme")))</f>
        <v/>
      </c>
      <c r="V20" t="str">
        <f t="shared" si="4"/>
        <v/>
      </c>
    </row>
    <row r="21" spans="1:22">
      <c r="A21">
        <f t="shared" si="0"/>
        <v>20</v>
      </c>
      <c r="C21" t="str">
        <f>+IFERROR(VLOOKUP(ControlePJTable[[#This Row],[Code activité]],'LISTES ACTIVITES'!$A$1:$B$38,2,FALSE()),"")</f>
        <v/>
      </c>
      <c r="D21" s="3"/>
      <c r="E21" s="3"/>
      <c r="F21" s="3"/>
      <c r="J21" s="5"/>
      <c r="K21" s="5"/>
      <c r="L21" s="5"/>
      <c r="M21" s="5" t="str">
        <f t="shared" si="1"/>
        <v/>
      </c>
      <c r="N21" s="5" t="str">
        <f t="shared" si="2"/>
        <v/>
      </c>
      <c r="Q21" t="str">
        <f t="shared" si="3"/>
        <v/>
      </c>
      <c r="R21" s="5" t="str">
        <f>IF(B21="","",SUMIFS(PRESENCES_INDEMNITES!$N$2:$N$501,PRESENCES_INDEMNITES!$B$2:$B$501,B21,PRESENCES_INDEMNITES!$S$2:$S$501,"CONFORME"))</f>
        <v/>
      </c>
      <c r="S21" s="5" t="str">
        <f>IF(B21="","",SUMIFS(REFERENTIEL_BUDGET!$J$2:$J$101,REFERENTIEL_BUDGET!$A$2:$A$101,B21,REFERENTIEL_BUDGET!$E$2:$E$101,"Indemnités participants"))</f>
        <v/>
      </c>
      <c r="T21" t="str">
        <f>IF(B21="","",IF(COUNTIFS(PRESENCES_INDEMNITES!$B$2:$B$501,B21,PRESENCES_INDEMNITES!$S$2:$S$501,"&lt;&gt;CONFORME",PRESENCES_INDEMNITES!$S$2:$S$501,"&lt;&gt;")&gt;0,"Anomalie détectée",IF(R21&gt;S21,"Dépassement budget indemnités","Conforme")))</f>
        <v/>
      </c>
      <c r="V21" t="str">
        <f t="shared" si="4"/>
        <v/>
      </c>
    </row>
    <row r="22" spans="1:22">
      <c r="A22">
        <f t="shared" si="0"/>
        <v>21</v>
      </c>
      <c r="C22" t="str">
        <f>+IFERROR(VLOOKUP(ControlePJTable[[#This Row],[Code activité]],'LISTES ACTIVITES'!$A$1:$B$38,2,FALSE()),"")</f>
        <v/>
      </c>
      <c r="D22" s="3"/>
      <c r="E22" s="3"/>
      <c r="F22" s="3"/>
      <c r="J22" s="5"/>
      <c r="K22" s="5"/>
      <c r="L22" s="5"/>
      <c r="M22" s="5" t="str">
        <f t="shared" si="1"/>
        <v/>
      </c>
      <c r="N22" s="5" t="str">
        <f t="shared" si="2"/>
        <v/>
      </c>
      <c r="Q22" t="str">
        <f t="shared" si="3"/>
        <v/>
      </c>
      <c r="R22" s="5" t="str">
        <f>IF(B22="","",SUMIFS(PRESENCES_INDEMNITES!$N$2:$N$501,PRESENCES_INDEMNITES!$B$2:$B$501,B22,PRESENCES_INDEMNITES!$S$2:$S$501,"CONFORME"))</f>
        <v/>
      </c>
      <c r="S22" s="5" t="str">
        <f>IF(B22="","",SUMIFS(REFERENTIEL_BUDGET!$J$2:$J$101,REFERENTIEL_BUDGET!$A$2:$A$101,B22,REFERENTIEL_BUDGET!$E$2:$E$101,"Indemnités participants"))</f>
        <v/>
      </c>
      <c r="T22" t="str">
        <f>IF(B22="","",IF(COUNTIFS(PRESENCES_INDEMNITES!$B$2:$B$501,B22,PRESENCES_INDEMNITES!$S$2:$S$501,"&lt;&gt;CONFORME",PRESENCES_INDEMNITES!$S$2:$S$501,"&lt;&gt;")&gt;0,"Anomalie détectée",IF(R22&gt;S22,"Dépassement budget indemnités","Conforme")))</f>
        <v/>
      </c>
      <c r="V22" t="str">
        <f t="shared" si="4"/>
        <v/>
      </c>
    </row>
    <row r="23" spans="1:22">
      <c r="A23">
        <f t="shared" si="0"/>
        <v>22</v>
      </c>
      <c r="C23" t="str">
        <f>+IFERROR(VLOOKUP(ControlePJTable[[#This Row],[Code activité]],'LISTES ACTIVITES'!$A$1:$B$38,2,FALSE()),"")</f>
        <v/>
      </c>
      <c r="D23" s="3"/>
      <c r="E23" s="3"/>
      <c r="F23" s="3"/>
      <c r="J23" s="5"/>
      <c r="K23" s="5"/>
      <c r="L23" s="5"/>
      <c r="M23" s="5" t="str">
        <f t="shared" si="1"/>
        <v/>
      </c>
      <c r="N23" s="5" t="str">
        <f t="shared" si="2"/>
        <v/>
      </c>
      <c r="Q23" t="str">
        <f t="shared" si="3"/>
        <v/>
      </c>
      <c r="R23" s="5" t="str">
        <f>IF(B23="","",SUMIFS(PRESENCES_INDEMNITES!$N$2:$N$501,PRESENCES_INDEMNITES!$B$2:$B$501,B23,PRESENCES_INDEMNITES!$S$2:$S$501,"CONFORME"))</f>
        <v/>
      </c>
      <c r="S23" s="5" t="str">
        <f>IF(B23="","",SUMIFS(REFERENTIEL_BUDGET!$J$2:$J$101,REFERENTIEL_BUDGET!$A$2:$A$101,B23,REFERENTIEL_BUDGET!$E$2:$E$101,"Indemnités participants"))</f>
        <v/>
      </c>
      <c r="T23" t="str">
        <f>IF(B23="","",IF(COUNTIFS(PRESENCES_INDEMNITES!$B$2:$B$501,B23,PRESENCES_INDEMNITES!$S$2:$S$501,"&lt;&gt;CONFORME",PRESENCES_INDEMNITES!$S$2:$S$501,"&lt;&gt;")&gt;0,"Anomalie détectée",IF(R23&gt;S23,"Dépassement budget indemnités","Conforme")))</f>
        <v/>
      </c>
      <c r="V23" t="str">
        <f t="shared" si="4"/>
        <v/>
      </c>
    </row>
    <row r="24" spans="1:22">
      <c r="A24">
        <f t="shared" si="0"/>
        <v>23</v>
      </c>
      <c r="C24" t="str">
        <f>+IFERROR(VLOOKUP(ControlePJTable[[#This Row],[Code activité]],'LISTES ACTIVITES'!$A$1:$B$38,2,FALSE()),"")</f>
        <v/>
      </c>
      <c r="D24" s="3"/>
      <c r="E24" s="3"/>
      <c r="F24" s="3"/>
      <c r="J24" s="5"/>
      <c r="K24" s="5"/>
      <c r="L24" s="5"/>
      <c r="M24" s="5" t="str">
        <f t="shared" si="1"/>
        <v/>
      </c>
      <c r="N24" s="5" t="str">
        <f t="shared" si="2"/>
        <v/>
      </c>
      <c r="Q24" t="str">
        <f t="shared" si="3"/>
        <v/>
      </c>
      <c r="R24" s="5" t="str">
        <f>IF(B24="","",SUMIFS(PRESENCES_INDEMNITES!$N$2:$N$501,PRESENCES_INDEMNITES!$B$2:$B$501,B24,PRESENCES_INDEMNITES!$S$2:$S$501,"CONFORME"))</f>
        <v/>
      </c>
      <c r="S24" s="5" t="str">
        <f>IF(B24="","",SUMIFS(REFERENTIEL_BUDGET!$J$2:$J$101,REFERENTIEL_BUDGET!$A$2:$A$101,B24,REFERENTIEL_BUDGET!$E$2:$E$101,"Indemnités participants"))</f>
        <v/>
      </c>
      <c r="T24" t="str">
        <f>IF(B24="","",IF(COUNTIFS(PRESENCES_INDEMNITES!$B$2:$B$501,B24,PRESENCES_INDEMNITES!$S$2:$S$501,"&lt;&gt;CONFORME",PRESENCES_INDEMNITES!$S$2:$S$501,"&lt;&gt;")&gt;0,"Anomalie détectée",IF(R24&gt;S24,"Dépassement budget indemnités","Conforme")))</f>
        <v/>
      </c>
      <c r="V24" t="str">
        <f t="shared" si="4"/>
        <v/>
      </c>
    </row>
    <row r="25" spans="1:22">
      <c r="A25">
        <f t="shared" si="0"/>
        <v>24</v>
      </c>
      <c r="C25" t="str">
        <f>+IFERROR(VLOOKUP(ControlePJTable[[#This Row],[Code activité]],'LISTES ACTIVITES'!$A$1:$B$38,2,FALSE()),"")</f>
        <v/>
      </c>
      <c r="D25" s="3"/>
      <c r="E25" s="3"/>
      <c r="F25" s="3"/>
      <c r="J25" s="5"/>
      <c r="K25" s="5"/>
      <c r="L25" s="5"/>
      <c r="M25" s="5" t="str">
        <f t="shared" si="1"/>
        <v/>
      </c>
      <c r="N25" s="5" t="str">
        <f t="shared" si="2"/>
        <v/>
      </c>
      <c r="Q25" t="str">
        <f t="shared" si="3"/>
        <v/>
      </c>
      <c r="R25" s="5" t="str">
        <f>IF(B25="","",SUMIFS(PRESENCES_INDEMNITES!$N$2:$N$501,PRESENCES_INDEMNITES!$B$2:$B$501,B25,PRESENCES_INDEMNITES!$S$2:$S$501,"CONFORME"))</f>
        <v/>
      </c>
      <c r="S25" s="5" t="str">
        <f>IF(B25="","",SUMIFS(REFERENTIEL_BUDGET!$J$2:$J$101,REFERENTIEL_BUDGET!$A$2:$A$101,B25,REFERENTIEL_BUDGET!$E$2:$E$101,"Indemnités participants"))</f>
        <v/>
      </c>
      <c r="T25" t="str">
        <f>IF(B25="","",IF(COUNTIFS(PRESENCES_INDEMNITES!$B$2:$B$501,B25,PRESENCES_INDEMNITES!$S$2:$S$501,"&lt;&gt;CONFORME",PRESENCES_INDEMNITES!$S$2:$S$501,"&lt;&gt;")&gt;0,"Anomalie détectée",IF(R25&gt;S25,"Dépassement budget indemnités","Conforme")))</f>
        <v/>
      </c>
      <c r="V25" t="str">
        <f t="shared" si="4"/>
        <v/>
      </c>
    </row>
    <row r="26" spans="1:22">
      <c r="A26">
        <f t="shared" si="0"/>
        <v>25</v>
      </c>
      <c r="C26" t="str">
        <f>+IFERROR(VLOOKUP(ControlePJTable[[#This Row],[Code activité]],'LISTES ACTIVITES'!$A$1:$B$38,2,FALSE()),"")</f>
        <v/>
      </c>
      <c r="D26" s="3"/>
      <c r="E26" s="3"/>
      <c r="F26" s="3"/>
      <c r="J26" s="5"/>
      <c r="K26" s="5"/>
      <c r="L26" s="5"/>
      <c r="M26" s="5" t="str">
        <f t="shared" si="1"/>
        <v/>
      </c>
      <c r="N26" s="5" t="str">
        <f t="shared" si="2"/>
        <v/>
      </c>
      <c r="Q26" t="str">
        <f t="shared" si="3"/>
        <v/>
      </c>
      <c r="R26" s="5" t="str">
        <f>IF(B26="","",SUMIFS(PRESENCES_INDEMNITES!$N$2:$N$501,PRESENCES_INDEMNITES!$B$2:$B$501,B26,PRESENCES_INDEMNITES!$S$2:$S$501,"CONFORME"))</f>
        <v/>
      </c>
      <c r="S26" s="5" t="str">
        <f>IF(B26="","",SUMIFS(REFERENTIEL_BUDGET!$J$2:$J$101,REFERENTIEL_BUDGET!$A$2:$A$101,B26,REFERENTIEL_BUDGET!$E$2:$E$101,"Indemnités participants"))</f>
        <v/>
      </c>
      <c r="T26" t="str">
        <f>IF(B26="","",IF(COUNTIFS(PRESENCES_INDEMNITES!$B$2:$B$501,B26,PRESENCES_INDEMNITES!$S$2:$S$501,"&lt;&gt;CONFORME",PRESENCES_INDEMNITES!$S$2:$S$501,"&lt;&gt;")&gt;0,"Anomalie détectée",IF(R26&gt;S26,"Dépassement budget indemnités","Conforme")))</f>
        <v/>
      </c>
      <c r="V26" t="str">
        <f t="shared" si="4"/>
        <v/>
      </c>
    </row>
    <row r="27" spans="1:22">
      <c r="A27">
        <f t="shared" si="0"/>
        <v>26</v>
      </c>
      <c r="C27" t="str">
        <f>+IFERROR(VLOOKUP(ControlePJTable[[#This Row],[Code activité]],'LISTES ACTIVITES'!$A$1:$B$38,2,FALSE()),"")</f>
        <v/>
      </c>
      <c r="D27" s="3"/>
      <c r="E27" s="3"/>
      <c r="F27" s="3"/>
      <c r="J27" s="5"/>
      <c r="K27" s="5"/>
      <c r="L27" s="5"/>
      <c r="M27" s="5" t="str">
        <f t="shared" si="1"/>
        <v/>
      </c>
      <c r="N27" s="5" t="str">
        <f t="shared" si="2"/>
        <v/>
      </c>
      <c r="Q27" t="str">
        <f t="shared" si="3"/>
        <v/>
      </c>
      <c r="R27" s="5" t="str">
        <f>IF(B27="","",SUMIFS(PRESENCES_INDEMNITES!$N$2:$N$501,PRESENCES_INDEMNITES!$B$2:$B$501,B27,PRESENCES_INDEMNITES!$S$2:$S$501,"CONFORME"))</f>
        <v/>
      </c>
      <c r="S27" s="5" t="str">
        <f>IF(B27="","",SUMIFS(REFERENTIEL_BUDGET!$J$2:$J$101,REFERENTIEL_BUDGET!$A$2:$A$101,B27,REFERENTIEL_BUDGET!$E$2:$E$101,"Indemnités participants"))</f>
        <v/>
      </c>
      <c r="T27" t="str">
        <f>IF(B27="","",IF(COUNTIFS(PRESENCES_INDEMNITES!$B$2:$B$501,B27,PRESENCES_INDEMNITES!$S$2:$S$501,"&lt;&gt;CONFORME",PRESENCES_INDEMNITES!$S$2:$S$501,"&lt;&gt;")&gt;0,"Anomalie détectée",IF(R27&gt;S27,"Dépassement budget indemnités","Conforme")))</f>
        <v/>
      </c>
      <c r="V27" t="str">
        <f t="shared" si="4"/>
        <v/>
      </c>
    </row>
    <row r="28" spans="1:22">
      <c r="A28">
        <f t="shared" si="0"/>
        <v>27</v>
      </c>
      <c r="C28" t="str">
        <f>+IFERROR(VLOOKUP(ControlePJTable[[#This Row],[Code activité]],'LISTES ACTIVITES'!$A$1:$B$38,2,FALSE()),"")</f>
        <v/>
      </c>
      <c r="D28" s="3"/>
      <c r="E28" s="3"/>
      <c r="F28" s="3"/>
      <c r="J28" s="5"/>
      <c r="K28" s="5"/>
      <c r="L28" s="5"/>
      <c r="M28" s="5" t="str">
        <f t="shared" si="1"/>
        <v/>
      </c>
      <c r="N28" s="5" t="str">
        <f t="shared" si="2"/>
        <v/>
      </c>
      <c r="Q28" t="str">
        <f t="shared" si="3"/>
        <v/>
      </c>
      <c r="R28" s="5" t="str">
        <f>IF(B28="","",SUMIFS(PRESENCES_INDEMNITES!$N$2:$N$501,PRESENCES_INDEMNITES!$B$2:$B$501,B28,PRESENCES_INDEMNITES!$S$2:$S$501,"CONFORME"))</f>
        <v/>
      </c>
      <c r="S28" s="5" t="str">
        <f>IF(B28="","",SUMIFS(REFERENTIEL_BUDGET!$J$2:$J$101,REFERENTIEL_BUDGET!$A$2:$A$101,B28,REFERENTIEL_BUDGET!$E$2:$E$101,"Indemnités participants"))</f>
        <v/>
      </c>
      <c r="T28" t="str">
        <f>IF(B28="","",IF(COUNTIFS(PRESENCES_INDEMNITES!$B$2:$B$501,B28,PRESENCES_INDEMNITES!$S$2:$S$501,"&lt;&gt;CONFORME",PRESENCES_INDEMNITES!$S$2:$S$501,"&lt;&gt;")&gt;0,"Anomalie détectée",IF(R28&gt;S28,"Dépassement budget indemnités","Conforme")))</f>
        <v/>
      </c>
      <c r="V28" t="str">
        <f t="shared" si="4"/>
        <v/>
      </c>
    </row>
    <row r="29" spans="1:22">
      <c r="A29">
        <f t="shared" si="0"/>
        <v>28</v>
      </c>
      <c r="C29" t="str">
        <f>+IFERROR(VLOOKUP(ControlePJTable[[#This Row],[Code activité]],'LISTES ACTIVITES'!$A$1:$B$38,2,FALSE()),"")</f>
        <v/>
      </c>
      <c r="D29" s="3"/>
      <c r="E29" s="3"/>
      <c r="F29" s="3"/>
      <c r="J29" s="5"/>
      <c r="K29" s="5"/>
      <c r="L29" s="5"/>
      <c r="M29" s="5" t="str">
        <f t="shared" si="1"/>
        <v/>
      </c>
      <c r="N29" s="5" t="str">
        <f t="shared" si="2"/>
        <v/>
      </c>
      <c r="Q29" t="str">
        <f t="shared" si="3"/>
        <v/>
      </c>
      <c r="R29" s="5" t="str">
        <f>IF(B29="","",SUMIFS(PRESENCES_INDEMNITES!$N$2:$N$501,PRESENCES_INDEMNITES!$B$2:$B$501,B29,PRESENCES_INDEMNITES!$S$2:$S$501,"CONFORME"))</f>
        <v/>
      </c>
      <c r="S29" s="5" t="str">
        <f>IF(B29="","",SUMIFS(REFERENTIEL_BUDGET!$J$2:$J$101,REFERENTIEL_BUDGET!$A$2:$A$101,B29,REFERENTIEL_BUDGET!$E$2:$E$101,"Indemnités participants"))</f>
        <v/>
      </c>
      <c r="T29" t="str">
        <f>IF(B29="","",IF(COUNTIFS(PRESENCES_INDEMNITES!$B$2:$B$501,B29,PRESENCES_INDEMNITES!$S$2:$S$501,"&lt;&gt;CONFORME",PRESENCES_INDEMNITES!$S$2:$S$501,"&lt;&gt;")&gt;0,"Anomalie détectée",IF(R29&gt;S29,"Dépassement budget indemnités","Conforme")))</f>
        <v/>
      </c>
      <c r="V29" t="str">
        <f t="shared" si="4"/>
        <v/>
      </c>
    </row>
    <row r="30" spans="1:22">
      <c r="A30">
        <f t="shared" si="0"/>
        <v>29</v>
      </c>
      <c r="C30" t="str">
        <f>+IFERROR(VLOOKUP(ControlePJTable[[#This Row],[Code activité]],'LISTES ACTIVITES'!$A$1:$B$38,2,FALSE()),"")</f>
        <v/>
      </c>
      <c r="D30" s="3"/>
      <c r="E30" s="3"/>
      <c r="F30" s="3"/>
      <c r="J30" s="5"/>
      <c r="K30" s="5"/>
      <c r="L30" s="5"/>
      <c r="M30" s="5" t="str">
        <f t="shared" si="1"/>
        <v/>
      </c>
      <c r="N30" s="5" t="str">
        <f t="shared" si="2"/>
        <v/>
      </c>
      <c r="Q30" t="str">
        <f t="shared" si="3"/>
        <v/>
      </c>
      <c r="R30" s="5" t="str">
        <f>IF(B30="","",SUMIFS(PRESENCES_INDEMNITES!$N$2:$N$501,PRESENCES_INDEMNITES!$B$2:$B$501,B30,PRESENCES_INDEMNITES!$S$2:$S$501,"CONFORME"))</f>
        <v/>
      </c>
      <c r="S30" s="5" t="str">
        <f>IF(B30="","",SUMIFS(REFERENTIEL_BUDGET!$J$2:$J$101,REFERENTIEL_BUDGET!$A$2:$A$101,B30,REFERENTIEL_BUDGET!$E$2:$E$101,"Indemnités participants"))</f>
        <v/>
      </c>
      <c r="T30" t="str">
        <f>IF(B30="","",IF(COUNTIFS(PRESENCES_INDEMNITES!$B$2:$B$501,B30,PRESENCES_INDEMNITES!$S$2:$S$501,"&lt;&gt;CONFORME",PRESENCES_INDEMNITES!$S$2:$S$501,"&lt;&gt;")&gt;0,"Anomalie détectée",IF(R30&gt;S30,"Dépassement budget indemnités","Conforme")))</f>
        <v/>
      </c>
      <c r="V30" t="str">
        <f t="shared" si="4"/>
        <v/>
      </c>
    </row>
    <row r="31" spans="1:22">
      <c r="A31">
        <f t="shared" si="0"/>
        <v>30</v>
      </c>
      <c r="C31" t="str">
        <f>+IFERROR(VLOOKUP(ControlePJTable[[#This Row],[Code activité]],'LISTES ACTIVITES'!$A$1:$B$38,2,FALSE()),"")</f>
        <v/>
      </c>
      <c r="D31" s="3"/>
      <c r="E31" s="3"/>
      <c r="F31" s="3"/>
      <c r="J31" s="5"/>
      <c r="K31" s="5"/>
      <c r="L31" s="5"/>
      <c r="M31" s="5" t="str">
        <f t="shared" si="1"/>
        <v/>
      </c>
      <c r="N31" s="5" t="str">
        <f t="shared" si="2"/>
        <v/>
      </c>
      <c r="Q31" t="str">
        <f t="shared" si="3"/>
        <v/>
      </c>
      <c r="R31" s="5" t="str">
        <f>IF(B31="","",SUMIFS(PRESENCES_INDEMNITES!$N$2:$N$501,PRESENCES_INDEMNITES!$B$2:$B$501,B31,PRESENCES_INDEMNITES!$S$2:$S$501,"CONFORME"))</f>
        <v/>
      </c>
      <c r="S31" s="5" t="str">
        <f>IF(B31="","",SUMIFS(REFERENTIEL_BUDGET!$J$2:$J$101,REFERENTIEL_BUDGET!$A$2:$A$101,B31,REFERENTIEL_BUDGET!$E$2:$E$101,"Indemnités participants"))</f>
        <v/>
      </c>
      <c r="T31" t="str">
        <f>IF(B31="","",IF(COUNTIFS(PRESENCES_INDEMNITES!$B$2:$B$501,B31,PRESENCES_INDEMNITES!$S$2:$S$501,"&lt;&gt;CONFORME",PRESENCES_INDEMNITES!$S$2:$S$501,"&lt;&gt;")&gt;0,"Anomalie détectée",IF(R31&gt;S31,"Dépassement budget indemnités","Conforme")))</f>
        <v/>
      </c>
      <c r="V31" t="str">
        <f t="shared" si="4"/>
        <v/>
      </c>
    </row>
    <row r="32" spans="1:22">
      <c r="A32">
        <f t="shared" si="0"/>
        <v>31</v>
      </c>
      <c r="C32" t="str">
        <f>+IFERROR(VLOOKUP(ControlePJTable[[#This Row],[Code activité]],'LISTES ACTIVITES'!$A$1:$B$38,2,FALSE()),"")</f>
        <v/>
      </c>
      <c r="D32" s="3"/>
      <c r="E32" s="3"/>
      <c r="F32" s="3"/>
      <c r="J32" s="5"/>
      <c r="K32" s="5"/>
      <c r="L32" s="5"/>
      <c r="M32" s="5" t="str">
        <f t="shared" si="1"/>
        <v/>
      </c>
      <c r="N32" s="5" t="str">
        <f t="shared" si="2"/>
        <v/>
      </c>
      <c r="Q32" t="str">
        <f t="shared" si="3"/>
        <v/>
      </c>
      <c r="R32" s="5" t="str">
        <f>IF(B32="","",SUMIFS(PRESENCES_INDEMNITES!$N$2:$N$501,PRESENCES_INDEMNITES!$B$2:$B$501,B32,PRESENCES_INDEMNITES!$S$2:$S$501,"CONFORME"))</f>
        <v/>
      </c>
      <c r="S32" s="5" t="str">
        <f>IF(B32="","",SUMIFS(REFERENTIEL_BUDGET!$J$2:$J$101,REFERENTIEL_BUDGET!$A$2:$A$101,B32,REFERENTIEL_BUDGET!$E$2:$E$101,"Indemnités participants"))</f>
        <v/>
      </c>
      <c r="T32" t="str">
        <f>IF(B32="","",IF(COUNTIFS(PRESENCES_INDEMNITES!$B$2:$B$501,B32,PRESENCES_INDEMNITES!$S$2:$S$501,"&lt;&gt;CONFORME",PRESENCES_INDEMNITES!$S$2:$S$501,"&lt;&gt;")&gt;0,"Anomalie détectée",IF(R32&gt;S32,"Dépassement budget indemnités","Conforme")))</f>
        <v/>
      </c>
      <c r="V32" t="str">
        <f t="shared" si="4"/>
        <v/>
      </c>
    </row>
    <row r="33" spans="1:22">
      <c r="A33">
        <f t="shared" si="0"/>
        <v>32</v>
      </c>
      <c r="C33" t="str">
        <f>+IFERROR(VLOOKUP(ControlePJTable[[#This Row],[Code activité]],'LISTES ACTIVITES'!$A$1:$B$38,2,FALSE()),"")</f>
        <v/>
      </c>
      <c r="D33" s="3"/>
      <c r="E33" s="3"/>
      <c r="F33" s="3"/>
      <c r="J33" s="5"/>
      <c r="K33" s="5"/>
      <c r="L33" s="5"/>
      <c r="M33" s="5" t="str">
        <f t="shared" si="1"/>
        <v/>
      </c>
      <c r="N33" s="5" t="str">
        <f t="shared" si="2"/>
        <v/>
      </c>
      <c r="Q33" t="str">
        <f t="shared" si="3"/>
        <v/>
      </c>
      <c r="R33" s="5" t="str">
        <f>IF(B33="","",SUMIFS(PRESENCES_INDEMNITES!$N$2:$N$501,PRESENCES_INDEMNITES!$B$2:$B$501,B33,PRESENCES_INDEMNITES!$S$2:$S$501,"CONFORME"))</f>
        <v/>
      </c>
      <c r="S33" s="5" t="str">
        <f>IF(B33="","",SUMIFS(REFERENTIEL_BUDGET!$J$2:$J$101,REFERENTIEL_BUDGET!$A$2:$A$101,B33,REFERENTIEL_BUDGET!$E$2:$E$101,"Indemnités participants"))</f>
        <v/>
      </c>
      <c r="T33" t="str">
        <f>IF(B33="","",IF(COUNTIFS(PRESENCES_INDEMNITES!$B$2:$B$501,B33,PRESENCES_INDEMNITES!$S$2:$S$501,"&lt;&gt;CONFORME",PRESENCES_INDEMNITES!$S$2:$S$501,"&lt;&gt;")&gt;0,"Anomalie détectée",IF(R33&gt;S33,"Dépassement budget indemnités","Conforme")))</f>
        <v/>
      </c>
      <c r="V33" t="str">
        <f t="shared" si="4"/>
        <v/>
      </c>
    </row>
    <row r="34" spans="1:22">
      <c r="A34">
        <f t="shared" si="0"/>
        <v>33</v>
      </c>
      <c r="C34" t="str">
        <f>+IFERROR(VLOOKUP(ControlePJTable[[#This Row],[Code activité]],'LISTES ACTIVITES'!$A$1:$B$38,2,FALSE()),"")</f>
        <v/>
      </c>
      <c r="D34" s="3"/>
      <c r="E34" s="3"/>
      <c r="F34" s="3"/>
      <c r="J34" s="5"/>
      <c r="K34" s="5"/>
      <c r="L34" s="5"/>
      <c r="M34" s="5" t="str">
        <f t="shared" si="1"/>
        <v/>
      </c>
      <c r="N34" s="5" t="str">
        <f t="shared" si="2"/>
        <v/>
      </c>
      <c r="Q34" t="str">
        <f t="shared" si="3"/>
        <v/>
      </c>
      <c r="R34" s="5" t="str">
        <f>IF(B34="","",SUMIFS(PRESENCES_INDEMNITES!$N$2:$N$501,PRESENCES_INDEMNITES!$B$2:$B$501,B34,PRESENCES_INDEMNITES!$S$2:$S$501,"CONFORME"))</f>
        <v/>
      </c>
      <c r="S34" s="5" t="str">
        <f>IF(B34="","",SUMIFS(REFERENTIEL_BUDGET!$J$2:$J$101,REFERENTIEL_BUDGET!$A$2:$A$101,B34,REFERENTIEL_BUDGET!$E$2:$E$101,"Indemnités participants"))</f>
        <v/>
      </c>
      <c r="T34" t="str">
        <f>IF(B34="","",IF(COUNTIFS(PRESENCES_INDEMNITES!$B$2:$B$501,B34,PRESENCES_INDEMNITES!$S$2:$S$501,"&lt;&gt;CONFORME",PRESENCES_INDEMNITES!$S$2:$S$501,"&lt;&gt;")&gt;0,"Anomalie détectée",IF(R34&gt;S34,"Dépassement budget indemnités","Conforme")))</f>
        <v/>
      </c>
      <c r="V34" t="str">
        <f t="shared" si="4"/>
        <v/>
      </c>
    </row>
    <row r="35" spans="1:22">
      <c r="A35">
        <f t="shared" si="0"/>
        <v>34</v>
      </c>
      <c r="C35" t="str">
        <f>+IFERROR(VLOOKUP(ControlePJTable[[#This Row],[Code activité]],'LISTES ACTIVITES'!$A$1:$B$38,2,FALSE()),"")</f>
        <v/>
      </c>
      <c r="D35" s="3"/>
      <c r="E35" s="3"/>
      <c r="F35" s="3"/>
      <c r="J35" s="5"/>
      <c r="K35" s="5"/>
      <c r="L35" s="5"/>
      <c r="M35" s="5" t="str">
        <f t="shared" si="1"/>
        <v/>
      </c>
      <c r="N35" s="5" t="str">
        <f t="shared" si="2"/>
        <v/>
      </c>
      <c r="Q35" t="str">
        <f t="shared" si="3"/>
        <v/>
      </c>
      <c r="R35" s="5" t="str">
        <f>IF(B35="","",SUMIFS(PRESENCES_INDEMNITES!$N$2:$N$501,PRESENCES_INDEMNITES!$B$2:$B$501,B35,PRESENCES_INDEMNITES!$S$2:$S$501,"CONFORME"))</f>
        <v/>
      </c>
      <c r="S35" s="5" t="str">
        <f>IF(B35="","",SUMIFS(REFERENTIEL_BUDGET!$J$2:$J$101,REFERENTIEL_BUDGET!$A$2:$A$101,B35,REFERENTIEL_BUDGET!$E$2:$E$101,"Indemnités participants"))</f>
        <v/>
      </c>
      <c r="T35" t="str">
        <f>IF(B35="","",IF(COUNTIFS(PRESENCES_INDEMNITES!$B$2:$B$501,B35,PRESENCES_INDEMNITES!$S$2:$S$501,"&lt;&gt;CONFORME",PRESENCES_INDEMNITES!$S$2:$S$501,"&lt;&gt;")&gt;0,"Anomalie détectée",IF(R35&gt;S35,"Dépassement budget indemnités","Conforme")))</f>
        <v/>
      </c>
      <c r="V35" t="str">
        <f t="shared" si="4"/>
        <v/>
      </c>
    </row>
    <row r="36" spans="1:22">
      <c r="A36">
        <f t="shared" si="0"/>
        <v>35</v>
      </c>
      <c r="C36" t="str">
        <f>+IFERROR(VLOOKUP(ControlePJTable[[#This Row],[Code activité]],'LISTES ACTIVITES'!$A$1:$B$38,2,FALSE()),"")</f>
        <v/>
      </c>
      <c r="D36" s="3"/>
      <c r="E36" s="3"/>
      <c r="F36" s="3"/>
      <c r="J36" s="5"/>
      <c r="K36" s="5"/>
      <c r="L36" s="5"/>
      <c r="M36" s="5" t="str">
        <f t="shared" si="1"/>
        <v/>
      </c>
      <c r="N36" s="5" t="str">
        <f t="shared" si="2"/>
        <v/>
      </c>
      <c r="Q36" t="str">
        <f t="shared" si="3"/>
        <v/>
      </c>
      <c r="R36" s="5" t="str">
        <f>IF(B36="","",SUMIFS(PRESENCES_INDEMNITES!$N$2:$N$501,PRESENCES_INDEMNITES!$B$2:$B$501,B36,PRESENCES_INDEMNITES!$S$2:$S$501,"CONFORME"))</f>
        <v/>
      </c>
      <c r="S36" s="5" t="str">
        <f>IF(B36="","",SUMIFS(REFERENTIEL_BUDGET!$J$2:$J$101,REFERENTIEL_BUDGET!$A$2:$A$101,B36,REFERENTIEL_BUDGET!$E$2:$E$101,"Indemnités participants"))</f>
        <v/>
      </c>
      <c r="T36" t="str">
        <f>IF(B36="","",IF(COUNTIFS(PRESENCES_INDEMNITES!$B$2:$B$501,B36,PRESENCES_INDEMNITES!$S$2:$S$501,"&lt;&gt;CONFORME",PRESENCES_INDEMNITES!$S$2:$S$501,"&lt;&gt;")&gt;0,"Anomalie détectée",IF(R36&gt;S36,"Dépassement budget indemnités","Conforme")))</f>
        <v/>
      </c>
      <c r="V36" t="str">
        <f t="shared" si="4"/>
        <v/>
      </c>
    </row>
    <row r="37" spans="1:22">
      <c r="A37">
        <f t="shared" si="0"/>
        <v>36</v>
      </c>
      <c r="C37" t="str">
        <f>+IFERROR(VLOOKUP(ControlePJTable[[#This Row],[Code activité]],'LISTES ACTIVITES'!$A$1:$B$38,2,FALSE()),"")</f>
        <v/>
      </c>
      <c r="D37" s="3"/>
      <c r="E37" s="3"/>
      <c r="F37" s="3"/>
      <c r="J37" s="5"/>
      <c r="K37" s="5"/>
      <c r="L37" s="5"/>
      <c r="M37" s="5" t="str">
        <f t="shared" si="1"/>
        <v/>
      </c>
      <c r="N37" s="5" t="str">
        <f t="shared" si="2"/>
        <v/>
      </c>
      <c r="Q37" t="str">
        <f t="shared" si="3"/>
        <v/>
      </c>
      <c r="R37" s="5" t="str">
        <f>IF(B37="","",SUMIFS(PRESENCES_INDEMNITES!$N$2:$N$501,PRESENCES_INDEMNITES!$B$2:$B$501,B37,PRESENCES_INDEMNITES!$S$2:$S$501,"CONFORME"))</f>
        <v/>
      </c>
      <c r="S37" s="5" t="str">
        <f>IF(B37="","",SUMIFS(REFERENTIEL_BUDGET!$J$2:$J$101,REFERENTIEL_BUDGET!$A$2:$A$101,B37,REFERENTIEL_BUDGET!$E$2:$E$101,"Indemnités participants"))</f>
        <v/>
      </c>
      <c r="T37" t="str">
        <f>IF(B37="","",IF(COUNTIFS(PRESENCES_INDEMNITES!$B$2:$B$501,B37,PRESENCES_INDEMNITES!$S$2:$S$501,"&lt;&gt;CONFORME",PRESENCES_INDEMNITES!$S$2:$S$501,"&lt;&gt;")&gt;0,"Anomalie détectée",IF(R37&gt;S37,"Dépassement budget indemnités","Conforme")))</f>
        <v/>
      </c>
      <c r="V37" t="str">
        <f t="shared" si="4"/>
        <v/>
      </c>
    </row>
    <row r="38" spans="1:22">
      <c r="A38">
        <f t="shared" si="0"/>
        <v>37</v>
      </c>
      <c r="C38" t="str">
        <f>+IFERROR(VLOOKUP(ControlePJTable[[#This Row],[Code activité]],'LISTES ACTIVITES'!$A$1:$B$38,2,FALSE()),"")</f>
        <v/>
      </c>
      <c r="D38" s="3"/>
      <c r="E38" s="3"/>
      <c r="F38" s="3"/>
      <c r="J38" s="5"/>
      <c r="K38" s="5"/>
      <c r="L38" s="5"/>
      <c r="M38" s="5" t="str">
        <f t="shared" si="1"/>
        <v/>
      </c>
      <c r="N38" s="5" t="str">
        <f t="shared" si="2"/>
        <v/>
      </c>
      <c r="Q38" t="str">
        <f t="shared" si="3"/>
        <v/>
      </c>
      <c r="R38" s="5" t="str">
        <f>IF(B38="","",SUMIFS(PRESENCES_INDEMNITES!$N$2:$N$501,PRESENCES_INDEMNITES!$B$2:$B$501,B38,PRESENCES_INDEMNITES!$S$2:$S$501,"CONFORME"))</f>
        <v/>
      </c>
      <c r="S38" s="5" t="str">
        <f>IF(B38="","",SUMIFS(REFERENTIEL_BUDGET!$J$2:$J$101,REFERENTIEL_BUDGET!$A$2:$A$101,B38,REFERENTIEL_BUDGET!$E$2:$E$101,"Indemnités participants"))</f>
        <v/>
      </c>
      <c r="T38" t="str">
        <f>IF(B38="","",IF(COUNTIFS(PRESENCES_INDEMNITES!$B$2:$B$501,B38,PRESENCES_INDEMNITES!$S$2:$S$501,"&lt;&gt;CONFORME",PRESENCES_INDEMNITES!$S$2:$S$501,"&lt;&gt;")&gt;0,"Anomalie détectée",IF(R38&gt;S38,"Dépassement budget indemnités","Conforme")))</f>
        <v/>
      </c>
      <c r="V38" t="str">
        <f t="shared" si="4"/>
        <v/>
      </c>
    </row>
    <row r="39" spans="1:22">
      <c r="A39">
        <f t="shared" si="0"/>
        <v>38</v>
      </c>
      <c r="C39" t="str">
        <f>+IFERROR(VLOOKUP(ControlePJTable[[#This Row],[Code activité]],'LISTES ACTIVITES'!$A$1:$B$38,2,FALSE()),"")</f>
        <v/>
      </c>
      <c r="D39" s="3"/>
      <c r="E39" s="3"/>
      <c r="F39" s="3"/>
      <c r="J39" s="5"/>
      <c r="K39" s="5"/>
      <c r="L39" s="5"/>
      <c r="M39" s="5" t="str">
        <f t="shared" si="1"/>
        <v/>
      </c>
      <c r="N39" s="5" t="str">
        <f t="shared" si="2"/>
        <v/>
      </c>
      <c r="Q39" t="str">
        <f t="shared" si="3"/>
        <v/>
      </c>
      <c r="R39" s="5" t="str">
        <f>IF(B39="","",SUMIFS(PRESENCES_INDEMNITES!$N$2:$N$501,PRESENCES_INDEMNITES!$B$2:$B$501,B39,PRESENCES_INDEMNITES!$S$2:$S$501,"CONFORME"))</f>
        <v/>
      </c>
      <c r="S39" s="5" t="str">
        <f>IF(B39="","",SUMIFS(REFERENTIEL_BUDGET!$J$2:$J$101,REFERENTIEL_BUDGET!$A$2:$A$101,B39,REFERENTIEL_BUDGET!$E$2:$E$101,"Indemnités participants"))</f>
        <v/>
      </c>
      <c r="T39" t="str">
        <f>IF(B39="","",IF(COUNTIFS(PRESENCES_INDEMNITES!$B$2:$B$501,B39,PRESENCES_INDEMNITES!$S$2:$S$501,"&lt;&gt;CONFORME",PRESENCES_INDEMNITES!$S$2:$S$501,"&lt;&gt;")&gt;0,"Anomalie détectée",IF(R39&gt;S39,"Dépassement budget indemnités","Conforme")))</f>
        <v/>
      </c>
      <c r="V39" t="str">
        <f t="shared" si="4"/>
        <v/>
      </c>
    </row>
    <row r="40" spans="1:22">
      <c r="A40">
        <f t="shared" si="0"/>
        <v>39</v>
      </c>
      <c r="C40" t="str">
        <f>+IFERROR(VLOOKUP(ControlePJTable[[#This Row],[Code activité]],'LISTES ACTIVITES'!$A$1:$B$38,2,FALSE()),"")</f>
        <v/>
      </c>
      <c r="D40" s="3"/>
      <c r="E40" s="3"/>
      <c r="F40" s="3"/>
      <c r="J40" s="5"/>
      <c r="K40" s="5"/>
      <c r="L40" s="5"/>
      <c r="M40" s="5" t="str">
        <f t="shared" si="1"/>
        <v/>
      </c>
      <c r="N40" s="5" t="str">
        <f t="shared" si="2"/>
        <v/>
      </c>
      <c r="Q40" t="str">
        <f t="shared" si="3"/>
        <v/>
      </c>
      <c r="R40" s="5" t="str">
        <f>IF(B40="","",SUMIFS(PRESENCES_INDEMNITES!$N$2:$N$501,PRESENCES_INDEMNITES!$B$2:$B$501,B40,PRESENCES_INDEMNITES!$S$2:$S$501,"CONFORME"))</f>
        <v/>
      </c>
      <c r="S40" s="5" t="str">
        <f>IF(B40="","",SUMIFS(REFERENTIEL_BUDGET!$J$2:$J$101,REFERENTIEL_BUDGET!$A$2:$A$101,B40,REFERENTIEL_BUDGET!$E$2:$E$101,"Indemnités participants"))</f>
        <v/>
      </c>
      <c r="T40" t="str">
        <f>IF(B40="","",IF(COUNTIFS(PRESENCES_INDEMNITES!$B$2:$B$501,B40,PRESENCES_INDEMNITES!$S$2:$S$501,"&lt;&gt;CONFORME",PRESENCES_INDEMNITES!$S$2:$S$501,"&lt;&gt;")&gt;0,"Anomalie détectée",IF(R40&gt;S40,"Dépassement budget indemnités","Conforme")))</f>
        <v/>
      </c>
      <c r="V40" t="str">
        <f t="shared" si="4"/>
        <v/>
      </c>
    </row>
    <row r="41" spans="1:22">
      <c r="A41">
        <f t="shared" si="0"/>
        <v>40</v>
      </c>
      <c r="C41" t="str">
        <f>+IFERROR(VLOOKUP(ControlePJTable[[#This Row],[Code activité]],'LISTES ACTIVITES'!$A$1:$B$38,2,FALSE()),"")</f>
        <v/>
      </c>
      <c r="D41" s="3"/>
      <c r="E41" s="3"/>
      <c r="F41" s="3"/>
      <c r="J41" s="5"/>
      <c r="K41" s="5"/>
      <c r="L41" s="5"/>
      <c r="M41" s="5" t="str">
        <f t="shared" si="1"/>
        <v/>
      </c>
      <c r="N41" s="5" t="str">
        <f t="shared" si="2"/>
        <v/>
      </c>
      <c r="Q41" t="str">
        <f t="shared" si="3"/>
        <v/>
      </c>
      <c r="R41" s="5" t="str">
        <f>IF(B41="","",SUMIFS(PRESENCES_INDEMNITES!$N$2:$N$501,PRESENCES_INDEMNITES!$B$2:$B$501,B41,PRESENCES_INDEMNITES!$S$2:$S$501,"CONFORME"))</f>
        <v/>
      </c>
      <c r="S41" s="5" t="str">
        <f>IF(B41="","",SUMIFS(REFERENTIEL_BUDGET!$J$2:$J$101,REFERENTIEL_BUDGET!$A$2:$A$101,B41,REFERENTIEL_BUDGET!$E$2:$E$101,"Indemnités participants"))</f>
        <v/>
      </c>
      <c r="T41" t="str">
        <f>IF(B41="","",IF(COUNTIFS(PRESENCES_INDEMNITES!$B$2:$B$501,B41,PRESENCES_INDEMNITES!$S$2:$S$501,"&lt;&gt;CONFORME",PRESENCES_INDEMNITES!$S$2:$S$501,"&lt;&gt;")&gt;0,"Anomalie détectée",IF(R41&gt;S41,"Dépassement budget indemnités","Conforme")))</f>
        <v/>
      </c>
      <c r="V41" t="str">
        <f t="shared" si="4"/>
        <v/>
      </c>
    </row>
    <row r="42" spans="1:22">
      <c r="A42">
        <f t="shared" si="0"/>
        <v>41</v>
      </c>
      <c r="C42" t="str">
        <f>+IFERROR(VLOOKUP(ControlePJTable[[#This Row],[Code activité]],'LISTES ACTIVITES'!$A$1:$B$38,2,FALSE()),"")</f>
        <v/>
      </c>
      <c r="D42" s="3"/>
      <c r="E42" s="3"/>
      <c r="F42" s="3"/>
      <c r="J42" s="5"/>
      <c r="K42" s="5"/>
      <c r="L42" s="5"/>
      <c r="M42" s="5" t="str">
        <f t="shared" si="1"/>
        <v/>
      </c>
      <c r="N42" s="5" t="str">
        <f t="shared" si="2"/>
        <v/>
      </c>
      <c r="Q42" t="str">
        <f t="shared" si="3"/>
        <v/>
      </c>
      <c r="R42" s="5" t="str">
        <f>IF(B42="","",SUMIFS(PRESENCES_INDEMNITES!$N$2:$N$501,PRESENCES_INDEMNITES!$B$2:$B$501,B42,PRESENCES_INDEMNITES!$S$2:$S$501,"CONFORME"))</f>
        <v/>
      </c>
      <c r="S42" s="5" t="str">
        <f>IF(B42="","",SUMIFS(REFERENTIEL_BUDGET!$J$2:$J$101,REFERENTIEL_BUDGET!$A$2:$A$101,B42,REFERENTIEL_BUDGET!$E$2:$E$101,"Indemnités participants"))</f>
        <v/>
      </c>
      <c r="T42" t="str">
        <f>IF(B42="","",IF(COUNTIFS(PRESENCES_INDEMNITES!$B$2:$B$501,B42,PRESENCES_INDEMNITES!$S$2:$S$501,"&lt;&gt;CONFORME",PRESENCES_INDEMNITES!$S$2:$S$501,"&lt;&gt;")&gt;0,"Anomalie détectée",IF(R42&gt;S42,"Dépassement budget indemnités","Conforme")))</f>
        <v/>
      </c>
      <c r="V42" t="str">
        <f t="shared" si="4"/>
        <v/>
      </c>
    </row>
    <row r="43" spans="1:22">
      <c r="A43">
        <f t="shared" si="0"/>
        <v>42</v>
      </c>
      <c r="C43" t="str">
        <f>+IFERROR(VLOOKUP(ControlePJTable[[#This Row],[Code activité]],'LISTES ACTIVITES'!$A$1:$B$38,2,FALSE()),"")</f>
        <v/>
      </c>
      <c r="D43" s="3"/>
      <c r="E43" s="3"/>
      <c r="F43" s="3"/>
      <c r="J43" s="5"/>
      <c r="K43" s="5"/>
      <c r="L43" s="5"/>
      <c r="M43" s="5" t="str">
        <f t="shared" si="1"/>
        <v/>
      </c>
      <c r="N43" s="5" t="str">
        <f t="shared" si="2"/>
        <v/>
      </c>
      <c r="Q43" t="str">
        <f t="shared" si="3"/>
        <v/>
      </c>
      <c r="R43" s="5" t="str">
        <f>IF(B43="","",SUMIFS(PRESENCES_INDEMNITES!$N$2:$N$501,PRESENCES_INDEMNITES!$B$2:$B$501,B43,PRESENCES_INDEMNITES!$S$2:$S$501,"CONFORME"))</f>
        <v/>
      </c>
      <c r="S43" s="5" t="str">
        <f>IF(B43="","",SUMIFS(REFERENTIEL_BUDGET!$J$2:$J$101,REFERENTIEL_BUDGET!$A$2:$A$101,B43,REFERENTIEL_BUDGET!$E$2:$E$101,"Indemnités participants"))</f>
        <v/>
      </c>
      <c r="T43" t="str">
        <f>IF(B43="","",IF(COUNTIFS(PRESENCES_INDEMNITES!$B$2:$B$501,B43,PRESENCES_INDEMNITES!$S$2:$S$501,"&lt;&gt;CONFORME",PRESENCES_INDEMNITES!$S$2:$S$501,"&lt;&gt;")&gt;0,"Anomalie détectée",IF(R43&gt;S43,"Dépassement budget indemnités","Conforme")))</f>
        <v/>
      </c>
      <c r="V43" t="str">
        <f t="shared" si="4"/>
        <v/>
      </c>
    </row>
    <row r="44" spans="1:22">
      <c r="A44">
        <f t="shared" si="0"/>
        <v>43</v>
      </c>
      <c r="C44" t="str">
        <f>+IFERROR(VLOOKUP(ControlePJTable[[#This Row],[Code activité]],'LISTES ACTIVITES'!$A$1:$B$38,2,FALSE()),"")</f>
        <v/>
      </c>
      <c r="D44" s="3"/>
      <c r="E44" s="3"/>
      <c r="F44" s="3"/>
      <c r="J44" s="5"/>
      <c r="K44" s="5"/>
      <c r="L44" s="5"/>
      <c r="M44" s="5" t="str">
        <f t="shared" si="1"/>
        <v/>
      </c>
      <c r="N44" s="5" t="str">
        <f t="shared" si="2"/>
        <v/>
      </c>
      <c r="Q44" t="str">
        <f t="shared" si="3"/>
        <v/>
      </c>
      <c r="R44" s="5" t="str">
        <f>IF(B44="","",SUMIFS(PRESENCES_INDEMNITES!$N$2:$N$501,PRESENCES_INDEMNITES!$B$2:$B$501,B44,PRESENCES_INDEMNITES!$S$2:$S$501,"CONFORME"))</f>
        <v/>
      </c>
      <c r="S44" s="5" t="str">
        <f>IF(B44="","",SUMIFS(REFERENTIEL_BUDGET!$J$2:$J$101,REFERENTIEL_BUDGET!$A$2:$A$101,B44,REFERENTIEL_BUDGET!$E$2:$E$101,"Indemnités participants"))</f>
        <v/>
      </c>
      <c r="T44" t="str">
        <f>IF(B44="","",IF(COUNTIFS(PRESENCES_INDEMNITES!$B$2:$B$501,B44,PRESENCES_INDEMNITES!$S$2:$S$501,"&lt;&gt;CONFORME",PRESENCES_INDEMNITES!$S$2:$S$501,"&lt;&gt;")&gt;0,"Anomalie détectée",IF(R44&gt;S44,"Dépassement budget indemnités","Conforme")))</f>
        <v/>
      </c>
      <c r="V44" t="str">
        <f t="shared" si="4"/>
        <v/>
      </c>
    </row>
    <row r="45" spans="1:22">
      <c r="A45">
        <f t="shared" si="0"/>
        <v>44</v>
      </c>
      <c r="C45" t="str">
        <f>+IFERROR(VLOOKUP(ControlePJTable[[#This Row],[Code activité]],'LISTES ACTIVITES'!$A$1:$B$38,2,FALSE()),"")</f>
        <v/>
      </c>
      <c r="D45" s="3"/>
      <c r="E45" s="3"/>
      <c r="F45" s="3"/>
      <c r="J45" s="5"/>
      <c r="K45" s="5"/>
      <c r="L45" s="5"/>
      <c r="M45" s="5" t="str">
        <f t="shared" si="1"/>
        <v/>
      </c>
      <c r="N45" s="5" t="str">
        <f t="shared" si="2"/>
        <v/>
      </c>
      <c r="Q45" t="str">
        <f t="shared" si="3"/>
        <v/>
      </c>
      <c r="R45" s="5" t="str">
        <f>IF(B45="","",SUMIFS(PRESENCES_INDEMNITES!$N$2:$N$501,PRESENCES_INDEMNITES!$B$2:$B$501,B45,PRESENCES_INDEMNITES!$S$2:$S$501,"CONFORME"))</f>
        <v/>
      </c>
      <c r="S45" s="5" t="str">
        <f>IF(B45="","",SUMIFS(REFERENTIEL_BUDGET!$J$2:$J$101,REFERENTIEL_BUDGET!$A$2:$A$101,B45,REFERENTIEL_BUDGET!$E$2:$E$101,"Indemnités participants"))</f>
        <v/>
      </c>
      <c r="T45" t="str">
        <f>IF(B45="","",IF(COUNTIFS(PRESENCES_INDEMNITES!$B$2:$B$501,B45,PRESENCES_INDEMNITES!$S$2:$S$501,"&lt;&gt;CONFORME",PRESENCES_INDEMNITES!$S$2:$S$501,"&lt;&gt;")&gt;0,"Anomalie détectée",IF(R45&gt;S45,"Dépassement budget indemnités","Conforme")))</f>
        <v/>
      </c>
      <c r="V45" t="str">
        <f t="shared" si="4"/>
        <v/>
      </c>
    </row>
    <row r="46" spans="1:22">
      <c r="A46">
        <f t="shared" si="0"/>
        <v>45</v>
      </c>
      <c r="C46" t="str">
        <f>+IFERROR(VLOOKUP(ControlePJTable[[#This Row],[Code activité]],'LISTES ACTIVITES'!$A$1:$B$38,2,FALSE()),"")</f>
        <v/>
      </c>
      <c r="D46" s="3"/>
      <c r="E46" s="3"/>
      <c r="F46" s="3"/>
      <c r="J46" s="5"/>
      <c r="K46" s="5"/>
      <c r="L46" s="5"/>
      <c r="M46" s="5" t="str">
        <f t="shared" si="1"/>
        <v/>
      </c>
      <c r="N46" s="5" t="str">
        <f t="shared" si="2"/>
        <v/>
      </c>
      <c r="Q46" t="str">
        <f t="shared" si="3"/>
        <v/>
      </c>
      <c r="R46" s="5" t="str">
        <f>IF(B46="","",SUMIFS(PRESENCES_INDEMNITES!$N$2:$N$501,PRESENCES_INDEMNITES!$B$2:$B$501,B46,PRESENCES_INDEMNITES!$S$2:$S$501,"CONFORME"))</f>
        <v/>
      </c>
      <c r="S46" s="5" t="str">
        <f>IF(B46="","",SUMIFS(REFERENTIEL_BUDGET!$J$2:$J$101,REFERENTIEL_BUDGET!$A$2:$A$101,B46,REFERENTIEL_BUDGET!$E$2:$E$101,"Indemnités participants"))</f>
        <v/>
      </c>
      <c r="T46" t="str">
        <f>IF(B46="","",IF(COUNTIFS(PRESENCES_INDEMNITES!$B$2:$B$501,B46,PRESENCES_INDEMNITES!$S$2:$S$501,"&lt;&gt;CONFORME",PRESENCES_INDEMNITES!$S$2:$S$501,"&lt;&gt;")&gt;0,"Anomalie détectée",IF(R46&gt;S46,"Dépassement budget indemnités","Conforme")))</f>
        <v/>
      </c>
      <c r="V46" t="str">
        <f t="shared" si="4"/>
        <v/>
      </c>
    </row>
    <row r="47" spans="1:22">
      <c r="A47">
        <f t="shared" si="0"/>
        <v>46</v>
      </c>
      <c r="C47" t="str">
        <f>+IFERROR(VLOOKUP(ControlePJTable[[#This Row],[Code activité]],'LISTES ACTIVITES'!$A$1:$B$38,2,FALSE()),"")</f>
        <v/>
      </c>
      <c r="D47" s="3"/>
      <c r="E47" s="3"/>
      <c r="F47" s="3"/>
      <c r="J47" s="5"/>
      <c r="K47" s="5"/>
      <c r="L47" s="5"/>
      <c r="M47" s="5" t="str">
        <f t="shared" si="1"/>
        <v/>
      </c>
      <c r="N47" s="5" t="str">
        <f t="shared" si="2"/>
        <v/>
      </c>
      <c r="Q47" t="str">
        <f t="shared" si="3"/>
        <v/>
      </c>
      <c r="R47" s="5" t="str">
        <f>IF(B47="","",SUMIFS(PRESENCES_INDEMNITES!$N$2:$N$501,PRESENCES_INDEMNITES!$B$2:$B$501,B47,PRESENCES_INDEMNITES!$S$2:$S$501,"CONFORME"))</f>
        <v/>
      </c>
      <c r="S47" s="5" t="str">
        <f>IF(B47="","",SUMIFS(REFERENTIEL_BUDGET!$J$2:$J$101,REFERENTIEL_BUDGET!$A$2:$A$101,B47,REFERENTIEL_BUDGET!$E$2:$E$101,"Indemnités participants"))</f>
        <v/>
      </c>
      <c r="T47" t="str">
        <f>IF(B47="","",IF(COUNTIFS(PRESENCES_INDEMNITES!$B$2:$B$501,B47,PRESENCES_INDEMNITES!$S$2:$S$501,"&lt;&gt;CONFORME",PRESENCES_INDEMNITES!$S$2:$S$501,"&lt;&gt;")&gt;0,"Anomalie détectée",IF(R47&gt;S47,"Dépassement budget indemnités","Conforme")))</f>
        <v/>
      </c>
      <c r="V47" t="str">
        <f t="shared" si="4"/>
        <v/>
      </c>
    </row>
    <row r="48" spans="1:22">
      <c r="A48">
        <f t="shared" si="0"/>
        <v>47</v>
      </c>
      <c r="C48" t="str">
        <f>+IFERROR(VLOOKUP(ControlePJTable[[#This Row],[Code activité]],'LISTES ACTIVITES'!$A$1:$B$38,2,FALSE()),"")</f>
        <v/>
      </c>
      <c r="D48" s="3"/>
      <c r="E48" s="3"/>
      <c r="F48" s="3"/>
      <c r="J48" s="5"/>
      <c r="K48" s="5"/>
      <c r="L48" s="5"/>
      <c r="M48" s="5" t="str">
        <f t="shared" si="1"/>
        <v/>
      </c>
      <c r="N48" s="5" t="str">
        <f t="shared" si="2"/>
        <v/>
      </c>
      <c r="Q48" t="str">
        <f t="shared" si="3"/>
        <v/>
      </c>
      <c r="R48" s="5" t="str">
        <f>IF(B48="","",SUMIFS(PRESENCES_INDEMNITES!$N$2:$N$501,PRESENCES_INDEMNITES!$B$2:$B$501,B48,PRESENCES_INDEMNITES!$S$2:$S$501,"CONFORME"))</f>
        <v/>
      </c>
      <c r="S48" s="5" t="str">
        <f>IF(B48="","",SUMIFS(REFERENTIEL_BUDGET!$J$2:$J$101,REFERENTIEL_BUDGET!$A$2:$A$101,B48,REFERENTIEL_BUDGET!$E$2:$E$101,"Indemnités participants"))</f>
        <v/>
      </c>
      <c r="T48" t="str">
        <f>IF(B48="","",IF(COUNTIFS(PRESENCES_INDEMNITES!$B$2:$B$501,B48,PRESENCES_INDEMNITES!$S$2:$S$501,"&lt;&gt;CONFORME",PRESENCES_INDEMNITES!$S$2:$S$501,"&lt;&gt;")&gt;0,"Anomalie détectée",IF(R48&gt;S48,"Dépassement budget indemnités","Conforme")))</f>
        <v/>
      </c>
      <c r="V48" t="str">
        <f t="shared" si="4"/>
        <v/>
      </c>
    </row>
    <row r="49" spans="1:22">
      <c r="A49">
        <f t="shared" si="0"/>
        <v>48</v>
      </c>
      <c r="C49" t="str">
        <f>+IFERROR(VLOOKUP(ControlePJTable[[#This Row],[Code activité]],'LISTES ACTIVITES'!$A$1:$B$38,2,FALSE()),"")</f>
        <v/>
      </c>
      <c r="D49" s="3"/>
      <c r="E49" s="3"/>
      <c r="F49" s="3"/>
      <c r="J49" s="5"/>
      <c r="K49" s="5"/>
      <c r="L49" s="5"/>
      <c r="M49" s="5" t="str">
        <f t="shared" si="1"/>
        <v/>
      </c>
      <c r="N49" s="5" t="str">
        <f t="shared" si="2"/>
        <v/>
      </c>
      <c r="Q49" t="str">
        <f t="shared" si="3"/>
        <v/>
      </c>
      <c r="R49" s="5" t="str">
        <f>IF(B49="","",SUMIFS(PRESENCES_INDEMNITES!$N$2:$N$501,PRESENCES_INDEMNITES!$B$2:$B$501,B49,PRESENCES_INDEMNITES!$S$2:$S$501,"CONFORME"))</f>
        <v/>
      </c>
      <c r="S49" s="5" t="str">
        <f>IF(B49="","",SUMIFS(REFERENTIEL_BUDGET!$J$2:$J$101,REFERENTIEL_BUDGET!$A$2:$A$101,B49,REFERENTIEL_BUDGET!$E$2:$E$101,"Indemnités participants"))</f>
        <v/>
      </c>
      <c r="T49" t="str">
        <f>IF(B49="","",IF(COUNTIFS(PRESENCES_INDEMNITES!$B$2:$B$501,B49,PRESENCES_INDEMNITES!$S$2:$S$501,"&lt;&gt;CONFORME",PRESENCES_INDEMNITES!$S$2:$S$501,"&lt;&gt;")&gt;0,"Anomalie détectée",IF(R49&gt;S49,"Dépassement budget indemnités","Conforme")))</f>
        <v/>
      </c>
      <c r="V49" t="str">
        <f t="shared" si="4"/>
        <v/>
      </c>
    </row>
    <row r="50" spans="1:22">
      <c r="A50">
        <f t="shared" si="0"/>
        <v>49</v>
      </c>
      <c r="C50" t="str">
        <f>+IFERROR(VLOOKUP(ControlePJTable[[#This Row],[Code activité]],'LISTES ACTIVITES'!$A$1:$B$38,2,FALSE()),"")</f>
        <v/>
      </c>
      <c r="D50" s="3"/>
      <c r="E50" s="3"/>
      <c r="F50" s="3"/>
      <c r="J50" s="5"/>
      <c r="K50" s="5"/>
      <c r="L50" s="5"/>
      <c r="M50" s="5" t="str">
        <f t="shared" si="1"/>
        <v/>
      </c>
      <c r="N50" s="5" t="str">
        <f t="shared" si="2"/>
        <v/>
      </c>
      <c r="Q50" t="str">
        <f t="shared" si="3"/>
        <v/>
      </c>
      <c r="R50" s="5" t="str">
        <f>IF(B50="","",SUMIFS(PRESENCES_INDEMNITES!$N$2:$N$501,PRESENCES_INDEMNITES!$B$2:$B$501,B50,PRESENCES_INDEMNITES!$S$2:$S$501,"CONFORME"))</f>
        <v/>
      </c>
      <c r="S50" s="5" t="str">
        <f>IF(B50="","",SUMIFS(REFERENTIEL_BUDGET!$J$2:$J$101,REFERENTIEL_BUDGET!$A$2:$A$101,B50,REFERENTIEL_BUDGET!$E$2:$E$101,"Indemnités participants"))</f>
        <v/>
      </c>
      <c r="T50" t="str">
        <f>IF(B50="","",IF(COUNTIFS(PRESENCES_INDEMNITES!$B$2:$B$501,B50,PRESENCES_INDEMNITES!$S$2:$S$501,"&lt;&gt;CONFORME",PRESENCES_INDEMNITES!$S$2:$S$501,"&lt;&gt;")&gt;0,"Anomalie détectée",IF(R50&gt;S50,"Dépassement budget indemnités","Conforme")))</f>
        <v/>
      </c>
      <c r="V50" t="str">
        <f t="shared" si="4"/>
        <v/>
      </c>
    </row>
    <row r="51" spans="1:22">
      <c r="A51">
        <f t="shared" si="0"/>
        <v>50</v>
      </c>
      <c r="C51" t="str">
        <f>+IFERROR(VLOOKUP(ControlePJTable[[#This Row],[Code activité]],'LISTES ACTIVITES'!$A$1:$B$38,2,FALSE()),"")</f>
        <v/>
      </c>
      <c r="D51" s="3"/>
      <c r="E51" s="3"/>
      <c r="F51" s="3"/>
      <c r="J51" s="5"/>
      <c r="K51" s="5"/>
      <c r="L51" s="5"/>
      <c r="M51" s="5" t="str">
        <f t="shared" si="1"/>
        <v/>
      </c>
      <c r="N51" s="5" t="str">
        <f t="shared" si="2"/>
        <v/>
      </c>
      <c r="Q51" t="str">
        <f t="shared" si="3"/>
        <v/>
      </c>
      <c r="R51" s="5" t="str">
        <f>IF(B51="","",SUMIFS(PRESENCES_INDEMNITES!$N$2:$N$501,PRESENCES_INDEMNITES!$B$2:$B$501,B51,PRESENCES_INDEMNITES!$S$2:$S$501,"CONFORME"))</f>
        <v/>
      </c>
      <c r="S51" s="5" t="str">
        <f>IF(B51="","",SUMIFS(REFERENTIEL_BUDGET!$J$2:$J$101,REFERENTIEL_BUDGET!$A$2:$A$101,B51,REFERENTIEL_BUDGET!$E$2:$E$101,"Indemnités participants"))</f>
        <v/>
      </c>
      <c r="T51" t="str">
        <f>IF(B51="","",IF(COUNTIFS(PRESENCES_INDEMNITES!$B$2:$B$501,B51,PRESENCES_INDEMNITES!$S$2:$S$501,"&lt;&gt;CONFORME",PRESENCES_INDEMNITES!$S$2:$S$501,"&lt;&gt;")&gt;0,"Anomalie détectée",IF(R51&gt;S51,"Dépassement budget indemnités","Conforme")))</f>
        <v/>
      </c>
      <c r="V51" t="str">
        <f t="shared" si="4"/>
        <v/>
      </c>
    </row>
    <row r="52" spans="1:22">
      <c r="A52">
        <f t="shared" si="0"/>
        <v>51</v>
      </c>
      <c r="C52" t="str">
        <f>+IFERROR(VLOOKUP(ControlePJTable[[#This Row],[Code activité]],'LISTES ACTIVITES'!$A$1:$B$38,2,FALSE()),"")</f>
        <v/>
      </c>
      <c r="D52" s="3"/>
      <c r="E52" s="3"/>
      <c r="F52" s="3"/>
      <c r="J52" s="5"/>
      <c r="K52" s="5"/>
      <c r="L52" s="5"/>
      <c r="M52" s="5" t="str">
        <f t="shared" si="1"/>
        <v/>
      </c>
      <c r="N52" s="5" t="str">
        <f t="shared" si="2"/>
        <v/>
      </c>
      <c r="Q52" t="str">
        <f t="shared" si="3"/>
        <v/>
      </c>
      <c r="R52" s="5" t="str">
        <f>IF(B52="","",SUMIFS(PRESENCES_INDEMNITES!$N$2:$N$501,PRESENCES_INDEMNITES!$B$2:$B$501,B52,PRESENCES_INDEMNITES!$S$2:$S$501,"CONFORME"))</f>
        <v/>
      </c>
      <c r="S52" s="5" t="str">
        <f>IF(B52="","",SUMIFS(REFERENTIEL_BUDGET!$J$2:$J$101,REFERENTIEL_BUDGET!$A$2:$A$101,B52,REFERENTIEL_BUDGET!$E$2:$E$101,"Indemnités participants"))</f>
        <v/>
      </c>
      <c r="T52" t="str">
        <f>IF(B52="","",IF(COUNTIFS(PRESENCES_INDEMNITES!$B$2:$B$501,B52,PRESENCES_INDEMNITES!$S$2:$S$501,"&lt;&gt;CONFORME",PRESENCES_INDEMNITES!$S$2:$S$501,"&lt;&gt;")&gt;0,"Anomalie détectée",IF(R52&gt;S52,"Dépassement budget indemnités","Conforme")))</f>
        <v/>
      </c>
      <c r="V52" t="str">
        <f t="shared" si="4"/>
        <v/>
      </c>
    </row>
    <row r="53" spans="1:22">
      <c r="A53">
        <f t="shared" si="0"/>
        <v>52</v>
      </c>
      <c r="C53" t="str">
        <f>+IFERROR(VLOOKUP(ControlePJTable[[#This Row],[Code activité]],'LISTES ACTIVITES'!$A$1:$B$38,2,FALSE()),"")</f>
        <v/>
      </c>
      <c r="D53" s="3"/>
      <c r="E53" s="3"/>
      <c r="F53" s="3"/>
      <c r="J53" s="5"/>
      <c r="K53" s="5"/>
      <c r="L53" s="5"/>
      <c r="M53" s="5" t="str">
        <f t="shared" si="1"/>
        <v/>
      </c>
      <c r="N53" s="5" t="str">
        <f t="shared" si="2"/>
        <v/>
      </c>
      <c r="Q53" t="str">
        <f t="shared" si="3"/>
        <v/>
      </c>
      <c r="R53" s="5" t="str">
        <f>IF(B53="","",SUMIFS(PRESENCES_INDEMNITES!$N$2:$N$501,PRESENCES_INDEMNITES!$B$2:$B$501,B53,PRESENCES_INDEMNITES!$S$2:$S$501,"CONFORME"))</f>
        <v/>
      </c>
      <c r="S53" s="5" t="str">
        <f>IF(B53="","",SUMIFS(REFERENTIEL_BUDGET!$J$2:$J$101,REFERENTIEL_BUDGET!$A$2:$A$101,B53,REFERENTIEL_BUDGET!$E$2:$E$101,"Indemnités participants"))</f>
        <v/>
      </c>
      <c r="T53" t="str">
        <f>IF(B53="","",IF(COUNTIFS(PRESENCES_INDEMNITES!$B$2:$B$501,B53,PRESENCES_INDEMNITES!$S$2:$S$501,"&lt;&gt;CONFORME",PRESENCES_INDEMNITES!$S$2:$S$501,"&lt;&gt;")&gt;0,"Anomalie détectée",IF(R53&gt;S53,"Dépassement budget indemnités","Conforme")))</f>
        <v/>
      </c>
      <c r="V53" t="str">
        <f t="shared" si="4"/>
        <v/>
      </c>
    </row>
    <row r="54" spans="1:22">
      <c r="A54">
        <f t="shared" si="0"/>
        <v>53</v>
      </c>
      <c r="C54" t="str">
        <f>+IFERROR(VLOOKUP(ControlePJTable[[#This Row],[Code activité]],'LISTES ACTIVITES'!$A$1:$B$38,2,FALSE()),"")</f>
        <v/>
      </c>
      <c r="D54" s="3"/>
      <c r="E54" s="3"/>
      <c r="F54" s="3"/>
      <c r="J54" s="5"/>
      <c r="K54" s="5"/>
      <c r="L54" s="5"/>
      <c r="M54" s="5" t="str">
        <f t="shared" si="1"/>
        <v/>
      </c>
      <c r="N54" s="5" t="str">
        <f t="shared" si="2"/>
        <v/>
      </c>
      <c r="Q54" t="str">
        <f t="shared" si="3"/>
        <v/>
      </c>
      <c r="R54" s="5" t="str">
        <f>IF(B54="","",SUMIFS(PRESENCES_INDEMNITES!$N$2:$N$501,PRESENCES_INDEMNITES!$B$2:$B$501,B54,PRESENCES_INDEMNITES!$S$2:$S$501,"CONFORME"))</f>
        <v/>
      </c>
      <c r="S54" s="5" t="str">
        <f>IF(B54="","",SUMIFS(REFERENTIEL_BUDGET!$J$2:$J$101,REFERENTIEL_BUDGET!$A$2:$A$101,B54,REFERENTIEL_BUDGET!$E$2:$E$101,"Indemnités participants"))</f>
        <v/>
      </c>
      <c r="T54" t="str">
        <f>IF(B54="","",IF(COUNTIFS(PRESENCES_INDEMNITES!$B$2:$B$501,B54,PRESENCES_INDEMNITES!$S$2:$S$501,"&lt;&gt;CONFORME",PRESENCES_INDEMNITES!$S$2:$S$501,"&lt;&gt;")&gt;0,"Anomalie détectée",IF(R54&gt;S54,"Dépassement budget indemnités","Conforme")))</f>
        <v/>
      </c>
      <c r="V54" t="str">
        <f t="shared" si="4"/>
        <v/>
      </c>
    </row>
    <row r="55" spans="1:22">
      <c r="A55">
        <f t="shared" si="0"/>
        <v>54</v>
      </c>
      <c r="C55" t="str">
        <f>+IFERROR(VLOOKUP(ControlePJTable[[#This Row],[Code activité]],'LISTES ACTIVITES'!$A$1:$B$38,2,FALSE()),"")</f>
        <v/>
      </c>
      <c r="D55" s="3"/>
      <c r="E55" s="3"/>
      <c r="F55" s="3"/>
      <c r="J55" s="5"/>
      <c r="K55" s="5"/>
      <c r="L55" s="5"/>
      <c r="M55" s="5" t="str">
        <f t="shared" si="1"/>
        <v/>
      </c>
      <c r="N55" s="5" t="str">
        <f t="shared" si="2"/>
        <v/>
      </c>
      <c r="Q55" t="str">
        <f t="shared" si="3"/>
        <v/>
      </c>
      <c r="R55" s="5" t="str">
        <f>IF(B55="","",SUMIFS(PRESENCES_INDEMNITES!$N$2:$N$501,PRESENCES_INDEMNITES!$B$2:$B$501,B55,PRESENCES_INDEMNITES!$S$2:$S$501,"CONFORME"))</f>
        <v/>
      </c>
      <c r="S55" s="5" t="str">
        <f>IF(B55="","",SUMIFS(REFERENTIEL_BUDGET!$J$2:$J$101,REFERENTIEL_BUDGET!$A$2:$A$101,B55,REFERENTIEL_BUDGET!$E$2:$E$101,"Indemnités participants"))</f>
        <v/>
      </c>
      <c r="T55" t="str">
        <f>IF(B55="","",IF(COUNTIFS(PRESENCES_INDEMNITES!$B$2:$B$501,B55,PRESENCES_INDEMNITES!$S$2:$S$501,"&lt;&gt;CONFORME",PRESENCES_INDEMNITES!$S$2:$S$501,"&lt;&gt;")&gt;0,"Anomalie détectée",IF(R55&gt;S55,"Dépassement budget indemnités","Conforme")))</f>
        <v/>
      </c>
      <c r="V55" t="str">
        <f t="shared" si="4"/>
        <v/>
      </c>
    </row>
    <row r="56" spans="1:22">
      <c r="A56">
        <f t="shared" si="0"/>
        <v>55</v>
      </c>
      <c r="C56" t="str">
        <f>+IFERROR(VLOOKUP(ControlePJTable[[#This Row],[Code activité]],'LISTES ACTIVITES'!$A$1:$B$38,2,FALSE()),"")</f>
        <v/>
      </c>
      <c r="D56" s="3"/>
      <c r="E56" s="3"/>
      <c r="F56" s="3"/>
      <c r="J56" s="5"/>
      <c r="K56" s="5"/>
      <c r="L56" s="5"/>
      <c r="M56" s="5" t="str">
        <f t="shared" si="1"/>
        <v/>
      </c>
      <c r="N56" s="5" t="str">
        <f t="shared" si="2"/>
        <v/>
      </c>
      <c r="Q56" t="str">
        <f t="shared" si="3"/>
        <v/>
      </c>
      <c r="R56" s="5" t="str">
        <f>IF(B56="","",SUMIFS(PRESENCES_INDEMNITES!$N$2:$N$501,PRESENCES_INDEMNITES!$B$2:$B$501,B56,PRESENCES_INDEMNITES!$S$2:$S$501,"CONFORME"))</f>
        <v/>
      </c>
      <c r="S56" s="5" t="str">
        <f>IF(B56="","",SUMIFS(REFERENTIEL_BUDGET!$J$2:$J$101,REFERENTIEL_BUDGET!$A$2:$A$101,B56,REFERENTIEL_BUDGET!$E$2:$E$101,"Indemnités participants"))</f>
        <v/>
      </c>
      <c r="T56" t="str">
        <f>IF(B56="","",IF(COUNTIFS(PRESENCES_INDEMNITES!$B$2:$B$501,B56,PRESENCES_INDEMNITES!$S$2:$S$501,"&lt;&gt;CONFORME",PRESENCES_INDEMNITES!$S$2:$S$501,"&lt;&gt;")&gt;0,"Anomalie détectée",IF(R56&gt;S56,"Dépassement budget indemnités","Conforme")))</f>
        <v/>
      </c>
      <c r="V56" t="str">
        <f t="shared" si="4"/>
        <v/>
      </c>
    </row>
    <row r="57" spans="1:22">
      <c r="A57">
        <f t="shared" si="0"/>
        <v>56</v>
      </c>
      <c r="C57" t="str">
        <f>+IFERROR(VLOOKUP(ControlePJTable[[#This Row],[Code activité]],'LISTES ACTIVITES'!$A$1:$B$38,2,FALSE()),"")</f>
        <v/>
      </c>
      <c r="D57" s="3"/>
      <c r="E57" s="3"/>
      <c r="F57" s="3"/>
      <c r="J57" s="5"/>
      <c r="K57" s="5"/>
      <c r="L57" s="5"/>
      <c r="M57" s="5" t="str">
        <f t="shared" si="1"/>
        <v/>
      </c>
      <c r="N57" s="5" t="str">
        <f t="shared" si="2"/>
        <v/>
      </c>
      <c r="Q57" t="str">
        <f t="shared" si="3"/>
        <v/>
      </c>
      <c r="R57" s="5" t="str">
        <f>IF(B57="","",SUMIFS(PRESENCES_INDEMNITES!$N$2:$N$501,PRESENCES_INDEMNITES!$B$2:$B$501,B57,PRESENCES_INDEMNITES!$S$2:$S$501,"CONFORME"))</f>
        <v/>
      </c>
      <c r="S57" s="5" t="str">
        <f>IF(B57="","",SUMIFS(REFERENTIEL_BUDGET!$J$2:$J$101,REFERENTIEL_BUDGET!$A$2:$A$101,B57,REFERENTIEL_BUDGET!$E$2:$E$101,"Indemnités participants"))</f>
        <v/>
      </c>
      <c r="T57" t="str">
        <f>IF(B57="","",IF(COUNTIFS(PRESENCES_INDEMNITES!$B$2:$B$501,B57,PRESENCES_INDEMNITES!$S$2:$S$501,"&lt;&gt;CONFORME",PRESENCES_INDEMNITES!$S$2:$S$501,"&lt;&gt;")&gt;0,"Anomalie détectée",IF(R57&gt;S57,"Dépassement budget indemnités","Conforme")))</f>
        <v/>
      </c>
      <c r="V57" t="str">
        <f t="shared" si="4"/>
        <v/>
      </c>
    </row>
    <row r="58" spans="1:22">
      <c r="A58">
        <f t="shared" si="0"/>
        <v>57</v>
      </c>
      <c r="C58" t="str">
        <f>+IFERROR(VLOOKUP(ControlePJTable[[#This Row],[Code activité]],'LISTES ACTIVITES'!$A$1:$B$38,2,FALSE()),"")</f>
        <v/>
      </c>
      <c r="D58" s="3"/>
      <c r="E58" s="3"/>
      <c r="F58" s="3"/>
      <c r="J58" s="5"/>
      <c r="K58" s="5"/>
      <c r="L58" s="5"/>
      <c r="M58" s="5" t="str">
        <f t="shared" si="1"/>
        <v/>
      </c>
      <c r="N58" s="5" t="str">
        <f t="shared" si="2"/>
        <v/>
      </c>
      <c r="Q58" t="str">
        <f t="shared" si="3"/>
        <v/>
      </c>
      <c r="R58" s="5" t="str">
        <f>IF(B58="","",SUMIFS(PRESENCES_INDEMNITES!$N$2:$N$501,PRESENCES_INDEMNITES!$B$2:$B$501,B58,PRESENCES_INDEMNITES!$S$2:$S$501,"CONFORME"))</f>
        <v/>
      </c>
      <c r="S58" s="5" t="str">
        <f>IF(B58="","",SUMIFS(REFERENTIEL_BUDGET!$J$2:$J$101,REFERENTIEL_BUDGET!$A$2:$A$101,B58,REFERENTIEL_BUDGET!$E$2:$E$101,"Indemnités participants"))</f>
        <v/>
      </c>
      <c r="T58" t="str">
        <f>IF(B58="","",IF(COUNTIFS(PRESENCES_INDEMNITES!$B$2:$B$501,B58,PRESENCES_INDEMNITES!$S$2:$S$501,"&lt;&gt;CONFORME",PRESENCES_INDEMNITES!$S$2:$S$501,"&lt;&gt;")&gt;0,"Anomalie détectée",IF(R58&gt;S58,"Dépassement budget indemnités","Conforme")))</f>
        <v/>
      </c>
      <c r="V58" t="str">
        <f t="shared" si="4"/>
        <v/>
      </c>
    </row>
    <row r="59" spans="1:22">
      <c r="A59">
        <f t="shared" si="0"/>
        <v>58</v>
      </c>
      <c r="C59" t="str">
        <f>+IFERROR(VLOOKUP(ControlePJTable[[#This Row],[Code activité]],'LISTES ACTIVITES'!$A$1:$B$38,2,FALSE()),"")</f>
        <v/>
      </c>
      <c r="D59" s="3"/>
      <c r="E59" s="3"/>
      <c r="F59" s="3"/>
      <c r="J59" s="5"/>
      <c r="K59" s="5"/>
      <c r="L59" s="5"/>
      <c r="M59" s="5" t="str">
        <f t="shared" si="1"/>
        <v/>
      </c>
      <c r="N59" s="5" t="str">
        <f t="shared" si="2"/>
        <v/>
      </c>
      <c r="Q59" t="str">
        <f t="shared" si="3"/>
        <v/>
      </c>
      <c r="R59" s="5" t="str">
        <f>IF(B59="","",SUMIFS(PRESENCES_INDEMNITES!$N$2:$N$501,PRESENCES_INDEMNITES!$B$2:$B$501,B59,PRESENCES_INDEMNITES!$S$2:$S$501,"CONFORME"))</f>
        <v/>
      </c>
      <c r="S59" s="5" t="str">
        <f>IF(B59="","",SUMIFS(REFERENTIEL_BUDGET!$J$2:$J$101,REFERENTIEL_BUDGET!$A$2:$A$101,B59,REFERENTIEL_BUDGET!$E$2:$E$101,"Indemnités participants"))</f>
        <v/>
      </c>
      <c r="T59" t="str">
        <f>IF(B59="","",IF(COUNTIFS(PRESENCES_INDEMNITES!$B$2:$B$501,B59,PRESENCES_INDEMNITES!$S$2:$S$501,"&lt;&gt;CONFORME",PRESENCES_INDEMNITES!$S$2:$S$501,"&lt;&gt;")&gt;0,"Anomalie détectée",IF(R59&gt;S59,"Dépassement budget indemnités","Conforme")))</f>
        <v/>
      </c>
      <c r="V59" t="str">
        <f t="shared" si="4"/>
        <v/>
      </c>
    </row>
    <row r="60" spans="1:22">
      <c r="A60">
        <f t="shared" si="0"/>
        <v>59</v>
      </c>
      <c r="C60" t="str">
        <f>+IFERROR(VLOOKUP(ControlePJTable[[#This Row],[Code activité]],'LISTES ACTIVITES'!$A$1:$B$38,2,FALSE()),"")</f>
        <v/>
      </c>
      <c r="D60" s="3"/>
      <c r="E60" s="3"/>
      <c r="F60" s="3"/>
      <c r="J60" s="5"/>
      <c r="K60" s="5"/>
      <c r="L60" s="5"/>
      <c r="M60" s="5" t="str">
        <f t="shared" si="1"/>
        <v/>
      </c>
      <c r="N60" s="5" t="str">
        <f t="shared" si="2"/>
        <v/>
      </c>
      <c r="Q60" t="str">
        <f t="shared" si="3"/>
        <v/>
      </c>
      <c r="R60" s="5" t="str">
        <f>IF(B60="","",SUMIFS(PRESENCES_INDEMNITES!$N$2:$N$501,PRESENCES_INDEMNITES!$B$2:$B$501,B60,PRESENCES_INDEMNITES!$S$2:$S$501,"CONFORME"))</f>
        <v/>
      </c>
      <c r="S60" s="5" t="str">
        <f>IF(B60="","",SUMIFS(REFERENTIEL_BUDGET!$J$2:$J$101,REFERENTIEL_BUDGET!$A$2:$A$101,B60,REFERENTIEL_BUDGET!$E$2:$E$101,"Indemnités participants"))</f>
        <v/>
      </c>
      <c r="T60" t="str">
        <f>IF(B60="","",IF(COUNTIFS(PRESENCES_INDEMNITES!$B$2:$B$501,B60,PRESENCES_INDEMNITES!$S$2:$S$501,"&lt;&gt;CONFORME",PRESENCES_INDEMNITES!$S$2:$S$501,"&lt;&gt;")&gt;0,"Anomalie détectée",IF(R60&gt;S60,"Dépassement budget indemnités","Conforme")))</f>
        <v/>
      </c>
      <c r="V60" t="str">
        <f t="shared" si="4"/>
        <v/>
      </c>
    </row>
    <row r="61" spans="1:22">
      <c r="A61">
        <f t="shared" si="0"/>
        <v>60</v>
      </c>
      <c r="C61" t="str">
        <f>+IFERROR(VLOOKUP(ControlePJTable[[#This Row],[Code activité]],'LISTES ACTIVITES'!$A$1:$B$38,2,FALSE()),"")</f>
        <v/>
      </c>
      <c r="D61" s="3"/>
      <c r="E61" s="3"/>
      <c r="F61" s="3"/>
      <c r="J61" s="5"/>
      <c r="K61" s="5"/>
      <c r="L61" s="5"/>
      <c r="M61" s="5" t="str">
        <f t="shared" si="1"/>
        <v/>
      </c>
      <c r="N61" s="5" t="str">
        <f t="shared" si="2"/>
        <v/>
      </c>
      <c r="Q61" t="str">
        <f t="shared" si="3"/>
        <v/>
      </c>
      <c r="R61" s="5" t="str">
        <f>IF(B61="","",SUMIFS(PRESENCES_INDEMNITES!$N$2:$N$501,PRESENCES_INDEMNITES!$B$2:$B$501,B61,PRESENCES_INDEMNITES!$S$2:$S$501,"CONFORME"))</f>
        <v/>
      </c>
      <c r="S61" s="5" t="str">
        <f>IF(B61="","",SUMIFS(REFERENTIEL_BUDGET!$J$2:$J$101,REFERENTIEL_BUDGET!$A$2:$A$101,B61,REFERENTIEL_BUDGET!$E$2:$E$101,"Indemnités participants"))</f>
        <v/>
      </c>
      <c r="T61" t="str">
        <f>IF(B61="","",IF(COUNTIFS(PRESENCES_INDEMNITES!$B$2:$B$501,B61,PRESENCES_INDEMNITES!$S$2:$S$501,"&lt;&gt;CONFORME",PRESENCES_INDEMNITES!$S$2:$S$501,"&lt;&gt;")&gt;0,"Anomalie détectée",IF(R61&gt;S61,"Dépassement budget indemnités","Conforme")))</f>
        <v/>
      </c>
      <c r="V61" t="str">
        <f t="shared" si="4"/>
        <v/>
      </c>
    </row>
    <row r="62" spans="1:22">
      <c r="A62">
        <f t="shared" si="0"/>
        <v>61</v>
      </c>
      <c r="C62" t="str">
        <f>+IFERROR(VLOOKUP(ControlePJTable[[#This Row],[Code activité]],'LISTES ACTIVITES'!$A$1:$B$38,2,FALSE()),"")</f>
        <v/>
      </c>
      <c r="D62" s="3"/>
      <c r="E62" s="3"/>
      <c r="F62" s="3"/>
      <c r="J62" s="5"/>
      <c r="K62" s="5"/>
      <c r="L62" s="5"/>
      <c r="M62" s="5" t="str">
        <f t="shared" si="1"/>
        <v/>
      </c>
      <c r="N62" s="5" t="str">
        <f t="shared" si="2"/>
        <v/>
      </c>
      <c r="Q62" t="str">
        <f t="shared" si="3"/>
        <v/>
      </c>
      <c r="R62" s="5" t="str">
        <f>IF(B62="","",SUMIFS(PRESENCES_INDEMNITES!$N$2:$N$501,PRESENCES_INDEMNITES!$B$2:$B$501,B62,PRESENCES_INDEMNITES!$S$2:$S$501,"CONFORME"))</f>
        <v/>
      </c>
      <c r="S62" s="5" t="str">
        <f>IF(B62="","",SUMIFS(REFERENTIEL_BUDGET!$J$2:$J$101,REFERENTIEL_BUDGET!$A$2:$A$101,B62,REFERENTIEL_BUDGET!$E$2:$E$101,"Indemnités participants"))</f>
        <v/>
      </c>
      <c r="T62" t="str">
        <f>IF(B62="","",IF(COUNTIFS(PRESENCES_INDEMNITES!$B$2:$B$501,B62,PRESENCES_INDEMNITES!$S$2:$S$501,"&lt;&gt;CONFORME",PRESENCES_INDEMNITES!$S$2:$S$501,"&lt;&gt;")&gt;0,"Anomalie détectée",IF(R62&gt;S62,"Dépassement budget indemnités","Conforme")))</f>
        <v/>
      </c>
      <c r="V62" t="str">
        <f t="shared" si="4"/>
        <v/>
      </c>
    </row>
    <row r="63" spans="1:22">
      <c r="A63">
        <f t="shared" si="0"/>
        <v>62</v>
      </c>
      <c r="C63" t="str">
        <f>+IFERROR(VLOOKUP(ControlePJTable[[#This Row],[Code activité]],'LISTES ACTIVITES'!$A$1:$B$38,2,FALSE()),"")</f>
        <v/>
      </c>
      <c r="D63" s="3"/>
      <c r="E63" s="3"/>
      <c r="F63" s="3"/>
      <c r="J63" s="5"/>
      <c r="K63" s="5"/>
      <c r="L63" s="5"/>
      <c r="M63" s="5" t="str">
        <f t="shared" si="1"/>
        <v/>
      </c>
      <c r="N63" s="5" t="str">
        <f t="shared" si="2"/>
        <v/>
      </c>
      <c r="Q63" t="str">
        <f t="shared" si="3"/>
        <v/>
      </c>
      <c r="R63" s="5" t="str">
        <f>IF(B63="","",SUMIFS(PRESENCES_INDEMNITES!$N$2:$N$501,PRESENCES_INDEMNITES!$B$2:$B$501,B63,PRESENCES_INDEMNITES!$S$2:$S$501,"CONFORME"))</f>
        <v/>
      </c>
      <c r="S63" s="5" t="str">
        <f>IF(B63="","",SUMIFS(REFERENTIEL_BUDGET!$J$2:$J$101,REFERENTIEL_BUDGET!$A$2:$A$101,B63,REFERENTIEL_BUDGET!$E$2:$E$101,"Indemnités participants"))</f>
        <v/>
      </c>
      <c r="T63" t="str">
        <f>IF(B63="","",IF(COUNTIFS(PRESENCES_INDEMNITES!$B$2:$B$501,B63,PRESENCES_INDEMNITES!$S$2:$S$501,"&lt;&gt;CONFORME",PRESENCES_INDEMNITES!$S$2:$S$501,"&lt;&gt;")&gt;0,"Anomalie détectée",IF(R63&gt;S63,"Dépassement budget indemnités","Conforme")))</f>
        <v/>
      </c>
      <c r="V63" t="str">
        <f t="shared" si="4"/>
        <v/>
      </c>
    </row>
    <row r="64" spans="1:22">
      <c r="A64">
        <f t="shared" si="0"/>
        <v>63</v>
      </c>
      <c r="C64" t="str">
        <f>+IFERROR(VLOOKUP(ControlePJTable[[#This Row],[Code activité]],'LISTES ACTIVITES'!$A$1:$B$38,2,FALSE()),"")</f>
        <v/>
      </c>
      <c r="D64" s="3"/>
      <c r="E64" s="3"/>
      <c r="F64" s="3"/>
      <c r="J64" s="5"/>
      <c r="K64" s="5"/>
      <c r="L64" s="5"/>
      <c r="M64" s="5" t="str">
        <f t="shared" si="1"/>
        <v/>
      </c>
      <c r="N64" s="5" t="str">
        <f t="shared" si="2"/>
        <v/>
      </c>
      <c r="Q64" t="str">
        <f t="shared" si="3"/>
        <v/>
      </c>
      <c r="R64" s="5" t="str">
        <f>IF(B64="","",SUMIFS(PRESENCES_INDEMNITES!$N$2:$N$501,PRESENCES_INDEMNITES!$B$2:$B$501,B64,PRESENCES_INDEMNITES!$S$2:$S$501,"CONFORME"))</f>
        <v/>
      </c>
      <c r="S64" s="5" t="str">
        <f>IF(B64="","",SUMIFS(REFERENTIEL_BUDGET!$J$2:$J$101,REFERENTIEL_BUDGET!$A$2:$A$101,B64,REFERENTIEL_BUDGET!$E$2:$E$101,"Indemnités participants"))</f>
        <v/>
      </c>
      <c r="T64" t="str">
        <f>IF(B64="","",IF(COUNTIFS(PRESENCES_INDEMNITES!$B$2:$B$501,B64,PRESENCES_INDEMNITES!$S$2:$S$501,"&lt;&gt;CONFORME",PRESENCES_INDEMNITES!$S$2:$S$501,"&lt;&gt;")&gt;0,"Anomalie détectée",IF(R64&gt;S64,"Dépassement budget indemnités","Conforme")))</f>
        <v/>
      </c>
      <c r="V64" t="str">
        <f t="shared" si="4"/>
        <v/>
      </c>
    </row>
    <row r="65" spans="1:22">
      <c r="A65">
        <f t="shared" si="0"/>
        <v>64</v>
      </c>
      <c r="C65" t="str">
        <f>+IFERROR(VLOOKUP(ControlePJTable[[#This Row],[Code activité]],'LISTES ACTIVITES'!$A$1:$B$38,2,FALSE()),"")</f>
        <v/>
      </c>
      <c r="D65" s="3"/>
      <c r="E65" s="3"/>
      <c r="F65" s="3"/>
      <c r="J65" s="5"/>
      <c r="K65" s="5"/>
      <c r="L65" s="5"/>
      <c r="M65" s="5" t="str">
        <f t="shared" si="1"/>
        <v/>
      </c>
      <c r="N65" s="5" t="str">
        <f t="shared" si="2"/>
        <v/>
      </c>
      <c r="Q65" t="str">
        <f t="shared" si="3"/>
        <v/>
      </c>
      <c r="R65" s="5" t="str">
        <f>IF(B65="","",SUMIFS(PRESENCES_INDEMNITES!$N$2:$N$501,PRESENCES_INDEMNITES!$B$2:$B$501,B65,PRESENCES_INDEMNITES!$S$2:$S$501,"CONFORME"))</f>
        <v/>
      </c>
      <c r="S65" s="5" t="str">
        <f>IF(B65="","",SUMIFS(REFERENTIEL_BUDGET!$J$2:$J$101,REFERENTIEL_BUDGET!$A$2:$A$101,B65,REFERENTIEL_BUDGET!$E$2:$E$101,"Indemnités participants"))</f>
        <v/>
      </c>
      <c r="T65" t="str">
        <f>IF(B65="","",IF(COUNTIFS(PRESENCES_INDEMNITES!$B$2:$B$501,B65,PRESENCES_INDEMNITES!$S$2:$S$501,"&lt;&gt;CONFORME",PRESENCES_INDEMNITES!$S$2:$S$501,"&lt;&gt;")&gt;0,"Anomalie détectée",IF(R65&gt;S65,"Dépassement budget indemnités","Conforme")))</f>
        <v/>
      </c>
      <c r="V65" t="str">
        <f t="shared" si="4"/>
        <v/>
      </c>
    </row>
    <row r="66" spans="1:22">
      <c r="A66">
        <f t="shared" ref="A66:A129" si="5">ROW()-1</f>
        <v>65</v>
      </c>
      <c r="C66" t="str">
        <f>+IFERROR(VLOOKUP(ControlePJTable[[#This Row],[Code activité]],'LISTES ACTIVITES'!$A$1:$B$38,2,FALSE()),"")</f>
        <v/>
      </c>
      <c r="D66" s="3"/>
      <c r="E66" s="3"/>
      <c r="F66" s="3"/>
      <c r="J66" s="5"/>
      <c r="K66" s="5"/>
      <c r="L66" s="5"/>
      <c r="M66" s="5" t="str">
        <f t="shared" ref="M66:M129" si="6">IF(OR(J66="",K66=""),"",K66-J66)</f>
        <v/>
      </c>
      <c r="N66" s="5" t="str">
        <f t="shared" ref="N66:N129" si="7">IF(OR(K66="",L66=""),"",L66-K66)</f>
        <v/>
      </c>
      <c r="Q66" t="str">
        <f t="shared" ref="Q66:Q129" si="8">IF(OR(D66="",E66="",F66=""),"",IF(AND(F66&gt;=D66,E66&lt;=F66),"Oui","Non"))</f>
        <v/>
      </c>
      <c r="R66" s="5" t="str">
        <f>IF(B66="","",SUMIFS(PRESENCES_INDEMNITES!$N$2:$N$501,PRESENCES_INDEMNITES!$B$2:$B$501,B66,PRESENCES_INDEMNITES!$S$2:$S$501,"CONFORME"))</f>
        <v/>
      </c>
      <c r="S66" s="5" t="str">
        <f>IF(B66="","",SUMIFS(REFERENTIEL_BUDGET!$J$2:$J$101,REFERENTIEL_BUDGET!$A$2:$A$101,B66,REFERENTIEL_BUDGET!$E$2:$E$101,"Indemnités participants"))</f>
        <v/>
      </c>
      <c r="T66" t="str">
        <f>IF(B66="","",IF(COUNTIFS(PRESENCES_INDEMNITES!$B$2:$B$501,B66,PRESENCES_INDEMNITES!$S$2:$S$501,"&lt;&gt;CONFORME",PRESENCES_INDEMNITES!$S$2:$S$501,"&lt;&gt;")&gt;0,"Anomalie détectée",IF(R66&gt;S66,"Dépassement budget indemnités","Conforme")))</f>
        <v/>
      </c>
      <c r="V66" t="str">
        <f t="shared" ref="V66:V129" si="9">IF(O66="Non","PJ non reçue",IF(O66="","",IF(Q66="Non","Date PJ non conforme",IF(OR(M66&gt;0,N66&lt;&gt;0,P66="Non",T66="Anomalie détectée",T66="Dépassement budget indemnités"),"Non conforme",IF(P66="À vérifier","À vérifier","Conforme")))))</f>
        <v/>
      </c>
    </row>
    <row r="67" spans="1:22">
      <c r="A67">
        <f t="shared" si="5"/>
        <v>66</v>
      </c>
      <c r="C67" t="str">
        <f>+IFERROR(VLOOKUP(ControlePJTable[[#This Row],[Code activité]],'LISTES ACTIVITES'!$A$1:$B$38,2,FALSE()),"")</f>
        <v/>
      </c>
      <c r="D67" s="3"/>
      <c r="E67" s="3"/>
      <c r="F67" s="3"/>
      <c r="J67" s="5"/>
      <c r="K67" s="5"/>
      <c r="L67" s="5"/>
      <c r="M67" s="5" t="str">
        <f t="shared" si="6"/>
        <v/>
      </c>
      <c r="N67" s="5" t="str">
        <f t="shared" si="7"/>
        <v/>
      </c>
      <c r="Q67" t="str">
        <f t="shared" si="8"/>
        <v/>
      </c>
      <c r="R67" s="5" t="str">
        <f>IF(B67="","",SUMIFS(PRESENCES_INDEMNITES!$N$2:$N$501,PRESENCES_INDEMNITES!$B$2:$B$501,B67,PRESENCES_INDEMNITES!$S$2:$S$501,"CONFORME"))</f>
        <v/>
      </c>
      <c r="S67" s="5" t="str">
        <f>IF(B67="","",SUMIFS(REFERENTIEL_BUDGET!$J$2:$J$101,REFERENTIEL_BUDGET!$A$2:$A$101,B67,REFERENTIEL_BUDGET!$E$2:$E$101,"Indemnités participants"))</f>
        <v/>
      </c>
      <c r="T67" t="str">
        <f>IF(B67="","",IF(COUNTIFS(PRESENCES_INDEMNITES!$B$2:$B$501,B67,PRESENCES_INDEMNITES!$S$2:$S$501,"&lt;&gt;CONFORME",PRESENCES_INDEMNITES!$S$2:$S$501,"&lt;&gt;")&gt;0,"Anomalie détectée",IF(R67&gt;S67,"Dépassement budget indemnités","Conforme")))</f>
        <v/>
      </c>
      <c r="V67" t="str">
        <f t="shared" si="9"/>
        <v/>
      </c>
    </row>
    <row r="68" spans="1:22">
      <c r="A68">
        <f t="shared" si="5"/>
        <v>67</v>
      </c>
      <c r="C68" t="str">
        <f>+IFERROR(VLOOKUP(ControlePJTable[[#This Row],[Code activité]],'LISTES ACTIVITES'!$A$1:$B$38,2,FALSE()),"")</f>
        <v/>
      </c>
      <c r="D68" s="3"/>
      <c r="E68" s="3"/>
      <c r="F68" s="3"/>
      <c r="J68" s="5"/>
      <c r="K68" s="5"/>
      <c r="L68" s="5"/>
      <c r="M68" s="5" t="str">
        <f t="shared" si="6"/>
        <v/>
      </c>
      <c r="N68" s="5" t="str">
        <f t="shared" si="7"/>
        <v/>
      </c>
      <c r="Q68" t="str">
        <f t="shared" si="8"/>
        <v/>
      </c>
      <c r="R68" s="5" t="str">
        <f>IF(B68="","",SUMIFS(PRESENCES_INDEMNITES!$N$2:$N$501,PRESENCES_INDEMNITES!$B$2:$B$501,B68,PRESENCES_INDEMNITES!$S$2:$S$501,"CONFORME"))</f>
        <v/>
      </c>
      <c r="S68" s="5" t="str">
        <f>IF(B68="","",SUMIFS(REFERENTIEL_BUDGET!$J$2:$J$101,REFERENTIEL_BUDGET!$A$2:$A$101,B68,REFERENTIEL_BUDGET!$E$2:$E$101,"Indemnités participants"))</f>
        <v/>
      </c>
      <c r="T68" t="str">
        <f>IF(B68="","",IF(COUNTIFS(PRESENCES_INDEMNITES!$B$2:$B$501,B68,PRESENCES_INDEMNITES!$S$2:$S$501,"&lt;&gt;CONFORME",PRESENCES_INDEMNITES!$S$2:$S$501,"&lt;&gt;")&gt;0,"Anomalie détectée",IF(R68&gt;S68,"Dépassement budget indemnités","Conforme")))</f>
        <v/>
      </c>
      <c r="V68" t="str">
        <f t="shared" si="9"/>
        <v/>
      </c>
    </row>
    <row r="69" spans="1:22">
      <c r="A69">
        <f t="shared" si="5"/>
        <v>68</v>
      </c>
      <c r="C69" t="str">
        <f>+IFERROR(VLOOKUP(ControlePJTable[[#This Row],[Code activité]],'LISTES ACTIVITES'!$A$1:$B$38,2,FALSE()),"")</f>
        <v/>
      </c>
      <c r="D69" s="3"/>
      <c r="E69" s="3"/>
      <c r="F69" s="3"/>
      <c r="J69" s="5"/>
      <c r="K69" s="5"/>
      <c r="L69" s="5"/>
      <c r="M69" s="5" t="str">
        <f t="shared" si="6"/>
        <v/>
      </c>
      <c r="N69" s="5" t="str">
        <f t="shared" si="7"/>
        <v/>
      </c>
      <c r="Q69" t="str">
        <f t="shared" si="8"/>
        <v/>
      </c>
      <c r="R69" s="5" t="str">
        <f>IF(B69="","",SUMIFS(PRESENCES_INDEMNITES!$N$2:$N$501,PRESENCES_INDEMNITES!$B$2:$B$501,B69,PRESENCES_INDEMNITES!$S$2:$S$501,"CONFORME"))</f>
        <v/>
      </c>
      <c r="S69" s="5" t="str">
        <f>IF(B69="","",SUMIFS(REFERENTIEL_BUDGET!$J$2:$J$101,REFERENTIEL_BUDGET!$A$2:$A$101,B69,REFERENTIEL_BUDGET!$E$2:$E$101,"Indemnités participants"))</f>
        <v/>
      </c>
      <c r="T69" t="str">
        <f>IF(B69="","",IF(COUNTIFS(PRESENCES_INDEMNITES!$B$2:$B$501,B69,PRESENCES_INDEMNITES!$S$2:$S$501,"&lt;&gt;CONFORME",PRESENCES_INDEMNITES!$S$2:$S$501,"&lt;&gt;")&gt;0,"Anomalie détectée",IF(R69&gt;S69,"Dépassement budget indemnités","Conforme")))</f>
        <v/>
      </c>
      <c r="V69" t="str">
        <f t="shared" si="9"/>
        <v/>
      </c>
    </row>
    <row r="70" spans="1:22">
      <c r="A70">
        <f t="shared" si="5"/>
        <v>69</v>
      </c>
      <c r="C70" t="str">
        <f>+IFERROR(VLOOKUP(ControlePJTable[[#This Row],[Code activité]],'LISTES ACTIVITES'!$A$1:$B$38,2,FALSE()),"")</f>
        <v/>
      </c>
      <c r="D70" s="3"/>
      <c r="E70" s="3"/>
      <c r="F70" s="3"/>
      <c r="J70" s="5"/>
      <c r="K70" s="5"/>
      <c r="L70" s="5"/>
      <c r="M70" s="5" t="str">
        <f t="shared" si="6"/>
        <v/>
      </c>
      <c r="N70" s="5" t="str">
        <f t="shared" si="7"/>
        <v/>
      </c>
      <c r="Q70" t="str">
        <f t="shared" si="8"/>
        <v/>
      </c>
      <c r="R70" s="5" t="str">
        <f>IF(B70="","",SUMIFS(PRESENCES_INDEMNITES!$N$2:$N$501,PRESENCES_INDEMNITES!$B$2:$B$501,B70,PRESENCES_INDEMNITES!$S$2:$S$501,"CONFORME"))</f>
        <v/>
      </c>
      <c r="S70" s="5" t="str">
        <f>IF(B70="","",SUMIFS(REFERENTIEL_BUDGET!$J$2:$J$101,REFERENTIEL_BUDGET!$A$2:$A$101,B70,REFERENTIEL_BUDGET!$E$2:$E$101,"Indemnités participants"))</f>
        <v/>
      </c>
      <c r="T70" t="str">
        <f>IF(B70="","",IF(COUNTIFS(PRESENCES_INDEMNITES!$B$2:$B$501,B70,PRESENCES_INDEMNITES!$S$2:$S$501,"&lt;&gt;CONFORME",PRESENCES_INDEMNITES!$S$2:$S$501,"&lt;&gt;")&gt;0,"Anomalie détectée",IF(R70&gt;S70,"Dépassement budget indemnités","Conforme")))</f>
        <v/>
      </c>
      <c r="V70" t="str">
        <f t="shared" si="9"/>
        <v/>
      </c>
    </row>
    <row r="71" spans="1:22">
      <c r="A71">
        <f t="shared" si="5"/>
        <v>70</v>
      </c>
      <c r="C71" t="str">
        <f>+IFERROR(VLOOKUP(ControlePJTable[[#This Row],[Code activité]],'LISTES ACTIVITES'!$A$1:$B$38,2,FALSE()),"")</f>
        <v/>
      </c>
      <c r="D71" s="3"/>
      <c r="E71" s="3"/>
      <c r="F71" s="3"/>
      <c r="J71" s="5"/>
      <c r="K71" s="5"/>
      <c r="L71" s="5"/>
      <c r="M71" s="5" t="str">
        <f t="shared" si="6"/>
        <v/>
      </c>
      <c r="N71" s="5" t="str">
        <f t="shared" si="7"/>
        <v/>
      </c>
      <c r="Q71" t="str">
        <f t="shared" si="8"/>
        <v/>
      </c>
      <c r="R71" s="5" t="str">
        <f>IF(B71="","",SUMIFS(PRESENCES_INDEMNITES!$N$2:$N$501,PRESENCES_INDEMNITES!$B$2:$B$501,B71,PRESENCES_INDEMNITES!$S$2:$S$501,"CONFORME"))</f>
        <v/>
      </c>
      <c r="S71" s="5" t="str">
        <f>IF(B71="","",SUMIFS(REFERENTIEL_BUDGET!$J$2:$J$101,REFERENTIEL_BUDGET!$A$2:$A$101,B71,REFERENTIEL_BUDGET!$E$2:$E$101,"Indemnités participants"))</f>
        <v/>
      </c>
      <c r="T71" t="str">
        <f>IF(B71="","",IF(COUNTIFS(PRESENCES_INDEMNITES!$B$2:$B$501,B71,PRESENCES_INDEMNITES!$S$2:$S$501,"&lt;&gt;CONFORME",PRESENCES_INDEMNITES!$S$2:$S$501,"&lt;&gt;")&gt;0,"Anomalie détectée",IF(R71&gt;S71,"Dépassement budget indemnités","Conforme")))</f>
        <v/>
      </c>
      <c r="V71" t="str">
        <f t="shared" si="9"/>
        <v/>
      </c>
    </row>
    <row r="72" spans="1:22">
      <c r="A72">
        <f t="shared" si="5"/>
        <v>71</v>
      </c>
      <c r="C72" t="str">
        <f>+IFERROR(VLOOKUP(ControlePJTable[[#This Row],[Code activité]],'LISTES ACTIVITES'!$A$1:$B$38,2,FALSE()),"")</f>
        <v/>
      </c>
      <c r="D72" s="3"/>
      <c r="E72" s="3"/>
      <c r="F72" s="3"/>
      <c r="J72" s="5"/>
      <c r="K72" s="5"/>
      <c r="L72" s="5"/>
      <c r="M72" s="5" t="str">
        <f t="shared" si="6"/>
        <v/>
      </c>
      <c r="N72" s="5" t="str">
        <f t="shared" si="7"/>
        <v/>
      </c>
      <c r="Q72" t="str">
        <f t="shared" si="8"/>
        <v/>
      </c>
      <c r="R72" s="5" t="str">
        <f>IF(B72="","",SUMIFS(PRESENCES_INDEMNITES!$N$2:$N$501,PRESENCES_INDEMNITES!$B$2:$B$501,B72,PRESENCES_INDEMNITES!$S$2:$S$501,"CONFORME"))</f>
        <v/>
      </c>
      <c r="S72" s="5" t="str">
        <f>IF(B72="","",SUMIFS(REFERENTIEL_BUDGET!$J$2:$J$101,REFERENTIEL_BUDGET!$A$2:$A$101,B72,REFERENTIEL_BUDGET!$E$2:$E$101,"Indemnités participants"))</f>
        <v/>
      </c>
      <c r="T72" t="str">
        <f>IF(B72="","",IF(COUNTIFS(PRESENCES_INDEMNITES!$B$2:$B$501,B72,PRESENCES_INDEMNITES!$S$2:$S$501,"&lt;&gt;CONFORME",PRESENCES_INDEMNITES!$S$2:$S$501,"&lt;&gt;")&gt;0,"Anomalie détectée",IF(R72&gt;S72,"Dépassement budget indemnités","Conforme")))</f>
        <v/>
      </c>
      <c r="V72" t="str">
        <f t="shared" si="9"/>
        <v/>
      </c>
    </row>
    <row r="73" spans="1:22">
      <c r="A73">
        <f t="shared" si="5"/>
        <v>72</v>
      </c>
      <c r="C73" t="str">
        <f>+IFERROR(VLOOKUP(ControlePJTable[[#This Row],[Code activité]],'LISTES ACTIVITES'!$A$1:$B$38,2,FALSE()),"")</f>
        <v/>
      </c>
      <c r="D73" s="3"/>
      <c r="E73" s="3"/>
      <c r="F73" s="3"/>
      <c r="J73" s="5"/>
      <c r="K73" s="5"/>
      <c r="L73" s="5"/>
      <c r="M73" s="5" t="str">
        <f t="shared" si="6"/>
        <v/>
      </c>
      <c r="N73" s="5" t="str">
        <f t="shared" si="7"/>
        <v/>
      </c>
      <c r="Q73" t="str">
        <f t="shared" si="8"/>
        <v/>
      </c>
      <c r="R73" s="5" t="str">
        <f>IF(B73="","",SUMIFS(PRESENCES_INDEMNITES!$N$2:$N$501,PRESENCES_INDEMNITES!$B$2:$B$501,B73,PRESENCES_INDEMNITES!$S$2:$S$501,"CONFORME"))</f>
        <v/>
      </c>
      <c r="S73" s="5" t="str">
        <f>IF(B73="","",SUMIFS(REFERENTIEL_BUDGET!$J$2:$J$101,REFERENTIEL_BUDGET!$A$2:$A$101,B73,REFERENTIEL_BUDGET!$E$2:$E$101,"Indemnités participants"))</f>
        <v/>
      </c>
      <c r="T73" t="str">
        <f>IF(B73="","",IF(COUNTIFS(PRESENCES_INDEMNITES!$B$2:$B$501,B73,PRESENCES_INDEMNITES!$S$2:$S$501,"&lt;&gt;CONFORME",PRESENCES_INDEMNITES!$S$2:$S$501,"&lt;&gt;")&gt;0,"Anomalie détectée",IF(R73&gt;S73,"Dépassement budget indemnités","Conforme")))</f>
        <v/>
      </c>
      <c r="V73" t="str">
        <f t="shared" si="9"/>
        <v/>
      </c>
    </row>
    <row r="74" spans="1:22">
      <c r="A74">
        <f t="shared" si="5"/>
        <v>73</v>
      </c>
      <c r="C74" t="str">
        <f>+IFERROR(VLOOKUP(ControlePJTable[[#This Row],[Code activité]],'LISTES ACTIVITES'!$A$1:$B$38,2,FALSE()),"")</f>
        <v/>
      </c>
      <c r="D74" s="3"/>
      <c r="E74" s="3"/>
      <c r="F74" s="3"/>
      <c r="J74" s="5"/>
      <c r="K74" s="5"/>
      <c r="L74" s="5"/>
      <c r="M74" s="5" t="str">
        <f t="shared" si="6"/>
        <v/>
      </c>
      <c r="N74" s="5" t="str">
        <f t="shared" si="7"/>
        <v/>
      </c>
      <c r="Q74" t="str">
        <f t="shared" si="8"/>
        <v/>
      </c>
      <c r="R74" s="5" t="str">
        <f>IF(B74="","",SUMIFS(PRESENCES_INDEMNITES!$N$2:$N$501,PRESENCES_INDEMNITES!$B$2:$B$501,B74,PRESENCES_INDEMNITES!$S$2:$S$501,"CONFORME"))</f>
        <v/>
      </c>
      <c r="S74" s="5" t="str">
        <f>IF(B74="","",SUMIFS(REFERENTIEL_BUDGET!$J$2:$J$101,REFERENTIEL_BUDGET!$A$2:$A$101,B74,REFERENTIEL_BUDGET!$E$2:$E$101,"Indemnités participants"))</f>
        <v/>
      </c>
      <c r="T74" t="str">
        <f>IF(B74="","",IF(COUNTIFS(PRESENCES_INDEMNITES!$B$2:$B$501,B74,PRESENCES_INDEMNITES!$S$2:$S$501,"&lt;&gt;CONFORME",PRESENCES_INDEMNITES!$S$2:$S$501,"&lt;&gt;")&gt;0,"Anomalie détectée",IF(R74&gt;S74,"Dépassement budget indemnités","Conforme")))</f>
        <v/>
      </c>
      <c r="V74" t="str">
        <f t="shared" si="9"/>
        <v/>
      </c>
    </row>
    <row r="75" spans="1:22">
      <c r="A75">
        <f t="shared" si="5"/>
        <v>74</v>
      </c>
      <c r="C75" t="str">
        <f>+IFERROR(VLOOKUP(ControlePJTable[[#This Row],[Code activité]],'LISTES ACTIVITES'!$A$1:$B$38,2,FALSE()),"")</f>
        <v/>
      </c>
      <c r="D75" s="3"/>
      <c r="E75" s="3"/>
      <c r="F75" s="3"/>
      <c r="J75" s="5"/>
      <c r="K75" s="5"/>
      <c r="L75" s="5"/>
      <c r="M75" s="5" t="str">
        <f t="shared" si="6"/>
        <v/>
      </c>
      <c r="N75" s="5" t="str">
        <f t="shared" si="7"/>
        <v/>
      </c>
      <c r="Q75" t="str">
        <f t="shared" si="8"/>
        <v/>
      </c>
      <c r="R75" s="5" t="str">
        <f>IF(B75="","",SUMIFS(PRESENCES_INDEMNITES!$N$2:$N$501,PRESENCES_INDEMNITES!$B$2:$B$501,B75,PRESENCES_INDEMNITES!$S$2:$S$501,"CONFORME"))</f>
        <v/>
      </c>
      <c r="S75" s="5" t="str">
        <f>IF(B75="","",SUMIFS(REFERENTIEL_BUDGET!$J$2:$J$101,REFERENTIEL_BUDGET!$A$2:$A$101,B75,REFERENTIEL_BUDGET!$E$2:$E$101,"Indemnités participants"))</f>
        <v/>
      </c>
      <c r="T75" t="str">
        <f>IF(B75="","",IF(COUNTIFS(PRESENCES_INDEMNITES!$B$2:$B$501,B75,PRESENCES_INDEMNITES!$S$2:$S$501,"&lt;&gt;CONFORME",PRESENCES_INDEMNITES!$S$2:$S$501,"&lt;&gt;")&gt;0,"Anomalie détectée",IF(R75&gt;S75,"Dépassement budget indemnités","Conforme")))</f>
        <v/>
      </c>
      <c r="V75" t="str">
        <f t="shared" si="9"/>
        <v/>
      </c>
    </row>
    <row r="76" spans="1:22">
      <c r="A76">
        <f t="shared" si="5"/>
        <v>75</v>
      </c>
      <c r="C76" t="str">
        <f>+IFERROR(VLOOKUP(ControlePJTable[[#This Row],[Code activité]],'LISTES ACTIVITES'!$A$1:$B$38,2,FALSE()),"")</f>
        <v/>
      </c>
      <c r="D76" s="3"/>
      <c r="E76" s="3"/>
      <c r="F76" s="3"/>
      <c r="J76" s="5"/>
      <c r="K76" s="5"/>
      <c r="L76" s="5"/>
      <c r="M76" s="5" t="str">
        <f t="shared" si="6"/>
        <v/>
      </c>
      <c r="N76" s="5" t="str">
        <f t="shared" si="7"/>
        <v/>
      </c>
      <c r="Q76" t="str">
        <f t="shared" si="8"/>
        <v/>
      </c>
      <c r="R76" s="5" t="str">
        <f>IF(B76="","",SUMIFS(PRESENCES_INDEMNITES!$N$2:$N$501,PRESENCES_INDEMNITES!$B$2:$B$501,B76,PRESENCES_INDEMNITES!$S$2:$S$501,"CONFORME"))</f>
        <v/>
      </c>
      <c r="S76" s="5" t="str">
        <f>IF(B76="","",SUMIFS(REFERENTIEL_BUDGET!$J$2:$J$101,REFERENTIEL_BUDGET!$A$2:$A$101,B76,REFERENTIEL_BUDGET!$E$2:$E$101,"Indemnités participants"))</f>
        <v/>
      </c>
      <c r="T76" t="str">
        <f>IF(B76="","",IF(COUNTIFS(PRESENCES_INDEMNITES!$B$2:$B$501,B76,PRESENCES_INDEMNITES!$S$2:$S$501,"&lt;&gt;CONFORME",PRESENCES_INDEMNITES!$S$2:$S$501,"&lt;&gt;")&gt;0,"Anomalie détectée",IF(R76&gt;S76,"Dépassement budget indemnités","Conforme")))</f>
        <v/>
      </c>
      <c r="V76" t="str">
        <f t="shared" si="9"/>
        <v/>
      </c>
    </row>
    <row r="77" spans="1:22">
      <c r="A77">
        <f t="shared" si="5"/>
        <v>76</v>
      </c>
      <c r="C77" t="str">
        <f>+IFERROR(VLOOKUP(ControlePJTable[[#This Row],[Code activité]],'LISTES ACTIVITES'!$A$1:$B$38,2,FALSE()),"")</f>
        <v/>
      </c>
      <c r="D77" s="3"/>
      <c r="E77" s="3"/>
      <c r="F77" s="3"/>
      <c r="J77" s="5"/>
      <c r="K77" s="5"/>
      <c r="L77" s="5"/>
      <c r="M77" s="5" t="str">
        <f t="shared" si="6"/>
        <v/>
      </c>
      <c r="N77" s="5" t="str">
        <f t="shared" si="7"/>
        <v/>
      </c>
      <c r="Q77" t="str">
        <f t="shared" si="8"/>
        <v/>
      </c>
      <c r="R77" s="5" t="str">
        <f>IF(B77="","",SUMIFS(PRESENCES_INDEMNITES!$N$2:$N$501,PRESENCES_INDEMNITES!$B$2:$B$501,B77,PRESENCES_INDEMNITES!$S$2:$S$501,"CONFORME"))</f>
        <v/>
      </c>
      <c r="S77" s="5" t="str">
        <f>IF(B77="","",SUMIFS(REFERENTIEL_BUDGET!$J$2:$J$101,REFERENTIEL_BUDGET!$A$2:$A$101,B77,REFERENTIEL_BUDGET!$E$2:$E$101,"Indemnités participants"))</f>
        <v/>
      </c>
      <c r="T77" t="str">
        <f>IF(B77="","",IF(COUNTIFS(PRESENCES_INDEMNITES!$B$2:$B$501,B77,PRESENCES_INDEMNITES!$S$2:$S$501,"&lt;&gt;CONFORME",PRESENCES_INDEMNITES!$S$2:$S$501,"&lt;&gt;")&gt;0,"Anomalie détectée",IF(R77&gt;S77,"Dépassement budget indemnités","Conforme")))</f>
        <v/>
      </c>
      <c r="V77" t="str">
        <f t="shared" si="9"/>
        <v/>
      </c>
    </row>
    <row r="78" spans="1:22">
      <c r="A78">
        <f t="shared" si="5"/>
        <v>77</v>
      </c>
      <c r="C78" t="str">
        <f>+IFERROR(VLOOKUP(ControlePJTable[[#This Row],[Code activité]],'LISTES ACTIVITES'!$A$1:$B$38,2,FALSE()),"")</f>
        <v/>
      </c>
      <c r="D78" s="3"/>
      <c r="E78" s="3"/>
      <c r="F78" s="3"/>
      <c r="J78" s="5"/>
      <c r="K78" s="5"/>
      <c r="L78" s="5"/>
      <c r="M78" s="5" t="str">
        <f t="shared" si="6"/>
        <v/>
      </c>
      <c r="N78" s="5" t="str">
        <f t="shared" si="7"/>
        <v/>
      </c>
      <c r="Q78" t="str">
        <f t="shared" si="8"/>
        <v/>
      </c>
      <c r="R78" s="5" t="str">
        <f>IF(B78="","",SUMIFS(PRESENCES_INDEMNITES!$N$2:$N$501,PRESENCES_INDEMNITES!$B$2:$B$501,B78,PRESENCES_INDEMNITES!$S$2:$S$501,"CONFORME"))</f>
        <v/>
      </c>
      <c r="S78" s="5" t="str">
        <f>IF(B78="","",SUMIFS(REFERENTIEL_BUDGET!$J$2:$J$101,REFERENTIEL_BUDGET!$A$2:$A$101,B78,REFERENTIEL_BUDGET!$E$2:$E$101,"Indemnités participants"))</f>
        <v/>
      </c>
      <c r="T78" t="str">
        <f>IF(B78="","",IF(COUNTIFS(PRESENCES_INDEMNITES!$B$2:$B$501,B78,PRESENCES_INDEMNITES!$S$2:$S$501,"&lt;&gt;CONFORME",PRESENCES_INDEMNITES!$S$2:$S$501,"&lt;&gt;")&gt;0,"Anomalie détectée",IF(R78&gt;S78,"Dépassement budget indemnités","Conforme")))</f>
        <v/>
      </c>
      <c r="V78" t="str">
        <f t="shared" si="9"/>
        <v/>
      </c>
    </row>
    <row r="79" spans="1:22">
      <c r="A79">
        <f t="shared" si="5"/>
        <v>78</v>
      </c>
      <c r="C79" t="str">
        <f>+IFERROR(VLOOKUP(ControlePJTable[[#This Row],[Code activité]],'LISTES ACTIVITES'!$A$1:$B$38,2,FALSE()),"")</f>
        <v/>
      </c>
      <c r="D79" s="3"/>
      <c r="E79" s="3"/>
      <c r="F79" s="3"/>
      <c r="J79" s="5"/>
      <c r="K79" s="5"/>
      <c r="L79" s="5"/>
      <c r="M79" s="5" t="str">
        <f t="shared" si="6"/>
        <v/>
      </c>
      <c r="N79" s="5" t="str">
        <f t="shared" si="7"/>
        <v/>
      </c>
      <c r="Q79" t="str">
        <f t="shared" si="8"/>
        <v/>
      </c>
      <c r="R79" s="5" t="str">
        <f>IF(B79="","",SUMIFS(PRESENCES_INDEMNITES!$N$2:$N$501,PRESENCES_INDEMNITES!$B$2:$B$501,B79,PRESENCES_INDEMNITES!$S$2:$S$501,"CONFORME"))</f>
        <v/>
      </c>
      <c r="S79" s="5" t="str">
        <f>IF(B79="","",SUMIFS(REFERENTIEL_BUDGET!$J$2:$J$101,REFERENTIEL_BUDGET!$A$2:$A$101,B79,REFERENTIEL_BUDGET!$E$2:$E$101,"Indemnités participants"))</f>
        <v/>
      </c>
      <c r="T79" t="str">
        <f>IF(B79="","",IF(COUNTIFS(PRESENCES_INDEMNITES!$B$2:$B$501,B79,PRESENCES_INDEMNITES!$S$2:$S$501,"&lt;&gt;CONFORME",PRESENCES_INDEMNITES!$S$2:$S$501,"&lt;&gt;")&gt;0,"Anomalie détectée",IF(R79&gt;S79,"Dépassement budget indemnités","Conforme")))</f>
        <v/>
      </c>
      <c r="V79" t="str">
        <f t="shared" si="9"/>
        <v/>
      </c>
    </row>
    <row r="80" spans="1:22">
      <c r="A80">
        <f t="shared" si="5"/>
        <v>79</v>
      </c>
      <c r="C80" t="str">
        <f>+IFERROR(VLOOKUP(ControlePJTable[[#This Row],[Code activité]],'LISTES ACTIVITES'!$A$1:$B$38,2,FALSE()),"")</f>
        <v/>
      </c>
      <c r="D80" s="3"/>
      <c r="E80" s="3"/>
      <c r="F80" s="3"/>
      <c r="J80" s="5"/>
      <c r="K80" s="5"/>
      <c r="L80" s="5"/>
      <c r="M80" s="5" t="str">
        <f t="shared" si="6"/>
        <v/>
      </c>
      <c r="N80" s="5" t="str">
        <f t="shared" si="7"/>
        <v/>
      </c>
      <c r="Q80" t="str">
        <f t="shared" si="8"/>
        <v/>
      </c>
      <c r="R80" s="5" t="str">
        <f>IF(B80="","",SUMIFS(PRESENCES_INDEMNITES!$N$2:$N$501,PRESENCES_INDEMNITES!$B$2:$B$501,B80,PRESENCES_INDEMNITES!$S$2:$S$501,"CONFORME"))</f>
        <v/>
      </c>
      <c r="S80" s="5" t="str">
        <f>IF(B80="","",SUMIFS(REFERENTIEL_BUDGET!$J$2:$J$101,REFERENTIEL_BUDGET!$A$2:$A$101,B80,REFERENTIEL_BUDGET!$E$2:$E$101,"Indemnités participants"))</f>
        <v/>
      </c>
      <c r="T80" t="str">
        <f>IF(B80="","",IF(COUNTIFS(PRESENCES_INDEMNITES!$B$2:$B$501,B80,PRESENCES_INDEMNITES!$S$2:$S$501,"&lt;&gt;CONFORME",PRESENCES_INDEMNITES!$S$2:$S$501,"&lt;&gt;")&gt;0,"Anomalie détectée",IF(R80&gt;S80,"Dépassement budget indemnités","Conforme")))</f>
        <v/>
      </c>
      <c r="V80" t="str">
        <f t="shared" si="9"/>
        <v/>
      </c>
    </row>
    <row r="81" spans="1:22">
      <c r="A81">
        <f t="shared" si="5"/>
        <v>80</v>
      </c>
      <c r="C81" t="str">
        <f>+IFERROR(VLOOKUP(ControlePJTable[[#This Row],[Code activité]],'LISTES ACTIVITES'!$A$1:$B$38,2,FALSE()),"")</f>
        <v/>
      </c>
      <c r="D81" s="3"/>
      <c r="E81" s="3"/>
      <c r="F81" s="3"/>
      <c r="J81" s="5"/>
      <c r="K81" s="5"/>
      <c r="L81" s="5"/>
      <c r="M81" s="5" t="str">
        <f t="shared" si="6"/>
        <v/>
      </c>
      <c r="N81" s="5" t="str">
        <f t="shared" si="7"/>
        <v/>
      </c>
      <c r="Q81" t="str">
        <f t="shared" si="8"/>
        <v/>
      </c>
      <c r="R81" s="5" t="str">
        <f>IF(B81="","",SUMIFS(PRESENCES_INDEMNITES!$N$2:$N$501,PRESENCES_INDEMNITES!$B$2:$B$501,B81,PRESENCES_INDEMNITES!$S$2:$S$501,"CONFORME"))</f>
        <v/>
      </c>
      <c r="S81" s="5" t="str">
        <f>IF(B81="","",SUMIFS(REFERENTIEL_BUDGET!$J$2:$J$101,REFERENTIEL_BUDGET!$A$2:$A$101,B81,REFERENTIEL_BUDGET!$E$2:$E$101,"Indemnités participants"))</f>
        <v/>
      </c>
      <c r="T81" t="str">
        <f>IF(B81="","",IF(COUNTIFS(PRESENCES_INDEMNITES!$B$2:$B$501,B81,PRESENCES_INDEMNITES!$S$2:$S$501,"&lt;&gt;CONFORME",PRESENCES_INDEMNITES!$S$2:$S$501,"&lt;&gt;")&gt;0,"Anomalie détectée",IF(R81&gt;S81,"Dépassement budget indemnités","Conforme")))</f>
        <v/>
      </c>
      <c r="V81" t="str">
        <f t="shared" si="9"/>
        <v/>
      </c>
    </row>
    <row r="82" spans="1:22">
      <c r="A82">
        <f t="shared" si="5"/>
        <v>81</v>
      </c>
      <c r="C82" t="str">
        <f>+IFERROR(VLOOKUP(ControlePJTable[[#This Row],[Code activité]],'LISTES ACTIVITES'!$A$1:$B$38,2,FALSE()),"")</f>
        <v/>
      </c>
      <c r="D82" s="3"/>
      <c r="E82" s="3"/>
      <c r="F82" s="3"/>
      <c r="J82" s="5"/>
      <c r="K82" s="5"/>
      <c r="L82" s="5"/>
      <c r="M82" s="5" t="str">
        <f t="shared" si="6"/>
        <v/>
      </c>
      <c r="N82" s="5" t="str">
        <f t="shared" si="7"/>
        <v/>
      </c>
      <c r="Q82" t="str">
        <f t="shared" si="8"/>
        <v/>
      </c>
      <c r="R82" s="5" t="str">
        <f>IF(B82="","",SUMIFS(PRESENCES_INDEMNITES!$N$2:$N$501,PRESENCES_INDEMNITES!$B$2:$B$501,B82,PRESENCES_INDEMNITES!$S$2:$S$501,"CONFORME"))</f>
        <v/>
      </c>
      <c r="S82" s="5" t="str">
        <f>IF(B82="","",SUMIFS(REFERENTIEL_BUDGET!$J$2:$J$101,REFERENTIEL_BUDGET!$A$2:$A$101,B82,REFERENTIEL_BUDGET!$E$2:$E$101,"Indemnités participants"))</f>
        <v/>
      </c>
      <c r="T82" t="str">
        <f>IF(B82="","",IF(COUNTIFS(PRESENCES_INDEMNITES!$B$2:$B$501,B82,PRESENCES_INDEMNITES!$S$2:$S$501,"&lt;&gt;CONFORME",PRESENCES_INDEMNITES!$S$2:$S$501,"&lt;&gt;")&gt;0,"Anomalie détectée",IF(R82&gt;S82,"Dépassement budget indemnités","Conforme")))</f>
        <v/>
      </c>
      <c r="V82" t="str">
        <f t="shared" si="9"/>
        <v/>
      </c>
    </row>
    <row r="83" spans="1:22">
      <c r="A83">
        <f t="shared" si="5"/>
        <v>82</v>
      </c>
      <c r="C83" t="str">
        <f>+IFERROR(VLOOKUP(ControlePJTable[[#This Row],[Code activité]],'LISTES ACTIVITES'!$A$1:$B$38,2,FALSE()),"")</f>
        <v/>
      </c>
      <c r="D83" s="3"/>
      <c r="E83" s="3"/>
      <c r="F83" s="3"/>
      <c r="J83" s="5"/>
      <c r="K83" s="5"/>
      <c r="L83" s="5"/>
      <c r="M83" s="5" t="str">
        <f t="shared" si="6"/>
        <v/>
      </c>
      <c r="N83" s="5" t="str">
        <f t="shared" si="7"/>
        <v/>
      </c>
      <c r="Q83" t="str">
        <f t="shared" si="8"/>
        <v/>
      </c>
      <c r="R83" s="5" t="str">
        <f>IF(B83="","",SUMIFS(PRESENCES_INDEMNITES!$N$2:$N$501,PRESENCES_INDEMNITES!$B$2:$B$501,B83,PRESENCES_INDEMNITES!$S$2:$S$501,"CONFORME"))</f>
        <v/>
      </c>
      <c r="S83" s="5" t="str">
        <f>IF(B83="","",SUMIFS(REFERENTIEL_BUDGET!$J$2:$J$101,REFERENTIEL_BUDGET!$A$2:$A$101,B83,REFERENTIEL_BUDGET!$E$2:$E$101,"Indemnités participants"))</f>
        <v/>
      </c>
      <c r="T83" t="str">
        <f>IF(B83="","",IF(COUNTIFS(PRESENCES_INDEMNITES!$B$2:$B$501,B83,PRESENCES_INDEMNITES!$S$2:$S$501,"&lt;&gt;CONFORME",PRESENCES_INDEMNITES!$S$2:$S$501,"&lt;&gt;")&gt;0,"Anomalie détectée",IF(R83&gt;S83,"Dépassement budget indemnités","Conforme")))</f>
        <v/>
      </c>
      <c r="V83" t="str">
        <f t="shared" si="9"/>
        <v/>
      </c>
    </row>
    <row r="84" spans="1:22">
      <c r="A84">
        <f t="shared" si="5"/>
        <v>83</v>
      </c>
      <c r="C84" t="str">
        <f>+IFERROR(VLOOKUP(ControlePJTable[[#This Row],[Code activité]],'LISTES ACTIVITES'!$A$1:$B$38,2,FALSE()),"")</f>
        <v/>
      </c>
      <c r="D84" s="3"/>
      <c r="E84" s="3"/>
      <c r="F84" s="3"/>
      <c r="J84" s="5"/>
      <c r="K84" s="5"/>
      <c r="L84" s="5"/>
      <c r="M84" s="5" t="str">
        <f t="shared" si="6"/>
        <v/>
      </c>
      <c r="N84" s="5" t="str">
        <f t="shared" si="7"/>
        <v/>
      </c>
      <c r="Q84" t="str">
        <f t="shared" si="8"/>
        <v/>
      </c>
      <c r="R84" s="5" t="str">
        <f>IF(B84="","",SUMIFS(PRESENCES_INDEMNITES!$N$2:$N$501,PRESENCES_INDEMNITES!$B$2:$B$501,B84,PRESENCES_INDEMNITES!$S$2:$S$501,"CONFORME"))</f>
        <v/>
      </c>
      <c r="S84" s="5" t="str">
        <f>IF(B84="","",SUMIFS(REFERENTIEL_BUDGET!$J$2:$J$101,REFERENTIEL_BUDGET!$A$2:$A$101,B84,REFERENTIEL_BUDGET!$E$2:$E$101,"Indemnités participants"))</f>
        <v/>
      </c>
      <c r="T84" t="str">
        <f>IF(B84="","",IF(COUNTIFS(PRESENCES_INDEMNITES!$B$2:$B$501,B84,PRESENCES_INDEMNITES!$S$2:$S$501,"&lt;&gt;CONFORME",PRESENCES_INDEMNITES!$S$2:$S$501,"&lt;&gt;")&gt;0,"Anomalie détectée",IF(R84&gt;S84,"Dépassement budget indemnités","Conforme")))</f>
        <v/>
      </c>
      <c r="V84" t="str">
        <f t="shared" si="9"/>
        <v/>
      </c>
    </row>
    <row r="85" spans="1:22">
      <c r="A85">
        <f t="shared" si="5"/>
        <v>84</v>
      </c>
      <c r="C85" t="str">
        <f>+IFERROR(VLOOKUP(ControlePJTable[[#This Row],[Code activité]],'LISTES ACTIVITES'!$A$1:$B$38,2,FALSE()),"")</f>
        <v/>
      </c>
      <c r="D85" s="3"/>
      <c r="E85" s="3"/>
      <c r="F85" s="3"/>
      <c r="J85" s="5"/>
      <c r="K85" s="5"/>
      <c r="L85" s="5"/>
      <c r="M85" s="5" t="str">
        <f t="shared" si="6"/>
        <v/>
      </c>
      <c r="N85" s="5" t="str">
        <f t="shared" si="7"/>
        <v/>
      </c>
      <c r="Q85" t="str">
        <f t="shared" si="8"/>
        <v/>
      </c>
      <c r="R85" s="5" t="str">
        <f>IF(B85="","",SUMIFS(PRESENCES_INDEMNITES!$N$2:$N$501,PRESENCES_INDEMNITES!$B$2:$B$501,B85,PRESENCES_INDEMNITES!$S$2:$S$501,"CONFORME"))</f>
        <v/>
      </c>
      <c r="S85" s="5" t="str">
        <f>IF(B85="","",SUMIFS(REFERENTIEL_BUDGET!$J$2:$J$101,REFERENTIEL_BUDGET!$A$2:$A$101,B85,REFERENTIEL_BUDGET!$E$2:$E$101,"Indemnités participants"))</f>
        <v/>
      </c>
      <c r="T85" t="str">
        <f>IF(B85="","",IF(COUNTIFS(PRESENCES_INDEMNITES!$B$2:$B$501,B85,PRESENCES_INDEMNITES!$S$2:$S$501,"&lt;&gt;CONFORME",PRESENCES_INDEMNITES!$S$2:$S$501,"&lt;&gt;")&gt;0,"Anomalie détectée",IF(R85&gt;S85,"Dépassement budget indemnités","Conforme")))</f>
        <v/>
      </c>
      <c r="V85" t="str">
        <f t="shared" si="9"/>
        <v/>
      </c>
    </row>
    <row r="86" spans="1:22">
      <c r="A86">
        <f t="shared" si="5"/>
        <v>85</v>
      </c>
      <c r="C86" t="str">
        <f>+IFERROR(VLOOKUP(ControlePJTable[[#This Row],[Code activité]],'LISTES ACTIVITES'!$A$1:$B$38,2,FALSE()),"")</f>
        <v/>
      </c>
      <c r="D86" s="3"/>
      <c r="E86" s="3"/>
      <c r="F86" s="3"/>
      <c r="J86" s="5"/>
      <c r="K86" s="5"/>
      <c r="L86" s="5"/>
      <c r="M86" s="5" t="str">
        <f t="shared" si="6"/>
        <v/>
      </c>
      <c r="N86" s="5" t="str">
        <f t="shared" si="7"/>
        <v/>
      </c>
      <c r="Q86" t="str">
        <f t="shared" si="8"/>
        <v/>
      </c>
      <c r="R86" s="5" t="str">
        <f>IF(B86="","",SUMIFS(PRESENCES_INDEMNITES!$N$2:$N$501,PRESENCES_INDEMNITES!$B$2:$B$501,B86,PRESENCES_INDEMNITES!$S$2:$S$501,"CONFORME"))</f>
        <v/>
      </c>
      <c r="S86" s="5" t="str">
        <f>IF(B86="","",SUMIFS(REFERENTIEL_BUDGET!$J$2:$J$101,REFERENTIEL_BUDGET!$A$2:$A$101,B86,REFERENTIEL_BUDGET!$E$2:$E$101,"Indemnités participants"))</f>
        <v/>
      </c>
      <c r="T86" t="str">
        <f>IF(B86="","",IF(COUNTIFS(PRESENCES_INDEMNITES!$B$2:$B$501,B86,PRESENCES_INDEMNITES!$S$2:$S$501,"&lt;&gt;CONFORME",PRESENCES_INDEMNITES!$S$2:$S$501,"&lt;&gt;")&gt;0,"Anomalie détectée",IF(R86&gt;S86,"Dépassement budget indemnités","Conforme")))</f>
        <v/>
      </c>
      <c r="V86" t="str">
        <f t="shared" si="9"/>
        <v/>
      </c>
    </row>
    <row r="87" spans="1:22">
      <c r="A87">
        <f t="shared" si="5"/>
        <v>86</v>
      </c>
      <c r="C87" t="str">
        <f>+IFERROR(VLOOKUP(ControlePJTable[[#This Row],[Code activité]],'LISTES ACTIVITES'!$A$1:$B$38,2,FALSE()),"")</f>
        <v/>
      </c>
      <c r="D87" s="3"/>
      <c r="E87" s="3"/>
      <c r="F87" s="3"/>
      <c r="J87" s="5"/>
      <c r="K87" s="5"/>
      <c r="L87" s="5"/>
      <c r="M87" s="5" t="str">
        <f t="shared" si="6"/>
        <v/>
      </c>
      <c r="N87" s="5" t="str">
        <f t="shared" si="7"/>
        <v/>
      </c>
      <c r="Q87" t="str">
        <f t="shared" si="8"/>
        <v/>
      </c>
      <c r="R87" s="5" t="str">
        <f>IF(B87="","",SUMIFS(PRESENCES_INDEMNITES!$N$2:$N$501,PRESENCES_INDEMNITES!$B$2:$B$501,B87,PRESENCES_INDEMNITES!$S$2:$S$501,"CONFORME"))</f>
        <v/>
      </c>
      <c r="S87" s="5" t="str">
        <f>IF(B87="","",SUMIFS(REFERENTIEL_BUDGET!$J$2:$J$101,REFERENTIEL_BUDGET!$A$2:$A$101,B87,REFERENTIEL_BUDGET!$E$2:$E$101,"Indemnités participants"))</f>
        <v/>
      </c>
      <c r="T87" t="str">
        <f>IF(B87="","",IF(COUNTIFS(PRESENCES_INDEMNITES!$B$2:$B$501,B87,PRESENCES_INDEMNITES!$S$2:$S$501,"&lt;&gt;CONFORME",PRESENCES_INDEMNITES!$S$2:$S$501,"&lt;&gt;")&gt;0,"Anomalie détectée",IF(R87&gt;S87,"Dépassement budget indemnités","Conforme")))</f>
        <v/>
      </c>
      <c r="V87" t="str">
        <f t="shared" si="9"/>
        <v/>
      </c>
    </row>
    <row r="88" spans="1:22">
      <c r="A88">
        <f t="shared" si="5"/>
        <v>87</v>
      </c>
      <c r="C88" t="str">
        <f>+IFERROR(VLOOKUP(ControlePJTable[[#This Row],[Code activité]],'LISTES ACTIVITES'!$A$1:$B$38,2,FALSE()),"")</f>
        <v/>
      </c>
      <c r="D88" s="3"/>
      <c r="E88" s="3"/>
      <c r="F88" s="3"/>
      <c r="J88" s="5"/>
      <c r="K88" s="5"/>
      <c r="L88" s="5"/>
      <c r="M88" s="5" t="str">
        <f t="shared" si="6"/>
        <v/>
      </c>
      <c r="N88" s="5" t="str">
        <f t="shared" si="7"/>
        <v/>
      </c>
      <c r="Q88" t="str">
        <f t="shared" si="8"/>
        <v/>
      </c>
      <c r="R88" s="5" t="str">
        <f>IF(B88="","",SUMIFS(PRESENCES_INDEMNITES!$N$2:$N$501,PRESENCES_INDEMNITES!$B$2:$B$501,B88,PRESENCES_INDEMNITES!$S$2:$S$501,"CONFORME"))</f>
        <v/>
      </c>
      <c r="S88" s="5" t="str">
        <f>IF(B88="","",SUMIFS(REFERENTIEL_BUDGET!$J$2:$J$101,REFERENTIEL_BUDGET!$A$2:$A$101,B88,REFERENTIEL_BUDGET!$E$2:$E$101,"Indemnités participants"))</f>
        <v/>
      </c>
      <c r="T88" t="str">
        <f>IF(B88="","",IF(COUNTIFS(PRESENCES_INDEMNITES!$B$2:$B$501,B88,PRESENCES_INDEMNITES!$S$2:$S$501,"&lt;&gt;CONFORME",PRESENCES_INDEMNITES!$S$2:$S$501,"&lt;&gt;")&gt;0,"Anomalie détectée",IF(R88&gt;S88,"Dépassement budget indemnités","Conforme")))</f>
        <v/>
      </c>
      <c r="V88" t="str">
        <f t="shared" si="9"/>
        <v/>
      </c>
    </row>
    <row r="89" spans="1:22">
      <c r="A89">
        <f t="shared" si="5"/>
        <v>88</v>
      </c>
      <c r="C89" t="str">
        <f>+IFERROR(VLOOKUP(ControlePJTable[[#This Row],[Code activité]],'LISTES ACTIVITES'!$A$1:$B$38,2,FALSE()),"")</f>
        <v/>
      </c>
      <c r="D89" s="3"/>
      <c r="E89" s="3"/>
      <c r="F89" s="3"/>
      <c r="J89" s="5"/>
      <c r="K89" s="5"/>
      <c r="L89" s="5"/>
      <c r="M89" s="5" t="str">
        <f t="shared" si="6"/>
        <v/>
      </c>
      <c r="N89" s="5" t="str">
        <f t="shared" si="7"/>
        <v/>
      </c>
      <c r="Q89" t="str">
        <f t="shared" si="8"/>
        <v/>
      </c>
      <c r="R89" s="5" t="str">
        <f>IF(B89="","",SUMIFS(PRESENCES_INDEMNITES!$N$2:$N$501,PRESENCES_INDEMNITES!$B$2:$B$501,B89,PRESENCES_INDEMNITES!$S$2:$S$501,"CONFORME"))</f>
        <v/>
      </c>
      <c r="S89" s="5" t="str">
        <f>IF(B89="","",SUMIFS(REFERENTIEL_BUDGET!$J$2:$J$101,REFERENTIEL_BUDGET!$A$2:$A$101,B89,REFERENTIEL_BUDGET!$E$2:$E$101,"Indemnités participants"))</f>
        <v/>
      </c>
      <c r="T89" t="str">
        <f>IF(B89="","",IF(COUNTIFS(PRESENCES_INDEMNITES!$B$2:$B$501,B89,PRESENCES_INDEMNITES!$S$2:$S$501,"&lt;&gt;CONFORME",PRESENCES_INDEMNITES!$S$2:$S$501,"&lt;&gt;")&gt;0,"Anomalie détectée",IF(R89&gt;S89,"Dépassement budget indemnités","Conforme")))</f>
        <v/>
      </c>
      <c r="V89" t="str">
        <f t="shared" si="9"/>
        <v/>
      </c>
    </row>
    <row r="90" spans="1:22">
      <c r="A90">
        <f t="shared" si="5"/>
        <v>89</v>
      </c>
      <c r="C90" t="str">
        <f>+IFERROR(VLOOKUP(ControlePJTable[[#This Row],[Code activité]],'LISTES ACTIVITES'!$A$1:$B$38,2,FALSE()),"")</f>
        <v/>
      </c>
      <c r="D90" s="3"/>
      <c r="E90" s="3"/>
      <c r="F90" s="3"/>
      <c r="J90" s="5"/>
      <c r="K90" s="5"/>
      <c r="L90" s="5"/>
      <c r="M90" s="5" t="str">
        <f t="shared" si="6"/>
        <v/>
      </c>
      <c r="N90" s="5" t="str">
        <f t="shared" si="7"/>
        <v/>
      </c>
      <c r="Q90" t="str">
        <f t="shared" si="8"/>
        <v/>
      </c>
      <c r="R90" s="5" t="str">
        <f>IF(B90="","",SUMIFS(PRESENCES_INDEMNITES!$N$2:$N$501,PRESENCES_INDEMNITES!$B$2:$B$501,B90,PRESENCES_INDEMNITES!$S$2:$S$501,"CONFORME"))</f>
        <v/>
      </c>
      <c r="S90" s="5" t="str">
        <f>IF(B90="","",SUMIFS(REFERENTIEL_BUDGET!$J$2:$J$101,REFERENTIEL_BUDGET!$A$2:$A$101,B90,REFERENTIEL_BUDGET!$E$2:$E$101,"Indemnités participants"))</f>
        <v/>
      </c>
      <c r="T90" t="str">
        <f>IF(B90="","",IF(COUNTIFS(PRESENCES_INDEMNITES!$B$2:$B$501,B90,PRESENCES_INDEMNITES!$S$2:$S$501,"&lt;&gt;CONFORME",PRESENCES_INDEMNITES!$S$2:$S$501,"&lt;&gt;")&gt;0,"Anomalie détectée",IF(R90&gt;S90,"Dépassement budget indemnités","Conforme")))</f>
        <v/>
      </c>
      <c r="V90" t="str">
        <f t="shared" si="9"/>
        <v/>
      </c>
    </row>
    <row r="91" spans="1:22">
      <c r="A91">
        <f t="shared" si="5"/>
        <v>90</v>
      </c>
      <c r="C91" t="str">
        <f>+IFERROR(VLOOKUP(ControlePJTable[[#This Row],[Code activité]],'LISTES ACTIVITES'!$A$1:$B$38,2,FALSE()),"")</f>
        <v/>
      </c>
      <c r="D91" s="3"/>
      <c r="E91" s="3"/>
      <c r="F91" s="3"/>
      <c r="J91" s="5"/>
      <c r="K91" s="5"/>
      <c r="L91" s="5"/>
      <c r="M91" s="5" t="str">
        <f t="shared" si="6"/>
        <v/>
      </c>
      <c r="N91" s="5" t="str">
        <f t="shared" si="7"/>
        <v/>
      </c>
      <c r="Q91" t="str">
        <f t="shared" si="8"/>
        <v/>
      </c>
      <c r="R91" s="5" t="str">
        <f>IF(B91="","",SUMIFS(PRESENCES_INDEMNITES!$N$2:$N$501,PRESENCES_INDEMNITES!$B$2:$B$501,B91,PRESENCES_INDEMNITES!$S$2:$S$501,"CONFORME"))</f>
        <v/>
      </c>
      <c r="S91" s="5" t="str">
        <f>IF(B91="","",SUMIFS(REFERENTIEL_BUDGET!$J$2:$J$101,REFERENTIEL_BUDGET!$A$2:$A$101,B91,REFERENTIEL_BUDGET!$E$2:$E$101,"Indemnités participants"))</f>
        <v/>
      </c>
      <c r="T91" t="str">
        <f>IF(B91="","",IF(COUNTIFS(PRESENCES_INDEMNITES!$B$2:$B$501,B91,PRESENCES_INDEMNITES!$S$2:$S$501,"&lt;&gt;CONFORME",PRESENCES_INDEMNITES!$S$2:$S$501,"&lt;&gt;")&gt;0,"Anomalie détectée",IF(R91&gt;S91,"Dépassement budget indemnités","Conforme")))</f>
        <v/>
      </c>
      <c r="V91" t="str">
        <f t="shared" si="9"/>
        <v/>
      </c>
    </row>
    <row r="92" spans="1:22">
      <c r="A92">
        <f t="shared" si="5"/>
        <v>91</v>
      </c>
      <c r="C92" t="str">
        <f>+IFERROR(VLOOKUP(ControlePJTable[[#This Row],[Code activité]],'LISTES ACTIVITES'!$A$1:$B$38,2,FALSE()),"")</f>
        <v/>
      </c>
      <c r="D92" s="3"/>
      <c r="E92" s="3"/>
      <c r="F92" s="3"/>
      <c r="J92" s="5"/>
      <c r="K92" s="5"/>
      <c r="L92" s="5"/>
      <c r="M92" s="5" t="str">
        <f t="shared" si="6"/>
        <v/>
      </c>
      <c r="N92" s="5" t="str">
        <f t="shared" si="7"/>
        <v/>
      </c>
      <c r="Q92" t="str">
        <f t="shared" si="8"/>
        <v/>
      </c>
      <c r="R92" s="5" t="str">
        <f>IF(B92="","",SUMIFS(PRESENCES_INDEMNITES!$N$2:$N$501,PRESENCES_INDEMNITES!$B$2:$B$501,B92,PRESENCES_INDEMNITES!$S$2:$S$501,"CONFORME"))</f>
        <v/>
      </c>
      <c r="S92" s="5" t="str">
        <f>IF(B92="","",SUMIFS(REFERENTIEL_BUDGET!$J$2:$J$101,REFERENTIEL_BUDGET!$A$2:$A$101,B92,REFERENTIEL_BUDGET!$E$2:$E$101,"Indemnités participants"))</f>
        <v/>
      </c>
      <c r="T92" t="str">
        <f>IF(B92="","",IF(COUNTIFS(PRESENCES_INDEMNITES!$B$2:$B$501,B92,PRESENCES_INDEMNITES!$S$2:$S$501,"&lt;&gt;CONFORME",PRESENCES_INDEMNITES!$S$2:$S$501,"&lt;&gt;")&gt;0,"Anomalie détectée",IF(R92&gt;S92,"Dépassement budget indemnités","Conforme")))</f>
        <v/>
      </c>
      <c r="V92" t="str">
        <f t="shared" si="9"/>
        <v/>
      </c>
    </row>
    <row r="93" spans="1:22">
      <c r="A93">
        <f t="shared" si="5"/>
        <v>92</v>
      </c>
      <c r="C93" t="str">
        <f>+IFERROR(VLOOKUP(ControlePJTable[[#This Row],[Code activité]],'LISTES ACTIVITES'!$A$1:$B$38,2,FALSE()),"")</f>
        <v/>
      </c>
      <c r="D93" s="3"/>
      <c r="E93" s="3"/>
      <c r="F93" s="3"/>
      <c r="J93" s="5"/>
      <c r="K93" s="5"/>
      <c r="L93" s="5"/>
      <c r="M93" s="5" t="str">
        <f t="shared" si="6"/>
        <v/>
      </c>
      <c r="N93" s="5" t="str">
        <f t="shared" si="7"/>
        <v/>
      </c>
      <c r="Q93" t="str">
        <f t="shared" si="8"/>
        <v/>
      </c>
      <c r="R93" s="5" t="str">
        <f>IF(B93="","",SUMIFS(PRESENCES_INDEMNITES!$N$2:$N$501,PRESENCES_INDEMNITES!$B$2:$B$501,B93,PRESENCES_INDEMNITES!$S$2:$S$501,"CONFORME"))</f>
        <v/>
      </c>
      <c r="S93" s="5" t="str">
        <f>IF(B93="","",SUMIFS(REFERENTIEL_BUDGET!$J$2:$J$101,REFERENTIEL_BUDGET!$A$2:$A$101,B93,REFERENTIEL_BUDGET!$E$2:$E$101,"Indemnités participants"))</f>
        <v/>
      </c>
      <c r="T93" t="str">
        <f>IF(B93="","",IF(COUNTIFS(PRESENCES_INDEMNITES!$B$2:$B$501,B93,PRESENCES_INDEMNITES!$S$2:$S$501,"&lt;&gt;CONFORME",PRESENCES_INDEMNITES!$S$2:$S$501,"&lt;&gt;")&gt;0,"Anomalie détectée",IF(R93&gt;S93,"Dépassement budget indemnités","Conforme")))</f>
        <v/>
      </c>
      <c r="V93" t="str">
        <f t="shared" si="9"/>
        <v/>
      </c>
    </row>
    <row r="94" spans="1:22">
      <c r="A94">
        <f t="shared" si="5"/>
        <v>93</v>
      </c>
      <c r="C94" t="str">
        <f>+IFERROR(VLOOKUP(ControlePJTable[[#This Row],[Code activité]],'LISTES ACTIVITES'!$A$1:$B$38,2,FALSE()),"")</f>
        <v/>
      </c>
      <c r="D94" s="3"/>
      <c r="E94" s="3"/>
      <c r="F94" s="3"/>
      <c r="J94" s="5"/>
      <c r="K94" s="5"/>
      <c r="L94" s="5"/>
      <c r="M94" s="5" t="str">
        <f t="shared" si="6"/>
        <v/>
      </c>
      <c r="N94" s="5" t="str">
        <f t="shared" si="7"/>
        <v/>
      </c>
      <c r="Q94" t="str">
        <f t="shared" si="8"/>
        <v/>
      </c>
      <c r="R94" s="5" t="str">
        <f>IF(B94="","",SUMIFS(PRESENCES_INDEMNITES!$N$2:$N$501,PRESENCES_INDEMNITES!$B$2:$B$501,B94,PRESENCES_INDEMNITES!$S$2:$S$501,"CONFORME"))</f>
        <v/>
      </c>
      <c r="S94" s="5" t="str">
        <f>IF(B94="","",SUMIFS(REFERENTIEL_BUDGET!$J$2:$J$101,REFERENTIEL_BUDGET!$A$2:$A$101,B94,REFERENTIEL_BUDGET!$E$2:$E$101,"Indemnités participants"))</f>
        <v/>
      </c>
      <c r="T94" t="str">
        <f>IF(B94="","",IF(COUNTIFS(PRESENCES_INDEMNITES!$B$2:$B$501,B94,PRESENCES_INDEMNITES!$S$2:$S$501,"&lt;&gt;CONFORME",PRESENCES_INDEMNITES!$S$2:$S$501,"&lt;&gt;")&gt;0,"Anomalie détectée",IF(R94&gt;S94,"Dépassement budget indemnités","Conforme")))</f>
        <v/>
      </c>
      <c r="V94" t="str">
        <f t="shared" si="9"/>
        <v/>
      </c>
    </row>
    <row r="95" spans="1:22">
      <c r="A95">
        <f t="shared" si="5"/>
        <v>94</v>
      </c>
      <c r="C95" t="str">
        <f>+IFERROR(VLOOKUP(ControlePJTable[[#This Row],[Code activité]],'LISTES ACTIVITES'!$A$1:$B$38,2,FALSE()),"")</f>
        <v/>
      </c>
      <c r="D95" s="3"/>
      <c r="E95" s="3"/>
      <c r="F95" s="3"/>
      <c r="J95" s="5"/>
      <c r="K95" s="5"/>
      <c r="L95" s="5"/>
      <c r="M95" s="5" t="str">
        <f t="shared" si="6"/>
        <v/>
      </c>
      <c r="N95" s="5" t="str">
        <f t="shared" si="7"/>
        <v/>
      </c>
      <c r="Q95" t="str">
        <f t="shared" si="8"/>
        <v/>
      </c>
      <c r="R95" s="5" t="str">
        <f>IF(B95="","",SUMIFS(PRESENCES_INDEMNITES!$N$2:$N$501,PRESENCES_INDEMNITES!$B$2:$B$501,B95,PRESENCES_INDEMNITES!$S$2:$S$501,"CONFORME"))</f>
        <v/>
      </c>
      <c r="S95" s="5" t="str">
        <f>IF(B95="","",SUMIFS(REFERENTIEL_BUDGET!$J$2:$J$101,REFERENTIEL_BUDGET!$A$2:$A$101,B95,REFERENTIEL_BUDGET!$E$2:$E$101,"Indemnités participants"))</f>
        <v/>
      </c>
      <c r="T95" t="str">
        <f>IF(B95="","",IF(COUNTIFS(PRESENCES_INDEMNITES!$B$2:$B$501,B95,PRESENCES_INDEMNITES!$S$2:$S$501,"&lt;&gt;CONFORME",PRESENCES_INDEMNITES!$S$2:$S$501,"&lt;&gt;")&gt;0,"Anomalie détectée",IF(R95&gt;S95,"Dépassement budget indemnités","Conforme")))</f>
        <v/>
      </c>
      <c r="V95" t="str">
        <f t="shared" si="9"/>
        <v/>
      </c>
    </row>
    <row r="96" spans="1:22">
      <c r="A96">
        <f t="shared" si="5"/>
        <v>95</v>
      </c>
      <c r="C96" t="str">
        <f>+IFERROR(VLOOKUP(ControlePJTable[[#This Row],[Code activité]],'LISTES ACTIVITES'!$A$1:$B$38,2,FALSE()),"")</f>
        <v/>
      </c>
      <c r="D96" s="3"/>
      <c r="E96" s="3"/>
      <c r="F96" s="3"/>
      <c r="J96" s="5"/>
      <c r="K96" s="5"/>
      <c r="L96" s="5"/>
      <c r="M96" s="5" t="str">
        <f t="shared" si="6"/>
        <v/>
      </c>
      <c r="N96" s="5" t="str">
        <f t="shared" si="7"/>
        <v/>
      </c>
      <c r="Q96" t="str">
        <f t="shared" si="8"/>
        <v/>
      </c>
      <c r="R96" s="5" t="str">
        <f>IF(B96="","",SUMIFS(PRESENCES_INDEMNITES!$N$2:$N$501,PRESENCES_INDEMNITES!$B$2:$B$501,B96,PRESENCES_INDEMNITES!$S$2:$S$501,"CONFORME"))</f>
        <v/>
      </c>
      <c r="S96" s="5" t="str">
        <f>IF(B96="","",SUMIFS(REFERENTIEL_BUDGET!$J$2:$J$101,REFERENTIEL_BUDGET!$A$2:$A$101,B96,REFERENTIEL_BUDGET!$E$2:$E$101,"Indemnités participants"))</f>
        <v/>
      </c>
      <c r="T96" t="str">
        <f>IF(B96="","",IF(COUNTIFS(PRESENCES_INDEMNITES!$B$2:$B$501,B96,PRESENCES_INDEMNITES!$S$2:$S$501,"&lt;&gt;CONFORME",PRESENCES_INDEMNITES!$S$2:$S$501,"&lt;&gt;")&gt;0,"Anomalie détectée",IF(R96&gt;S96,"Dépassement budget indemnités","Conforme")))</f>
        <v/>
      </c>
      <c r="V96" t="str">
        <f t="shared" si="9"/>
        <v/>
      </c>
    </row>
    <row r="97" spans="1:22">
      <c r="A97">
        <f t="shared" si="5"/>
        <v>96</v>
      </c>
      <c r="C97" t="str">
        <f>+IFERROR(VLOOKUP(ControlePJTable[[#This Row],[Code activité]],'LISTES ACTIVITES'!$A$1:$B$38,2,FALSE()),"")</f>
        <v/>
      </c>
      <c r="D97" s="3"/>
      <c r="E97" s="3"/>
      <c r="F97" s="3"/>
      <c r="J97" s="5"/>
      <c r="K97" s="5"/>
      <c r="L97" s="5"/>
      <c r="M97" s="5" t="str">
        <f t="shared" si="6"/>
        <v/>
      </c>
      <c r="N97" s="5" t="str">
        <f t="shared" si="7"/>
        <v/>
      </c>
      <c r="Q97" t="str">
        <f t="shared" si="8"/>
        <v/>
      </c>
      <c r="R97" s="5" t="str">
        <f>IF(B97="","",SUMIFS(PRESENCES_INDEMNITES!$N$2:$N$501,PRESENCES_INDEMNITES!$B$2:$B$501,B97,PRESENCES_INDEMNITES!$S$2:$S$501,"CONFORME"))</f>
        <v/>
      </c>
      <c r="S97" s="5" t="str">
        <f>IF(B97="","",SUMIFS(REFERENTIEL_BUDGET!$J$2:$J$101,REFERENTIEL_BUDGET!$A$2:$A$101,B97,REFERENTIEL_BUDGET!$E$2:$E$101,"Indemnités participants"))</f>
        <v/>
      </c>
      <c r="T97" t="str">
        <f>IF(B97="","",IF(COUNTIFS(PRESENCES_INDEMNITES!$B$2:$B$501,B97,PRESENCES_INDEMNITES!$S$2:$S$501,"&lt;&gt;CONFORME",PRESENCES_INDEMNITES!$S$2:$S$501,"&lt;&gt;")&gt;0,"Anomalie détectée",IF(R97&gt;S97,"Dépassement budget indemnités","Conforme")))</f>
        <v/>
      </c>
      <c r="V97" t="str">
        <f t="shared" si="9"/>
        <v/>
      </c>
    </row>
    <row r="98" spans="1:22">
      <c r="A98">
        <f t="shared" si="5"/>
        <v>97</v>
      </c>
      <c r="C98" t="str">
        <f>+IFERROR(VLOOKUP(ControlePJTable[[#This Row],[Code activité]],'LISTES ACTIVITES'!$A$1:$B$38,2,FALSE()),"")</f>
        <v/>
      </c>
      <c r="D98" s="3"/>
      <c r="E98" s="3"/>
      <c r="F98" s="3"/>
      <c r="J98" s="5"/>
      <c r="K98" s="5"/>
      <c r="L98" s="5"/>
      <c r="M98" s="5" t="str">
        <f t="shared" si="6"/>
        <v/>
      </c>
      <c r="N98" s="5" t="str">
        <f t="shared" si="7"/>
        <v/>
      </c>
      <c r="Q98" t="str">
        <f t="shared" si="8"/>
        <v/>
      </c>
      <c r="R98" s="5" t="str">
        <f>IF(B98="","",SUMIFS(PRESENCES_INDEMNITES!$N$2:$N$501,PRESENCES_INDEMNITES!$B$2:$B$501,B98,PRESENCES_INDEMNITES!$S$2:$S$501,"CONFORME"))</f>
        <v/>
      </c>
      <c r="S98" s="5" t="str">
        <f>IF(B98="","",SUMIFS(REFERENTIEL_BUDGET!$J$2:$J$101,REFERENTIEL_BUDGET!$A$2:$A$101,B98,REFERENTIEL_BUDGET!$E$2:$E$101,"Indemnités participants"))</f>
        <v/>
      </c>
      <c r="T98" t="str">
        <f>IF(B98="","",IF(COUNTIFS(PRESENCES_INDEMNITES!$B$2:$B$501,B98,PRESENCES_INDEMNITES!$S$2:$S$501,"&lt;&gt;CONFORME",PRESENCES_INDEMNITES!$S$2:$S$501,"&lt;&gt;")&gt;0,"Anomalie détectée",IF(R98&gt;S98,"Dépassement budget indemnités","Conforme")))</f>
        <v/>
      </c>
      <c r="V98" t="str">
        <f t="shared" si="9"/>
        <v/>
      </c>
    </row>
    <row r="99" spans="1:22">
      <c r="A99">
        <f t="shared" si="5"/>
        <v>98</v>
      </c>
      <c r="C99" t="str">
        <f>+IFERROR(VLOOKUP(ControlePJTable[[#This Row],[Code activité]],'LISTES ACTIVITES'!$A$1:$B$38,2,FALSE()),"")</f>
        <v/>
      </c>
      <c r="D99" s="3"/>
      <c r="E99" s="3"/>
      <c r="F99" s="3"/>
      <c r="J99" s="5"/>
      <c r="K99" s="5"/>
      <c r="L99" s="5"/>
      <c r="M99" s="5" t="str">
        <f t="shared" si="6"/>
        <v/>
      </c>
      <c r="N99" s="5" t="str">
        <f t="shared" si="7"/>
        <v/>
      </c>
      <c r="Q99" t="str">
        <f t="shared" si="8"/>
        <v/>
      </c>
      <c r="R99" s="5" t="str">
        <f>IF(B99="","",SUMIFS(PRESENCES_INDEMNITES!$N$2:$N$501,PRESENCES_INDEMNITES!$B$2:$B$501,B99,PRESENCES_INDEMNITES!$S$2:$S$501,"CONFORME"))</f>
        <v/>
      </c>
      <c r="S99" s="5" t="str">
        <f>IF(B99="","",SUMIFS(REFERENTIEL_BUDGET!$J$2:$J$101,REFERENTIEL_BUDGET!$A$2:$A$101,B99,REFERENTIEL_BUDGET!$E$2:$E$101,"Indemnités participants"))</f>
        <v/>
      </c>
      <c r="T99" t="str">
        <f>IF(B99="","",IF(COUNTIFS(PRESENCES_INDEMNITES!$B$2:$B$501,B99,PRESENCES_INDEMNITES!$S$2:$S$501,"&lt;&gt;CONFORME",PRESENCES_INDEMNITES!$S$2:$S$501,"&lt;&gt;")&gt;0,"Anomalie détectée",IF(R99&gt;S99,"Dépassement budget indemnités","Conforme")))</f>
        <v/>
      </c>
      <c r="V99" t="str">
        <f t="shared" si="9"/>
        <v/>
      </c>
    </row>
    <row r="100" spans="1:22">
      <c r="A100">
        <f t="shared" si="5"/>
        <v>99</v>
      </c>
      <c r="C100" t="str">
        <f>+IFERROR(VLOOKUP(ControlePJTable[[#This Row],[Code activité]],'LISTES ACTIVITES'!$A$1:$B$38,2,FALSE()),"")</f>
        <v/>
      </c>
      <c r="D100" s="3"/>
      <c r="E100" s="3"/>
      <c r="F100" s="3"/>
      <c r="J100" s="5"/>
      <c r="K100" s="5"/>
      <c r="L100" s="5"/>
      <c r="M100" s="5" t="str">
        <f t="shared" si="6"/>
        <v/>
      </c>
      <c r="N100" s="5" t="str">
        <f t="shared" si="7"/>
        <v/>
      </c>
      <c r="Q100" t="str">
        <f t="shared" si="8"/>
        <v/>
      </c>
      <c r="R100" s="5" t="str">
        <f>IF(B100="","",SUMIFS(PRESENCES_INDEMNITES!$N$2:$N$501,PRESENCES_INDEMNITES!$B$2:$B$501,B100,PRESENCES_INDEMNITES!$S$2:$S$501,"CONFORME"))</f>
        <v/>
      </c>
      <c r="S100" s="5" t="str">
        <f>IF(B100="","",SUMIFS(REFERENTIEL_BUDGET!$J$2:$J$101,REFERENTIEL_BUDGET!$A$2:$A$101,B100,REFERENTIEL_BUDGET!$E$2:$E$101,"Indemnités participants"))</f>
        <v/>
      </c>
      <c r="T100" t="str">
        <f>IF(B100="","",IF(COUNTIFS(PRESENCES_INDEMNITES!$B$2:$B$501,B100,PRESENCES_INDEMNITES!$S$2:$S$501,"&lt;&gt;CONFORME",PRESENCES_INDEMNITES!$S$2:$S$501,"&lt;&gt;")&gt;0,"Anomalie détectée",IF(R100&gt;S100,"Dépassement budget indemnités","Conforme")))</f>
        <v/>
      </c>
      <c r="V100" t="str">
        <f t="shared" si="9"/>
        <v/>
      </c>
    </row>
    <row r="101" spans="1:22">
      <c r="A101">
        <f t="shared" si="5"/>
        <v>100</v>
      </c>
      <c r="C101" t="str">
        <f>+IFERROR(VLOOKUP(ControlePJTable[[#This Row],[Code activité]],'LISTES ACTIVITES'!$A$1:$B$38,2,FALSE()),"")</f>
        <v/>
      </c>
      <c r="D101" s="3"/>
      <c r="E101" s="3"/>
      <c r="F101" s="3"/>
      <c r="J101" s="5"/>
      <c r="K101" s="5"/>
      <c r="L101" s="5"/>
      <c r="M101" s="5" t="str">
        <f t="shared" si="6"/>
        <v/>
      </c>
      <c r="N101" s="5" t="str">
        <f t="shared" si="7"/>
        <v/>
      </c>
      <c r="Q101" t="str">
        <f t="shared" si="8"/>
        <v/>
      </c>
      <c r="R101" s="5" t="str">
        <f>IF(B101="","",SUMIFS(PRESENCES_INDEMNITES!$N$2:$N$501,PRESENCES_INDEMNITES!$B$2:$B$501,B101,PRESENCES_INDEMNITES!$S$2:$S$501,"CONFORME"))</f>
        <v/>
      </c>
      <c r="S101" s="5" t="str">
        <f>IF(B101="","",SUMIFS(REFERENTIEL_BUDGET!$J$2:$J$101,REFERENTIEL_BUDGET!$A$2:$A$101,B101,REFERENTIEL_BUDGET!$E$2:$E$101,"Indemnités participants"))</f>
        <v/>
      </c>
      <c r="T101" t="str">
        <f>IF(B101="","",IF(COUNTIFS(PRESENCES_INDEMNITES!$B$2:$B$501,B101,PRESENCES_INDEMNITES!$S$2:$S$501,"&lt;&gt;CONFORME",PRESENCES_INDEMNITES!$S$2:$S$501,"&lt;&gt;")&gt;0,"Anomalie détectée",IF(R101&gt;S101,"Dépassement budget indemnités","Conforme")))</f>
        <v/>
      </c>
      <c r="V101" t="str">
        <f t="shared" si="9"/>
        <v/>
      </c>
    </row>
    <row r="102" spans="1:22">
      <c r="A102">
        <f t="shared" si="5"/>
        <v>101</v>
      </c>
      <c r="C102" t="str">
        <f>+IFERROR(VLOOKUP(ControlePJTable[[#This Row],[Code activité]],'LISTES ACTIVITES'!$A$1:$B$38,2,FALSE()),"")</f>
        <v/>
      </c>
      <c r="D102" s="3"/>
      <c r="E102" s="3"/>
      <c r="F102" s="3"/>
      <c r="J102" s="5"/>
      <c r="K102" s="5"/>
      <c r="L102" s="5"/>
      <c r="M102" s="5" t="str">
        <f t="shared" si="6"/>
        <v/>
      </c>
      <c r="N102" s="5" t="str">
        <f t="shared" si="7"/>
        <v/>
      </c>
      <c r="Q102" t="str">
        <f t="shared" si="8"/>
        <v/>
      </c>
      <c r="R102" s="5" t="str">
        <f>IF(B102="","",SUMIFS(PRESENCES_INDEMNITES!$N$2:$N$501,PRESENCES_INDEMNITES!$B$2:$B$501,B102,PRESENCES_INDEMNITES!$S$2:$S$501,"CONFORME"))</f>
        <v/>
      </c>
      <c r="S102" s="5" t="str">
        <f>IF(B102="","",SUMIFS(REFERENTIEL_BUDGET!$J$2:$J$101,REFERENTIEL_BUDGET!$A$2:$A$101,B102,REFERENTIEL_BUDGET!$E$2:$E$101,"Indemnités participants"))</f>
        <v/>
      </c>
      <c r="T102" t="str">
        <f>IF(B102="","",IF(COUNTIFS(PRESENCES_INDEMNITES!$B$2:$B$501,B102,PRESENCES_INDEMNITES!$S$2:$S$501,"&lt;&gt;CONFORME",PRESENCES_INDEMNITES!$S$2:$S$501,"&lt;&gt;")&gt;0,"Anomalie détectée",IF(R102&gt;S102,"Dépassement budget indemnités","Conforme")))</f>
        <v/>
      </c>
      <c r="V102" t="str">
        <f t="shared" si="9"/>
        <v/>
      </c>
    </row>
    <row r="103" spans="1:22">
      <c r="A103">
        <f t="shared" si="5"/>
        <v>102</v>
      </c>
      <c r="C103" t="str">
        <f>+IFERROR(VLOOKUP(ControlePJTable[[#This Row],[Code activité]],'LISTES ACTIVITES'!$A$1:$B$38,2,FALSE()),"")</f>
        <v/>
      </c>
      <c r="D103" s="3"/>
      <c r="E103" s="3"/>
      <c r="F103" s="3"/>
      <c r="J103" s="5"/>
      <c r="K103" s="5"/>
      <c r="L103" s="5"/>
      <c r="M103" s="5" t="str">
        <f t="shared" si="6"/>
        <v/>
      </c>
      <c r="N103" s="5" t="str">
        <f t="shared" si="7"/>
        <v/>
      </c>
      <c r="Q103" t="str">
        <f t="shared" si="8"/>
        <v/>
      </c>
      <c r="R103" s="5" t="str">
        <f>IF(B103="","",SUMIFS(PRESENCES_INDEMNITES!$N$2:$N$501,PRESENCES_INDEMNITES!$B$2:$B$501,B103,PRESENCES_INDEMNITES!$S$2:$S$501,"CONFORME"))</f>
        <v/>
      </c>
      <c r="S103" s="5" t="str">
        <f>IF(B103="","",SUMIFS(REFERENTIEL_BUDGET!$J$2:$J$101,REFERENTIEL_BUDGET!$A$2:$A$101,B103,REFERENTIEL_BUDGET!$E$2:$E$101,"Indemnités participants"))</f>
        <v/>
      </c>
      <c r="T103" t="str">
        <f>IF(B103="","",IF(COUNTIFS(PRESENCES_INDEMNITES!$B$2:$B$501,B103,PRESENCES_INDEMNITES!$S$2:$S$501,"&lt;&gt;CONFORME",PRESENCES_INDEMNITES!$S$2:$S$501,"&lt;&gt;")&gt;0,"Anomalie détectée",IF(R103&gt;S103,"Dépassement budget indemnités","Conforme")))</f>
        <v/>
      </c>
      <c r="V103" t="str">
        <f t="shared" si="9"/>
        <v/>
      </c>
    </row>
    <row r="104" spans="1:22">
      <c r="A104">
        <f t="shared" si="5"/>
        <v>103</v>
      </c>
      <c r="C104" t="str">
        <f>+IFERROR(VLOOKUP(ControlePJTable[[#This Row],[Code activité]],'LISTES ACTIVITES'!$A$1:$B$38,2,FALSE()),"")</f>
        <v/>
      </c>
      <c r="D104" s="3"/>
      <c r="E104" s="3"/>
      <c r="F104" s="3"/>
      <c r="J104" s="5"/>
      <c r="K104" s="5"/>
      <c r="L104" s="5"/>
      <c r="M104" s="5" t="str">
        <f t="shared" si="6"/>
        <v/>
      </c>
      <c r="N104" s="5" t="str">
        <f t="shared" si="7"/>
        <v/>
      </c>
      <c r="Q104" t="str">
        <f t="shared" si="8"/>
        <v/>
      </c>
      <c r="R104" s="5" t="str">
        <f>IF(B104="","",SUMIFS(PRESENCES_INDEMNITES!$N$2:$N$501,PRESENCES_INDEMNITES!$B$2:$B$501,B104,PRESENCES_INDEMNITES!$S$2:$S$501,"CONFORME"))</f>
        <v/>
      </c>
      <c r="S104" s="5" t="str">
        <f>IF(B104="","",SUMIFS(REFERENTIEL_BUDGET!$J$2:$J$101,REFERENTIEL_BUDGET!$A$2:$A$101,B104,REFERENTIEL_BUDGET!$E$2:$E$101,"Indemnités participants"))</f>
        <v/>
      </c>
      <c r="T104" t="str">
        <f>IF(B104="","",IF(COUNTIFS(PRESENCES_INDEMNITES!$B$2:$B$501,B104,PRESENCES_INDEMNITES!$S$2:$S$501,"&lt;&gt;CONFORME",PRESENCES_INDEMNITES!$S$2:$S$501,"&lt;&gt;")&gt;0,"Anomalie détectée",IF(R104&gt;S104,"Dépassement budget indemnités","Conforme")))</f>
        <v/>
      </c>
      <c r="V104" t="str">
        <f t="shared" si="9"/>
        <v/>
      </c>
    </row>
    <row r="105" spans="1:22">
      <c r="A105">
        <f t="shared" si="5"/>
        <v>104</v>
      </c>
      <c r="C105" t="str">
        <f>+IFERROR(VLOOKUP(ControlePJTable[[#This Row],[Code activité]],'LISTES ACTIVITES'!$A$1:$B$38,2,FALSE()),"")</f>
        <v/>
      </c>
      <c r="D105" s="3"/>
      <c r="E105" s="3"/>
      <c r="F105" s="3"/>
      <c r="J105" s="5"/>
      <c r="K105" s="5"/>
      <c r="L105" s="5"/>
      <c r="M105" s="5" t="str">
        <f t="shared" si="6"/>
        <v/>
      </c>
      <c r="N105" s="5" t="str">
        <f t="shared" si="7"/>
        <v/>
      </c>
      <c r="Q105" t="str">
        <f t="shared" si="8"/>
        <v/>
      </c>
      <c r="R105" s="5" t="str">
        <f>IF(B105="","",SUMIFS(PRESENCES_INDEMNITES!$N$2:$N$501,PRESENCES_INDEMNITES!$B$2:$B$501,B105,PRESENCES_INDEMNITES!$S$2:$S$501,"CONFORME"))</f>
        <v/>
      </c>
      <c r="S105" s="5" t="str">
        <f>IF(B105="","",SUMIFS(REFERENTIEL_BUDGET!$J$2:$J$101,REFERENTIEL_BUDGET!$A$2:$A$101,B105,REFERENTIEL_BUDGET!$E$2:$E$101,"Indemnités participants"))</f>
        <v/>
      </c>
      <c r="T105" t="str">
        <f>IF(B105="","",IF(COUNTIFS(PRESENCES_INDEMNITES!$B$2:$B$501,B105,PRESENCES_INDEMNITES!$S$2:$S$501,"&lt;&gt;CONFORME",PRESENCES_INDEMNITES!$S$2:$S$501,"&lt;&gt;")&gt;0,"Anomalie détectée",IF(R105&gt;S105,"Dépassement budget indemnités","Conforme")))</f>
        <v/>
      </c>
      <c r="V105" t="str">
        <f t="shared" si="9"/>
        <v/>
      </c>
    </row>
    <row r="106" spans="1:22">
      <c r="A106">
        <f t="shared" si="5"/>
        <v>105</v>
      </c>
      <c r="C106" t="str">
        <f>+IFERROR(VLOOKUP(ControlePJTable[[#This Row],[Code activité]],'LISTES ACTIVITES'!$A$1:$B$38,2,FALSE()),"")</f>
        <v/>
      </c>
      <c r="D106" s="3"/>
      <c r="E106" s="3"/>
      <c r="F106" s="3"/>
      <c r="J106" s="5"/>
      <c r="K106" s="5"/>
      <c r="L106" s="5"/>
      <c r="M106" s="5" t="str">
        <f t="shared" si="6"/>
        <v/>
      </c>
      <c r="N106" s="5" t="str">
        <f t="shared" si="7"/>
        <v/>
      </c>
      <c r="Q106" t="str">
        <f t="shared" si="8"/>
        <v/>
      </c>
      <c r="R106" s="5" t="str">
        <f>IF(B106="","",SUMIFS(PRESENCES_INDEMNITES!$N$2:$N$501,PRESENCES_INDEMNITES!$B$2:$B$501,B106,PRESENCES_INDEMNITES!$S$2:$S$501,"CONFORME"))</f>
        <v/>
      </c>
      <c r="S106" s="5" t="str">
        <f>IF(B106="","",SUMIFS(REFERENTIEL_BUDGET!$J$2:$J$101,REFERENTIEL_BUDGET!$A$2:$A$101,B106,REFERENTIEL_BUDGET!$E$2:$E$101,"Indemnités participants"))</f>
        <v/>
      </c>
      <c r="T106" t="str">
        <f>IF(B106="","",IF(COUNTIFS(PRESENCES_INDEMNITES!$B$2:$B$501,B106,PRESENCES_INDEMNITES!$S$2:$S$501,"&lt;&gt;CONFORME",PRESENCES_INDEMNITES!$S$2:$S$501,"&lt;&gt;")&gt;0,"Anomalie détectée",IF(R106&gt;S106,"Dépassement budget indemnités","Conforme")))</f>
        <v/>
      </c>
      <c r="V106" t="str">
        <f t="shared" si="9"/>
        <v/>
      </c>
    </row>
    <row r="107" spans="1:22">
      <c r="A107">
        <f t="shared" si="5"/>
        <v>106</v>
      </c>
      <c r="C107" t="str">
        <f>+IFERROR(VLOOKUP(ControlePJTable[[#This Row],[Code activité]],'LISTES ACTIVITES'!$A$1:$B$38,2,FALSE()),"")</f>
        <v/>
      </c>
      <c r="D107" s="3"/>
      <c r="E107" s="3"/>
      <c r="F107" s="3"/>
      <c r="J107" s="5"/>
      <c r="K107" s="5"/>
      <c r="L107" s="5"/>
      <c r="M107" s="5" t="str">
        <f t="shared" si="6"/>
        <v/>
      </c>
      <c r="N107" s="5" t="str">
        <f t="shared" si="7"/>
        <v/>
      </c>
      <c r="Q107" t="str">
        <f t="shared" si="8"/>
        <v/>
      </c>
      <c r="R107" s="5" t="str">
        <f>IF(B107="","",SUMIFS(PRESENCES_INDEMNITES!$N$2:$N$501,PRESENCES_INDEMNITES!$B$2:$B$501,B107,PRESENCES_INDEMNITES!$S$2:$S$501,"CONFORME"))</f>
        <v/>
      </c>
      <c r="S107" s="5" t="str">
        <f>IF(B107="","",SUMIFS(REFERENTIEL_BUDGET!$J$2:$J$101,REFERENTIEL_BUDGET!$A$2:$A$101,B107,REFERENTIEL_BUDGET!$E$2:$E$101,"Indemnités participants"))</f>
        <v/>
      </c>
      <c r="T107" t="str">
        <f>IF(B107="","",IF(COUNTIFS(PRESENCES_INDEMNITES!$B$2:$B$501,B107,PRESENCES_INDEMNITES!$S$2:$S$501,"&lt;&gt;CONFORME",PRESENCES_INDEMNITES!$S$2:$S$501,"&lt;&gt;")&gt;0,"Anomalie détectée",IF(R107&gt;S107,"Dépassement budget indemnités","Conforme")))</f>
        <v/>
      </c>
      <c r="V107" t="str">
        <f t="shared" si="9"/>
        <v/>
      </c>
    </row>
    <row r="108" spans="1:22">
      <c r="A108">
        <f t="shared" si="5"/>
        <v>107</v>
      </c>
      <c r="C108" t="str">
        <f>+IFERROR(VLOOKUP(ControlePJTable[[#This Row],[Code activité]],'LISTES ACTIVITES'!$A$1:$B$38,2,FALSE()),"")</f>
        <v/>
      </c>
      <c r="D108" s="3"/>
      <c r="E108" s="3"/>
      <c r="F108" s="3"/>
      <c r="J108" s="5"/>
      <c r="K108" s="5"/>
      <c r="L108" s="5"/>
      <c r="M108" s="5" t="str">
        <f t="shared" si="6"/>
        <v/>
      </c>
      <c r="N108" s="5" t="str">
        <f t="shared" si="7"/>
        <v/>
      </c>
      <c r="Q108" t="str">
        <f t="shared" si="8"/>
        <v/>
      </c>
      <c r="R108" s="5" t="str">
        <f>IF(B108="","",SUMIFS(PRESENCES_INDEMNITES!$N$2:$N$501,PRESENCES_INDEMNITES!$B$2:$B$501,B108,PRESENCES_INDEMNITES!$S$2:$S$501,"CONFORME"))</f>
        <v/>
      </c>
      <c r="S108" s="5" t="str">
        <f>IF(B108="","",SUMIFS(REFERENTIEL_BUDGET!$J$2:$J$101,REFERENTIEL_BUDGET!$A$2:$A$101,B108,REFERENTIEL_BUDGET!$E$2:$E$101,"Indemnités participants"))</f>
        <v/>
      </c>
      <c r="T108" t="str">
        <f>IF(B108="","",IF(COUNTIFS(PRESENCES_INDEMNITES!$B$2:$B$501,B108,PRESENCES_INDEMNITES!$S$2:$S$501,"&lt;&gt;CONFORME",PRESENCES_INDEMNITES!$S$2:$S$501,"&lt;&gt;")&gt;0,"Anomalie détectée",IF(R108&gt;S108,"Dépassement budget indemnités","Conforme")))</f>
        <v/>
      </c>
      <c r="V108" t="str">
        <f t="shared" si="9"/>
        <v/>
      </c>
    </row>
    <row r="109" spans="1:22">
      <c r="A109">
        <f t="shared" si="5"/>
        <v>108</v>
      </c>
      <c r="C109" t="str">
        <f>+IFERROR(VLOOKUP(ControlePJTable[[#This Row],[Code activité]],'LISTES ACTIVITES'!$A$1:$B$38,2,FALSE()),"")</f>
        <v/>
      </c>
      <c r="D109" s="3"/>
      <c r="E109" s="3"/>
      <c r="F109" s="3"/>
      <c r="J109" s="5"/>
      <c r="K109" s="5"/>
      <c r="L109" s="5"/>
      <c r="M109" s="5" t="str">
        <f t="shared" si="6"/>
        <v/>
      </c>
      <c r="N109" s="5" t="str">
        <f t="shared" si="7"/>
        <v/>
      </c>
      <c r="Q109" t="str">
        <f t="shared" si="8"/>
        <v/>
      </c>
      <c r="R109" s="5" t="str">
        <f>IF(B109="","",SUMIFS(PRESENCES_INDEMNITES!$N$2:$N$501,PRESENCES_INDEMNITES!$B$2:$B$501,B109,PRESENCES_INDEMNITES!$S$2:$S$501,"CONFORME"))</f>
        <v/>
      </c>
      <c r="S109" s="5" t="str">
        <f>IF(B109="","",SUMIFS(REFERENTIEL_BUDGET!$J$2:$J$101,REFERENTIEL_BUDGET!$A$2:$A$101,B109,REFERENTIEL_BUDGET!$E$2:$E$101,"Indemnités participants"))</f>
        <v/>
      </c>
      <c r="T109" t="str">
        <f>IF(B109="","",IF(COUNTIFS(PRESENCES_INDEMNITES!$B$2:$B$501,B109,PRESENCES_INDEMNITES!$S$2:$S$501,"&lt;&gt;CONFORME",PRESENCES_INDEMNITES!$S$2:$S$501,"&lt;&gt;")&gt;0,"Anomalie détectée",IF(R109&gt;S109,"Dépassement budget indemnités","Conforme")))</f>
        <v/>
      </c>
      <c r="V109" t="str">
        <f t="shared" si="9"/>
        <v/>
      </c>
    </row>
    <row r="110" spans="1:22">
      <c r="A110">
        <f t="shared" si="5"/>
        <v>109</v>
      </c>
      <c r="C110" t="str">
        <f>+IFERROR(VLOOKUP(ControlePJTable[[#This Row],[Code activité]],'LISTES ACTIVITES'!$A$1:$B$38,2,FALSE()),"")</f>
        <v/>
      </c>
      <c r="D110" s="3"/>
      <c r="E110" s="3"/>
      <c r="F110" s="3"/>
      <c r="J110" s="5"/>
      <c r="K110" s="5"/>
      <c r="L110" s="5"/>
      <c r="M110" s="5" t="str">
        <f t="shared" si="6"/>
        <v/>
      </c>
      <c r="N110" s="5" t="str">
        <f t="shared" si="7"/>
        <v/>
      </c>
      <c r="Q110" t="str">
        <f t="shared" si="8"/>
        <v/>
      </c>
      <c r="R110" s="5" t="str">
        <f>IF(B110="","",SUMIFS(PRESENCES_INDEMNITES!$N$2:$N$501,PRESENCES_INDEMNITES!$B$2:$B$501,B110,PRESENCES_INDEMNITES!$S$2:$S$501,"CONFORME"))</f>
        <v/>
      </c>
      <c r="S110" s="5" t="str">
        <f>IF(B110="","",SUMIFS(REFERENTIEL_BUDGET!$J$2:$J$101,REFERENTIEL_BUDGET!$A$2:$A$101,B110,REFERENTIEL_BUDGET!$E$2:$E$101,"Indemnités participants"))</f>
        <v/>
      </c>
      <c r="T110" t="str">
        <f>IF(B110="","",IF(COUNTIFS(PRESENCES_INDEMNITES!$B$2:$B$501,B110,PRESENCES_INDEMNITES!$S$2:$S$501,"&lt;&gt;CONFORME",PRESENCES_INDEMNITES!$S$2:$S$501,"&lt;&gt;")&gt;0,"Anomalie détectée",IF(R110&gt;S110,"Dépassement budget indemnités","Conforme")))</f>
        <v/>
      </c>
      <c r="V110" t="str">
        <f t="shared" si="9"/>
        <v/>
      </c>
    </row>
    <row r="111" spans="1:22">
      <c r="A111">
        <f t="shared" si="5"/>
        <v>110</v>
      </c>
      <c r="C111" t="str">
        <f>+IFERROR(VLOOKUP(ControlePJTable[[#This Row],[Code activité]],'LISTES ACTIVITES'!$A$1:$B$38,2,FALSE()),"")</f>
        <v/>
      </c>
      <c r="D111" s="3"/>
      <c r="E111" s="3"/>
      <c r="F111" s="3"/>
      <c r="J111" s="5"/>
      <c r="K111" s="5"/>
      <c r="L111" s="5"/>
      <c r="M111" s="5" t="str">
        <f t="shared" si="6"/>
        <v/>
      </c>
      <c r="N111" s="5" t="str">
        <f t="shared" si="7"/>
        <v/>
      </c>
      <c r="Q111" t="str">
        <f t="shared" si="8"/>
        <v/>
      </c>
      <c r="R111" s="5" t="str">
        <f>IF(B111="","",SUMIFS(PRESENCES_INDEMNITES!$N$2:$N$501,PRESENCES_INDEMNITES!$B$2:$B$501,B111,PRESENCES_INDEMNITES!$S$2:$S$501,"CONFORME"))</f>
        <v/>
      </c>
      <c r="S111" s="5" t="str">
        <f>IF(B111="","",SUMIFS(REFERENTIEL_BUDGET!$J$2:$J$101,REFERENTIEL_BUDGET!$A$2:$A$101,B111,REFERENTIEL_BUDGET!$E$2:$E$101,"Indemnités participants"))</f>
        <v/>
      </c>
      <c r="T111" t="str">
        <f>IF(B111="","",IF(COUNTIFS(PRESENCES_INDEMNITES!$B$2:$B$501,B111,PRESENCES_INDEMNITES!$S$2:$S$501,"&lt;&gt;CONFORME",PRESENCES_INDEMNITES!$S$2:$S$501,"&lt;&gt;")&gt;0,"Anomalie détectée",IF(R111&gt;S111,"Dépassement budget indemnités","Conforme")))</f>
        <v/>
      </c>
      <c r="V111" t="str">
        <f t="shared" si="9"/>
        <v/>
      </c>
    </row>
    <row r="112" spans="1:22">
      <c r="A112">
        <f t="shared" si="5"/>
        <v>111</v>
      </c>
      <c r="C112" t="str">
        <f>+IFERROR(VLOOKUP(ControlePJTable[[#This Row],[Code activité]],'LISTES ACTIVITES'!$A$1:$B$38,2,FALSE()),"")</f>
        <v/>
      </c>
      <c r="D112" s="3"/>
      <c r="E112" s="3"/>
      <c r="F112" s="3"/>
      <c r="J112" s="5"/>
      <c r="K112" s="5"/>
      <c r="L112" s="5"/>
      <c r="M112" s="5" t="str">
        <f t="shared" si="6"/>
        <v/>
      </c>
      <c r="N112" s="5" t="str">
        <f t="shared" si="7"/>
        <v/>
      </c>
      <c r="Q112" t="str">
        <f t="shared" si="8"/>
        <v/>
      </c>
      <c r="R112" s="5" t="str">
        <f>IF(B112="","",SUMIFS(PRESENCES_INDEMNITES!$N$2:$N$501,PRESENCES_INDEMNITES!$B$2:$B$501,B112,PRESENCES_INDEMNITES!$S$2:$S$501,"CONFORME"))</f>
        <v/>
      </c>
      <c r="S112" s="5" t="str">
        <f>IF(B112="","",SUMIFS(REFERENTIEL_BUDGET!$J$2:$J$101,REFERENTIEL_BUDGET!$A$2:$A$101,B112,REFERENTIEL_BUDGET!$E$2:$E$101,"Indemnités participants"))</f>
        <v/>
      </c>
      <c r="T112" t="str">
        <f>IF(B112="","",IF(COUNTIFS(PRESENCES_INDEMNITES!$B$2:$B$501,B112,PRESENCES_INDEMNITES!$S$2:$S$501,"&lt;&gt;CONFORME",PRESENCES_INDEMNITES!$S$2:$S$501,"&lt;&gt;")&gt;0,"Anomalie détectée",IF(R112&gt;S112,"Dépassement budget indemnités","Conforme")))</f>
        <v/>
      </c>
      <c r="V112" t="str">
        <f t="shared" si="9"/>
        <v/>
      </c>
    </row>
    <row r="113" spans="1:22">
      <c r="A113">
        <f t="shared" si="5"/>
        <v>112</v>
      </c>
      <c r="C113" t="str">
        <f>+IFERROR(VLOOKUP(ControlePJTable[[#This Row],[Code activité]],'LISTES ACTIVITES'!$A$1:$B$38,2,FALSE()),"")</f>
        <v/>
      </c>
      <c r="D113" s="3"/>
      <c r="E113" s="3"/>
      <c r="F113" s="3"/>
      <c r="J113" s="5"/>
      <c r="K113" s="5"/>
      <c r="L113" s="5"/>
      <c r="M113" s="5" t="str">
        <f t="shared" si="6"/>
        <v/>
      </c>
      <c r="N113" s="5" t="str">
        <f t="shared" si="7"/>
        <v/>
      </c>
      <c r="Q113" t="str">
        <f t="shared" si="8"/>
        <v/>
      </c>
      <c r="R113" s="5" t="str">
        <f>IF(B113="","",SUMIFS(PRESENCES_INDEMNITES!$N$2:$N$501,PRESENCES_INDEMNITES!$B$2:$B$501,B113,PRESENCES_INDEMNITES!$S$2:$S$501,"CONFORME"))</f>
        <v/>
      </c>
      <c r="S113" s="5" t="str">
        <f>IF(B113="","",SUMIFS(REFERENTIEL_BUDGET!$J$2:$J$101,REFERENTIEL_BUDGET!$A$2:$A$101,B113,REFERENTIEL_BUDGET!$E$2:$E$101,"Indemnités participants"))</f>
        <v/>
      </c>
      <c r="T113" t="str">
        <f>IF(B113="","",IF(COUNTIFS(PRESENCES_INDEMNITES!$B$2:$B$501,B113,PRESENCES_INDEMNITES!$S$2:$S$501,"&lt;&gt;CONFORME",PRESENCES_INDEMNITES!$S$2:$S$501,"&lt;&gt;")&gt;0,"Anomalie détectée",IF(R113&gt;S113,"Dépassement budget indemnités","Conforme")))</f>
        <v/>
      </c>
      <c r="V113" t="str">
        <f t="shared" si="9"/>
        <v/>
      </c>
    </row>
    <row r="114" spans="1:22">
      <c r="A114">
        <f t="shared" si="5"/>
        <v>113</v>
      </c>
      <c r="C114" t="str">
        <f>+IFERROR(VLOOKUP(ControlePJTable[[#This Row],[Code activité]],'LISTES ACTIVITES'!$A$1:$B$38,2,FALSE()),"")</f>
        <v/>
      </c>
      <c r="D114" s="3"/>
      <c r="E114" s="3"/>
      <c r="F114" s="3"/>
      <c r="J114" s="5"/>
      <c r="K114" s="5"/>
      <c r="L114" s="5"/>
      <c r="M114" s="5" t="str">
        <f t="shared" si="6"/>
        <v/>
      </c>
      <c r="N114" s="5" t="str">
        <f t="shared" si="7"/>
        <v/>
      </c>
      <c r="Q114" t="str">
        <f t="shared" si="8"/>
        <v/>
      </c>
      <c r="R114" s="5" t="str">
        <f>IF(B114="","",SUMIFS(PRESENCES_INDEMNITES!$N$2:$N$501,PRESENCES_INDEMNITES!$B$2:$B$501,B114,PRESENCES_INDEMNITES!$S$2:$S$501,"CONFORME"))</f>
        <v/>
      </c>
      <c r="S114" s="5" t="str">
        <f>IF(B114="","",SUMIFS(REFERENTIEL_BUDGET!$J$2:$J$101,REFERENTIEL_BUDGET!$A$2:$A$101,B114,REFERENTIEL_BUDGET!$E$2:$E$101,"Indemnités participants"))</f>
        <v/>
      </c>
      <c r="T114" t="str">
        <f>IF(B114="","",IF(COUNTIFS(PRESENCES_INDEMNITES!$B$2:$B$501,B114,PRESENCES_INDEMNITES!$S$2:$S$501,"&lt;&gt;CONFORME",PRESENCES_INDEMNITES!$S$2:$S$501,"&lt;&gt;")&gt;0,"Anomalie détectée",IF(R114&gt;S114,"Dépassement budget indemnités","Conforme")))</f>
        <v/>
      </c>
      <c r="V114" t="str">
        <f t="shared" si="9"/>
        <v/>
      </c>
    </row>
    <row r="115" spans="1:22">
      <c r="A115">
        <f t="shared" si="5"/>
        <v>114</v>
      </c>
      <c r="C115" t="str">
        <f>+IFERROR(VLOOKUP(ControlePJTable[[#This Row],[Code activité]],'LISTES ACTIVITES'!$A$1:$B$38,2,FALSE()),"")</f>
        <v/>
      </c>
      <c r="D115" s="3"/>
      <c r="E115" s="3"/>
      <c r="F115" s="3"/>
      <c r="J115" s="5"/>
      <c r="K115" s="5"/>
      <c r="L115" s="5"/>
      <c r="M115" s="5" t="str">
        <f t="shared" si="6"/>
        <v/>
      </c>
      <c r="N115" s="5" t="str">
        <f t="shared" si="7"/>
        <v/>
      </c>
      <c r="Q115" t="str">
        <f t="shared" si="8"/>
        <v/>
      </c>
      <c r="R115" s="5" t="str">
        <f>IF(B115="","",SUMIFS(PRESENCES_INDEMNITES!$N$2:$N$501,PRESENCES_INDEMNITES!$B$2:$B$501,B115,PRESENCES_INDEMNITES!$S$2:$S$501,"CONFORME"))</f>
        <v/>
      </c>
      <c r="S115" s="5" t="str">
        <f>IF(B115="","",SUMIFS(REFERENTIEL_BUDGET!$J$2:$J$101,REFERENTIEL_BUDGET!$A$2:$A$101,B115,REFERENTIEL_BUDGET!$E$2:$E$101,"Indemnités participants"))</f>
        <v/>
      </c>
      <c r="T115" t="str">
        <f>IF(B115="","",IF(COUNTIFS(PRESENCES_INDEMNITES!$B$2:$B$501,B115,PRESENCES_INDEMNITES!$S$2:$S$501,"&lt;&gt;CONFORME",PRESENCES_INDEMNITES!$S$2:$S$501,"&lt;&gt;")&gt;0,"Anomalie détectée",IF(R115&gt;S115,"Dépassement budget indemnités","Conforme")))</f>
        <v/>
      </c>
      <c r="V115" t="str">
        <f t="shared" si="9"/>
        <v/>
      </c>
    </row>
    <row r="116" spans="1:22">
      <c r="A116">
        <f t="shared" si="5"/>
        <v>115</v>
      </c>
      <c r="C116" t="str">
        <f>+IFERROR(VLOOKUP(ControlePJTable[[#This Row],[Code activité]],'LISTES ACTIVITES'!$A$1:$B$38,2,FALSE()),"")</f>
        <v/>
      </c>
      <c r="D116" s="3"/>
      <c r="E116" s="3"/>
      <c r="F116" s="3"/>
      <c r="J116" s="5"/>
      <c r="K116" s="5"/>
      <c r="L116" s="5"/>
      <c r="M116" s="5" t="str">
        <f t="shared" si="6"/>
        <v/>
      </c>
      <c r="N116" s="5" t="str">
        <f t="shared" si="7"/>
        <v/>
      </c>
      <c r="Q116" t="str">
        <f t="shared" si="8"/>
        <v/>
      </c>
      <c r="R116" s="5" t="str">
        <f>IF(B116="","",SUMIFS(PRESENCES_INDEMNITES!$N$2:$N$501,PRESENCES_INDEMNITES!$B$2:$B$501,B116,PRESENCES_INDEMNITES!$S$2:$S$501,"CONFORME"))</f>
        <v/>
      </c>
      <c r="S116" s="5" t="str">
        <f>IF(B116="","",SUMIFS(REFERENTIEL_BUDGET!$J$2:$J$101,REFERENTIEL_BUDGET!$A$2:$A$101,B116,REFERENTIEL_BUDGET!$E$2:$E$101,"Indemnités participants"))</f>
        <v/>
      </c>
      <c r="T116" t="str">
        <f>IF(B116="","",IF(COUNTIFS(PRESENCES_INDEMNITES!$B$2:$B$501,B116,PRESENCES_INDEMNITES!$S$2:$S$501,"&lt;&gt;CONFORME",PRESENCES_INDEMNITES!$S$2:$S$501,"&lt;&gt;")&gt;0,"Anomalie détectée",IF(R116&gt;S116,"Dépassement budget indemnités","Conforme")))</f>
        <v/>
      </c>
      <c r="V116" t="str">
        <f t="shared" si="9"/>
        <v/>
      </c>
    </row>
    <row r="117" spans="1:22">
      <c r="A117">
        <f t="shared" si="5"/>
        <v>116</v>
      </c>
      <c r="C117" t="str">
        <f>+IFERROR(VLOOKUP(ControlePJTable[[#This Row],[Code activité]],'LISTES ACTIVITES'!$A$1:$B$38,2,FALSE()),"")</f>
        <v/>
      </c>
      <c r="D117" s="3"/>
      <c r="E117" s="3"/>
      <c r="F117" s="3"/>
      <c r="J117" s="5"/>
      <c r="K117" s="5"/>
      <c r="L117" s="5"/>
      <c r="M117" s="5" t="str">
        <f t="shared" si="6"/>
        <v/>
      </c>
      <c r="N117" s="5" t="str">
        <f t="shared" si="7"/>
        <v/>
      </c>
      <c r="Q117" t="str">
        <f t="shared" si="8"/>
        <v/>
      </c>
      <c r="R117" s="5" t="str">
        <f>IF(B117="","",SUMIFS(PRESENCES_INDEMNITES!$N$2:$N$501,PRESENCES_INDEMNITES!$B$2:$B$501,B117,PRESENCES_INDEMNITES!$S$2:$S$501,"CONFORME"))</f>
        <v/>
      </c>
      <c r="S117" s="5" t="str">
        <f>IF(B117="","",SUMIFS(REFERENTIEL_BUDGET!$J$2:$J$101,REFERENTIEL_BUDGET!$A$2:$A$101,B117,REFERENTIEL_BUDGET!$E$2:$E$101,"Indemnités participants"))</f>
        <v/>
      </c>
      <c r="T117" t="str">
        <f>IF(B117="","",IF(COUNTIFS(PRESENCES_INDEMNITES!$B$2:$B$501,B117,PRESENCES_INDEMNITES!$S$2:$S$501,"&lt;&gt;CONFORME",PRESENCES_INDEMNITES!$S$2:$S$501,"&lt;&gt;")&gt;0,"Anomalie détectée",IF(R117&gt;S117,"Dépassement budget indemnités","Conforme")))</f>
        <v/>
      </c>
      <c r="V117" t="str">
        <f t="shared" si="9"/>
        <v/>
      </c>
    </row>
    <row r="118" spans="1:22">
      <c r="A118">
        <f t="shared" si="5"/>
        <v>117</v>
      </c>
      <c r="C118" t="str">
        <f>+IFERROR(VLOOKUP(ControlePJTable[[#This Row],[Code activité]],'LISTES ACTIVITES'!$A$1:$B$38,2,FALSE()),"")</f>
        <v/>
      </c>
      <c r="D118" s="3"/>
      <c r="E118" s="3"/>
      <c r="F118" s="3"/>
      <c r="J118" s="5"/>
      <c r="K118" s="5"/>
      <c r="L118" s="5"/>
      <c r="M118" s="5" t="str">
        <f t="shared" si="6"/>
        <v/>
      </c>
      <c r="N118" s="5" t="str">
        <f t="shared" si="7"/>
        <v/>
      </c>
      <c r="Q118" t="str">
        <f t="shared" si="8"/>
        <v/>
      </c>
      <c r="R118" s="5" t="str">
        <f>IF(B118="","",SUMIFS(PRESENCES_INDEMNITES!$N$2:$N$501,PRESENCES_INDEMNITES!$B$2:$B$501,B118,PRESENCES_INDEMNITES!$S$2:$S$501,"CONFORME"))</f>
        <v/>
      </c>
      <c r="S118" s="5" t="str">
        <f>IF(B118="","",SUMIFS(REFERENTIEL_BUDGET!$J$2:$J$101,REFERENTIEL_BUDGET!$A$2:$A$101,B118,REFERENTIEL_BUDGET!$E$2:$E$101,"Indemnités participants"))</f>
        <v/>
      </c>
      <c r="T118" t="str">
        <f>IF(B118="","",IF(COUNTIFS(PRESENCES_INDEMNITES!$B$2:$B$501,B118,PRESENCES_INDEMNITES!$S$2:$S$501,"&lt;&gt;CONFORME",PRESENCES_INDEMNITES!$S$2:$S$501,"&lt;&gt;")&gt;0,"Anomalie détectée",IF(R118&gt;S118,"Dépassement budget indemnités","Conforme")))</f>
        <v/>
      </c>
      <c r="V118" t="str">
        <f t="shared" si="9"/>
        <v/>
      </c>
    </row>
    <row r="119" spans="1:22">
      <c r="A119">
        <f t="shared" si="5"/>
        <v>118</v>
      </c>
      <c r="C119" t="str">
        <f>+IFERROR(VLOOKUP(ControlePJTable[[#This Row],[Code activité]],'LISTES ACTIVITES'!$A$1:$B$38,2,FALSE()),"")</f>
        <v/>
      </c>
      <c r="D119" s="3"/>
      <c r="E119" s="3"/>
      <c r="F119" s="3"/>
      <c r="J119" s="5"/>
      <c r="K119" s="5"/>
      <c r="L119" s="5"/>
      <c r="M119" s="5" t="str">
        <f t="shared" si="6"/>
        <v/>
      </c>
      <c r="N119" s="5" t="str">
        <f t="shared" si="7"/>
        <v/>
      </c>
      <c r="Q119" t="str">
        <f t="shared" si="8"/>
        <v/>
      </c>
      <c r="R119" s="5" t="str">
        <f>IF(B119="","",SUMIFS(PRESENCES_INDEMNITES!$N$2:$N$501,PRESENCES_INDEMNITES!$B$2:$B$501,B119,PRESENCES_INDEMNITES!$S$2:$S$501,"CONFORME"))</f>
        <v/>
      </c>
      <c r="S119" s="5" t="str">
        <f>IF(B119="","",SUMIFS(REFERENTIEL_BUDGET!$J$2:$J$101,REFERENTIEL_BUDGET!$A$2:$A$101,B119,REFERENTIEL_BUDGET!$E$2:$E$101,"Indemnités participants"))</f>
        <v/>
      </c>
      <c r="T119" t="str">
        <f>IF(B119="","",IF(COUNTIFS(PRESENCES_INDEMNITES!$B$2:$B$501,B119,PRESENCES_INDEMNITES!$S$2:$S$501,"&lt;&gt;CONFORME",PRESENCES_INDEMNITES!$S$2:$S$501,"&lt;&gt;")&gt;0,"Anomalie détectée",IF(R119&gt;S119,"Dépassement budget indemnités","Conforme")))</f>
        <v/>
      </c>
      <c r="V119" t="str">
        <f t="shared" si="9"/>
        <v/>
      </c>
    </row>
    <row r="120" spans="1:22">
      <c r="A120">
        <f t="shared" si="5"/>
        <v>119</v>
      </c>
      <c r="C120" t="str">
        <f>+IFERROR(VLOOKUP(ControlePJTable[[#This Row],[Code activité]],'LISTES ACTIVITES'!$A$1:$B$38,2,FALSE()),"")</f>
        <v/>
      </c>
      <c r="D120" s="3"/>
      <c r="E120" s="3"/>
      <c r="F120" s="3"/>
      <c r="J120" s="5"/>
      <c r="K120" s="5"/>
      <c r="L120" s="5"/>
      <c r="M120" s="5" t="str">
        <f t="shared" si="6"/>
        <v/>
      </c>
      <c r="N120" s="5" t="str">
        <f t="shared" si="7"/>
        <v/>
      </c>
      <c r="Q120" t="str">
        <f t="shared" si="8"/>
        <v/>
      </c>
      <c r="R120" s="5" t="str">
        <f>IF(B120="","",SUMIFS(PRESENCES_INDEMNITES!$N$2:$N$501,PRESENCES_INDEMNITES!$B$2:$B$501,B120,PRESENCES_INDEMNITES!$S$2:$S$501,"CONFORME"))</f>
        <v/>
      </c>
      <c r="S120" s="5" t="str">
        <f>IF(B120="","",SUMIFS(REFERENTIEL_BUDGET!$J$2:$J$101,REFERENTIEL_BUDGET!$A$2:$A$101,B120,REFERENTIEL_BUDGET!$E$2:$E$101,"Indemnités participants"))</f>
        <v/>
      </c>
      <c r="T120" t="str">
        <f>IF(B120="","",IF(COUNTIFS(PRESENCES_INDEMNITES!$B$2:$B$501,B120,PRESENCES_INDEMNITES!$S$2:$S$501,"&lt;&gt;CONFORME",PRESENCES_INDEMNITES!$S$2:$S$501,"&lt;&gt;")&gt;0,"Anomalie détectée",IF(R120&gt;S120,"Dépassement budget indemnités","Conforme")))</f>
        <v/>
      </c>
      <c r="V120" t="str">
        <f t="shared" si="9"/>
        <v/>
      </c>
    </row>
    <row r="121" spans="1:22">
      <c r="A121">
        <f t="shared" si="5"/>
        <v>120</v>
      </c>
      <c r="C121" t="str">
        <f>+IFERROR(VLOOKUP(ControlePJTable[[#This Row],[Code activité]],'LISTES ACTIVITES'!$A$1:$B$38,2,FALSE()),"")</f>
        <v/>
      </c>
      <c r="D121" s="3"/>
      <c r="E121" s="3"/>
      <c r="F121" s="3"/>
      <c r="J121" s="5"/>
      <c r="K121" s="5"/>
      <c r="L121" s="5"/>
      <c r="M121" s="5" t="str">
        <f t="shared" si="6"/>
        <v/>
      </c>
      <c r="N121" s="5" t="str">
        <f t="shared" si="7"/>
        <v/>
      </c>
      <c r="Q121" t="str">
        <f t="shared" si="8"/>
        <v/>
      </c>
      <c r="R121" s="5" t="str">
        <f>IF(B121="","",SUMIFS(PRESENCES_INDEMNITES!$N$2:$N$501,PRESENCES_INDEMNITES!$B$2:$B$501,B121,PRESENCES_INDEMNITES!$S$2:$S$501,"CONFORME"))</f>
        <v/>
      </c>
      <c r="S121" s="5" t="str">
        <f>IF(B121="","",SUMIFS(REFERENTIEL_BUDGET!$J$2:$J$101,REFERENTIEL_BUDGET!$A$2:$A$101,B121,REFERENTIEL_BUDGET!$E$2:$E$101,"Indemnités participants"))</f>
        <v/>
      </c>
      <c r="T121" t="str">
        <f>IF(B121="","",IF(COUNTIFS(PRESENCES_INDEMNITES!$B$2:$B$501,B121,PRESENCES_INDEMNITES!$S$2:$S$501,"&lt;&gt;CONFORME",PRESENCES_INDEMNITES!$S$2:$S$501,"&lt;&gt;")&gt;0,"Anomalie détectée",IF(R121&gt;S121,"Dépassement budget indemnités","Conforme")))</f>
        <v/>
      </c>
      <c r="V121" t="str">
        <f t="shared" si="9"/>
        <v/>
      </c>
    </row>
    <row r="122" spans="1:22">
      <c r="A122">
        <f t="shared" si="5"/>
        <v>121</v>
      </c>
      <c r="C122" t="str">
        <f>+IFERROR(VLOOKUP(ControlePJTable[[#This Row],[Code activité]],'LISTES ACTIVITES'!$A$1:$B$38,2,FALSE()),"")</f>
        <v/>
      </c>
      <c r="D122" s="3"/>
      <c r="E122" s="3"/>
      <c r="F122" s="3"/>
      <c r="J122" s="5"/>
      <c r="K122" s="5"/>
      <c r="L122" s="5"/>
      <c r="M122" s="5" t="str">
        <f t="shared" si="6"/>
        <v/>
      </c>
      <c r="N122" s="5" t="str">
        <f t="shared" si="7"/>
        <v/>
      </c>
      <c r="Q122" t="str">
        <f t="shared" si="8"/>
        <v/>
      </c>
      <c r="R122" s="5" t="str">
        <f>IF(B122="","",SUMIFS(PRESENCES_INDEMNITES!$N$2:$N$501,PRESENCES_INDEMNITES!$B$2:$B$501,B122,PRESENCES_INDEMNITES!$S$2:$S$501,"CONFORME"))</f>
        <v/>
      </c>
      <c r="S122" s="5" t="str">
        <f>IF(B122="","",SUMIFS(REFERENTIEL_BUDGET!$J$2:$J$101,REFERENTIEL_BUDGET!$A$2:$A$101,B122,REFERENTIEL_BUDGET!$E$2:$E$101,"Indemnités participants"))</f>
        <v/>
      </c>
      <c r="T122" t="str">
        <f>IF(B122="","",IF(COUNTIFS(PRESENCES_INDEMNITES!$B$2:$B$501,B122,PRESENCES_INDEMNITES!$S$2:$S$501,"&lt;&gt;CONFORME",PRESENCES_INDEMNITES!$S$2:$S$501,"&lt;&gt;")&gt;0,"Anomalie détectée",IF(R122&gt;S122,"Dépassement budget indemnités","Conforme")))</f>
        <v/>
      </c>
      <c r="V122" t="str">
        <f t="shared" si="9"/>
        <v/>
      </c>
    </row>
    <row r="123" spans="1:22">
      <c r="A123">
        <f t="shared" si="5"/>
        <v>122</v>
      </c>
      <c r="C123" t="str">
        <f>+IFERROR(VLOOKUP(ControlePJTable[[#This Row],[Code activité]],'LISTES ACTIVITES'!$A$1:$B$38,2,FALSE()),"")</f>
        <v/>
      </c>
      <c r="D123" s="3"/>
      <c r="E123" s="3"/>
      <c r="F123" s="3"/>
      <c r="J123" s="5"/>
      <c r="K123" s="5"/>
      <c r="L123" s="5"/>
      <c r="M123" s="5" t="str">
        <f t="shared" si="6"/>
        <v/>
      </c>
      <c r="N123" s="5" t="str">
        <f t="shared" si="7"/>
        <v/>
      </c>
      <c r="Q123" t="str">
        <f t="shared" si="8"/>
        <v/>
      </c>
      <c r="R123" s="5" t="str">
        <f>IF(B123="","",SUMIFS(PRESENCES_INDEMNITES!$N$2:$N$501,PRESENCES_INDEMNITES!$B$2:$B$501,B123,PRESENCES_INDEMNITES!$S$2:$S$501,"CONFORME"))</f>
        <v/>
      </c>
      <c r="S123" s="5" t="str">
        <f>IF(B123="","",SUMIFS(REFERENTIEL_BUDGET!$J$2:$J$101,REFERENTIEL_BUDGET!$A$2:$A$101,B123,REFERENTIEL_BUDGET!$E$2:$E$101,"Indemnités participants"))</f>
        <v/>
      </c>
      <c r="T123" t="str">
        <f>IF(B123="","",IF(COUNTIFS(PRESENCES_INDEMNITES!$B$2:$B$501,B123,PRESENCES_INDEMNITES!$S$2:$S$501,"&lt;&gt;CONFORME",PRESENCES_INDEMNITES!$S$2:$S$501,"&lt;&gt;")&gt;0,"Anomalie détectée",IF(R123&gt;S123,"Dépassement budget indemnités","Conforme")))</f>
        <v/>
      </c>
      <c r="V123" t="str">
        <f t="shared" si="9"/>
        <v/>
      </c>
    </row>
    <row r="124" spans="1:22">
      <c r="A124">
        <f t="shared" si="5"/>
        <v>123</v>
      </c>
      <c r="C124" t="str">
        <f>+IFERROR(VLOOKUP(ControlePJTable[[#This Row],[Code activité]],'LISTES ACTIVITES'!$A$1:$B$38,2,FALSE()),"")</f>
        <v/>
      </c>
      <c r="D124" s="3"/>
      <c r="E124" s="3"/>
      <c r="F124" s="3"/>
      <c r="J124" s="5"/>
      <c r="K124" s="5"/>
      <c r="L124" s="5"/>
      <c r="M124" s="5" t="str">
        <f t="shared" si="6"/>
        <v/>
      </c>
      <c r="N124" s="5" t="str">
        <f t="shared" si="7"/>
        <v/>
      </c>
      <c r="Q124" t="str">
        <f t="shared" si="8"/>
        <v/>
      </c>
      <c r="R124" s="5" t="str">
        <f>IF(B124="","",SUMIFS(PRESENCES_INDEMNITES!$N$2:$N$501,PRESENCES_INDEMNITES!$B$2:$B$501,B124,PRESENCES_INDEMNITES!$S$2:$S$501,"CONFORME"))</f>
        <v/>
      </c>
      <c r="S124" s="5" t="str">
        <f>IF(B124="","",SUMIFS(REFERENTIEL_BUDGET!$J$2:$J$101,REFERENTIEL_BUDGET!$A$2:$A$101,B124,REFERENTIEL_BUDGET!$E$2:$E$101,"Indemnités participants"))</f>
        <v/>
      </c>
      <c r="T124" t="str">
        <f>IF(B124="","",IF(COUNTIFS(PRESENCES_INDEMNITES!$B$2:$B$501,B124,PRESENCES_INDEMNITES!$S$2:$S$501,"&lt;&gt;CONFORME",PRESENCES_INDEMNITES!$S$2:$S$501,"&lt;&gt;")&gt;0,"Anomalie détectée",IF(R124&gt;S124,"Dépassement budget indemnités","Conforme")))</f>
        <v/>
      </c>
      <c r="V124" t="str">
        <f t="shared" si="9"/>
        <v/>
      </c>
    </row>
    <row r="125" spans="1:22">
      <c r="A125">
        <f t="shared" si="5"/>
        <v>124</v>
      </c>
      <c r="C125" t="str">
        <f>+IFERROR(VLOOKUP(ControlePJTable[[#This Row],[Code activité]],'LISTES ACTIVITES'!$A$1:$B$38,2,FALSE()),"")</f>
        <v/>
      </c>
      <c r="D125" s="3"/>
      <c r="E125" s="3"/>
      <c r="F125" s="3"/>
      <c r="J125" s="5"/>
      <c r="K125" s="5"/>
      <c r="L125" s="5"/>
      <c r="M125" s="5" t="str">
        <f t="shared" si="6"/>
        <v/>
      </c>
      <c r="N125" s="5" t="str">
        <f t="shared" si="7"/>
        <v/>
      </c>
      <c r="Q125" t="str">
        <f t="shared" si="8"/>
        <v/>
      </c>
      <c r="R125" s="5" t="str">
        <f>IF(B125="","",SUMIFS(PRESENCES_INDEMNITES!$N$2:$N$501,PRESENCES_INDEMNITES!$B$2:$B$501,B125,PRESENCES_INDEMNITES!$S$2:$S$501,"CONFORME"))</f>
        <v/>
      </c>
      <c r="S125" s="5" t="str">
        <f>IF(B125="","",SUMIFS(REFERENTIEL_BUDGET!$J$2:$J$101,REFERENTIEL_BUDGET!$A$2:$A$101,B125,REFERENTIEL_BUDGET!$E$2:$E$101,"Indemnités participants"))</f>
        <v/>
      </c>
      <c r="T125" t="str">
        <f>IF(B125="","",IF(COUNTIFS(PRESENCES_INDEMNITES!$B$2:$B$501,B125,PRESENCES_INDEMNITES!$S$2:$S$501,"&lt;&gt;CONFORME",PRESENCES_INDEMNITES!$S$2:$S$501,"&lt;&gt;")&gt;0,"Anomalie détectée",IF(R125&gt;S125,"Dépassement budget indemnités","Conforme")))</f>
        <v/>
      </c>
      <c r="V125" t="str">
        <f t="shared" si="9"/>
        <v/>
      </c>
    </row>
    <row r="126" spans="1:22">
      <c r="A126">
        <f t="shared" si="5"/>
        <v>125</v>
      </c>
      <c r="C126" t="str">
        <f>+IFERROR(VLOOKUP(ControlePJTable[[#This Row],[Code activité]],'LISTES ACTIVITES'!$A$1:$B$38,2,FALSE()),"")</f>
        <v/>
      </c>
      <c r="D126" s="3"/>
      <c r="E126" s="3"/>
      <c r="F126" s="3"/>
      <c r="J126" s="5"/>
      <c r="K126" s="5"/>
      <c r="L126" s="5"/>
      <c r="M126" s="5" t="str">
        <f t="shared" si="6"/>
        <v/>
      </c>
      <c r="N126" s="5" t="str">
        <f t="shared" si="7"/>
        <v/>
      </c>
      <c r="Q126" t="str">
        <f t="shared" si="8"/>
        <v/>
      </c>
      <c r="R126" s="5" t="str">
        <f>IF(B126="","",SUMIFS(PRESENCES_INDEMNITES!$N$2:$N$501,PRESENCES_INDEMNITES!$B$2:$B$501,B126,PRESENCES_INDEMNITES!$S$2:$S$501,"CONFORME"))</f>
        <v/>
      </c>
      <c r="S126" s="5" t="str">
        <f>IF(B126="","",SUMIFS(REFERENTIEL_BUDGET!$J$2:$J$101,REFERENTIEL_BUDGET!$A$2:$A$101,B126,REFERENTIEL_BUDGET!$E$2:$E$101,"Indemnités participants"))</f>
        <v/>
      </c>
      <c r="T126" t="str">
        <f>IF(B126="","",IF(COUNTIFS(PRESENCES_INDEMNITES!$B$2:$B$501,B126,PRESENCES_INDEMNITES!$S$2:$S$501,"&lt;&gt;CONFORME",PRESENCES_INDEMNITES!$S$2:$S$501,"&lt;&gt;")&gt;0,"Anomalie détectée",IF(R126&gt;S126,"Dépassement budget indemnités","Conforme")))</f>
        <v/>
      </c>
      <c r="V126" t="str">
        <f t="shared" si="9"/>
        <v/>
      </c>
    </row>
    <row r="127" spans="1:22">
      <c r="A127">
        <f t="shared" si="5"/>
        <v>126</v>
      </c>
      <c r="C127" t="str">
        <f>+IFERROR(VLOOKUP(ControlePJTable[[#This Row],[Code activité]],'LISTES ACTIVITES'!$A$1:$B$38,2,FALSE()),"")</f>
        <v/>
      </c>
      <c r="D127" s="3"/>
      <c r="E127" s="3"/>
      <c r="F127" s="3"/>
      <c r="J127" s="5"/>
      <c r="K127" s="5"/>
      <c r="L127" s="5"/>
      <c r="M127" s="5" t="str">
        <f t="shared" si="6"/>
        <v/>
      </c>
      <c r="N127" s="5" t="str">
        <f t="shared" si="7"/>
        <v/>
      </c>
      <c r="Q127" t="str">
        <f t="shared" si="8"/>
        <v/>
      </c>
      <c r="R127" s="5" t="str">
        <f>IF(B127="","",SUMIFS(PRESENCES_INDEMNITES!$N$2:$N$501,PRESENCES_INDEMNITES!$B$2:$B$501,B127,PRESENCES_INDEMNITES!$S$2:$S$501,"CONFORME"))</f>
        <v/>
      </c>
      <c r="S127" s="5" t="str">
        <f>IF(B127="","",SUMIFS(REFERENTIEL_BUDGET!$J$2:$J$101,REFERENTIEL_BUDGET!$A$2:$A$101,B127,REFERENTIEL_BUDGET!$E$2:$E$101,"Indemnités participants"))</f>
        <v/>
      </c>
      <c r="T127" t="str">
        <f>IF(B127="","",IF(COUNTIFS(PRESENCES_INDEMNITES!$B$2:$B$501,B127,PRESENCES_INDEMNITES!$S$2:$S$501,"&lt;&gt;CONFORME",PRESENCES_INDEMNITES!$S$2:$S$501,"&lt;&gt;")&gt;0,"Anomalie détectée",IF(R127&gt;S127,"Dépassement budget indemnités","Conforme")))</f>
        <v/>
      </c>
      <c r="V127" t="str">
        <f t="shared" si="9"/>
        <v/>
      </c>
    </row>
    <row r="128" spans="1:22">
      <c r="A128">
        <f t="shared" si="5"/>
        <v>127</v>
      </c>
      <c r="C128" t="str">
        <f>+IFERROR(VLOOKUP(ControlePJTable[[#This Row],[Code activité]],'LISTES ACTIVITES'!$A$1:$B$38,2,FALSE()),"")</f>
        <v/>
      </c>
      <c r="D128" s="3"/>
      <c r="E128" s="3"/>
      <c r="F128" s="3"/>
      <c r="J128" s="5"/>
      <c r="K128" s="5"/>
      <c r="L128" s="5"/>
      <c r="M128" s="5" t="str">
        <f t="shared" si="6"/>
        <v/>
      </c>
      <c r="N128" s="5" t="str">
        <f t="shared" si="7"/>
        <v/>
      </c>
      <c r="Q128" t="str">
        <f t="shared" si="8"/>
        <v/>
      </c>
      <c r="R128" s="5" t="str">
        <f>IF(B128="","",SUMIFS(PRESENCES_INDEMNITES!$N$2:$N$501,PRESENCES_INDEMNITES!$B$2:$B$501,B128,PRESENCES_INDEMNITES!$S$2:$S$501,"CONFORME"))</f>
        <v/>
      </c>
      <c r="S128" s="5" t="str">
        <f>IF(B128="","",SUMIFS(REFERENTIEL_BUDGET!$J$2:$J$101,REFERENTIEL_BUDGET!$A$2:$A$101,B128,REFERENTIEL_BUDGET!$E$2:$E$101,"Indemnités participants"))</f>
        <v/>
      </c>
      <c r="T128" t="str">
        <f>IF(B128="","",IF(COUNTIFS(PRESENCES_INDEMNITES!$B$2:$B$501,B128,PRESENCES_INDEMNITES!$S$2:$S$501,"&lt;&gt;CONFORME",PRESENCES_INDEMNITES!$S$2:$S$501,"&lt;&gt;")&gt;0,"Anomalie détectée",IF(R128&gt;S128,"Dépassement budget indemnités","Conforme")))</f>
        <v/>
      </c>
      <c r="V128" t="str">
        <f t="shared" si="9"/>
        <v/>
      </c>
    </row>
    <row r="129" spans="1:22">
      <c r="A129">
        <f t="shared" si="5"/>
        <v>128</v>
      </c>
      <c r="C129" t="str">
        <f>+IFERROR(VLOOKUP(ControlePJTable[[#This Row],[Code activité]],'LISTES ACTIVITES'!$A$1:$B$38,2,FALSE()),"")</f>
        <v/>
      </c>
      <c r="D129" s="3"/>
      <c r="E129" s="3"/>
      <c r="F129" s="3"/>
      <c r="J129" s="5"/>
      <c r="K129" s="5"/>
      <c r="L129" s="5"/>
      <c r="M129" s="5" t="str">
        <f t="shared" si="6"/>
        <v/>
      </c>
      <c r="N129" s="5" t="str">
        <f t="shared" si="7"/>
        <v/>
      </c>
      <c r="Q129" t="str">
        <f t="shared" si="8"/>
        <v/>
      </c>
      <c r="R129" s="5" t="str">
        <f>IF(B129="","",SUMIFS(PRESENCES_INDEMNITES!$N$2:$N$501,PRESENCES_INDEMNITES!$B$2:$B$501,B129,PRESENCES_INDEMNITES!$S$2:$S$501,"CONFORME"))</f>
        <v/>
      </c>
      <c r="S129" s="5" t="str">
        <f>IF(B129="","",SUMIFS(REFERENTIEL_BUDGET!$J$2:$J$101,REFERENTIEL_BUDGET!$A$2:$A$101,B129,REFERENTIEL_BUDGET!$E$2:$E$101,"Indemnités participants"))</f>
        <v/>
      </c>
      <c r="T129" t="str">
        <f>IF(B129="","",IF(COUNTIFS(PRESENCES_INDEMNITES!$B$2:$B$501,B129,PRESENCES_INDEMNITES!$S$2:$S$501,"&lt;&gt;CONFORME",PRESENCES_INDEMNITES!$S$2:$S$501,"&lt;&gt;")&gt;0,"Anomalie détectée",IF(R129&gt;S129,"Dépassement budget indemnités","Conforme")))</f>
        <v/>
      </c>
      <c r="V129" t="str">
        <f t="shared" si="9"/>
        <v/>
      </c>
    </row>
    <row r="130" spans="1:22">
      <c r="A130">
        <f t="shared" ref="A130:A193" si="10">ROW()-1</f>
        <v>129</v>
      </c>
      <c r="C130" t="str">
        <f>+IFERROR(VLOOKUP(ControlePJTable[[#This Row],[Code activité]],'LISTES ACTIVITES'!$A$1:$B$38,2,FALSE()),"")</f>
        <v/>
      </c>
      <c r="D130" s="3"/>
      <c r="E130" s="3"/>
      <c r="F130" s="3"/>
      <c r="J130" s="5"/>
      <c r="K130" s="5"/>
      <c r="L130" s="5"/>
      <c r="M130" s="5" t="str">
        <f t="shared" ref="M130:M193" si="11">IF(OR(J130="",K130=""),"",K130-J130)</f>
        <v/>
      </c>
      <c r="N130" s="5" t="str">
        <f t="shared" ref="N130:N193" si="12">IF(OR(K130="",L130=""),"",L130-K130)</f>
        <v/>
      </c>
      <c r="Q130" t="str">
        <f t="shared" ref="Q130:Q193" si="13">IF(OR(D130="",E130="",F130=""),"",IF(AND(F130&gt;=D130,E130&lt;=F130),"Oui","Non"))</f>
        <v/>
      </c>
      <c r="R130" s="5" t="str">
        <f>IF(B130="","",SUMIFS(PRESENCES_INDEMNITES!$N$2:$N$501,PRESENCES_INDEMNITES!$B$2:$B$501,B130,PRESENCES_INDEMNITES!$S$2:$S$501,"CONFORME"))</f>
        <v/>
      </c>
      <c r="S130" s="5" t="str">
        <f>IF(B130="","",SUMIFS(REFERENTIEL_BUDGET!$J$2:$J$101,REFERENTIEL_BUDGET!$A$2:$A$101,B130,REFERENTIEL_BUDGET!$E$2:$E$101,"Indemnités participants"))</f>
        <v/>
      </c>
      <c r="T130" t="str">
        <f>IF(B130="","",IF(COUNTIFS(PRESENCES_INDEMNITES!$B$2:$B$501,B130,PRESENCES_INDEMNITES!$S$2:$S$501,"&lt;&gt;CONFORME",PRESENCES_INDEMNITES!$S$2:$S$501,"&lt;&gt;")&gt;0,"Anomalie détectée",IF(R130&gt;S130,"Dépassement budget indemnités","Conforme")))</f>
        <v/>
      </c>
      <c r="V130" t="str">
        <f t="shared" ref="V130:V193" si="14">IF(O130="Non","PJ non reçue",IF(O130="","",IF(Q130="Non","Date PJ non conforme",IF(OR(M130&gt;0,N130&lt;&gt;0,P130="Non",T130="Anomalie détectée",T130="Dépassement budget indemnités"),"Non conforme",IF(P130="À vérifier","À vérifier","Conforme")))))</f>
        <v/>
      </c>
    </row>
    <row r="131" spans="1:22">
      <c r="A131">
        <f t="shared" si="10"/>
        <v>130</v>
      </c>
      <c r="C131" t="str">
        <f>+IFERROR(VLOOKUP(ControlePJTable[[#This Row],[Code activité]],'LISTES ACTIVITES'!$A$1:$B$38,2,FALSE()),"")</f>
        <v/>
      </c>
      <c r="D131" s="3"/>
      <c r="E131" s="3"/>
      <c r="F131" s="3"/>
      <c r="J131" s="5"/>
      <c r="K131" s="5"/>
      <c r="L131" s="5"/>
      <c r="M131" s="5" t="str">
        <f t="shared" si="11"/>
        <v/>
      </c>
      <c r="N131" s="5" t="str">
        <f t="shared" si="12"/>
        <v/>
      </c>
      <c r="Q131" t="str">
        <f t="shared" si="13"/>
        <v/>
      </c>
      <c r="R131" s="5" t="str">
        <f>IF(B131="","",SUMIFS(PRESENCES_INDEMNITES!$N$2:$N$501,PRESENCES_INDEMNITES!$B$2:$B$501,B131,PRESENCES_INDEMNITES!$S$2:$S$501,"CONFORME"))</f>
        <v/>
      </c>
      <c r="S131" s="5" t="str">
        <f>IF(B131="","",SUMIFS(REFERENTIEL_BUDGET!$J$2:$J$101,REFERENTIEL_BUDGET!$A$2:$A$101,B131,REFERENTIEL_BUDGET!$E$2:$E$101,"Indemnités participants"))</f>
        <v/>
      </c>
      <c r="T131" t="str">
        <f>IF(B131="","",IF(COUNTIFS(PRESENCES_INDEMNITES!$B$2:$B$501,B131,PRESENCES_INDEMNITES!$S$2:$S$501,"&lt;&gt;CONFORME",PRESENCES_INDEMNITES!$S$2:$S$501,"&lt;&gt;")&gt;0,"Anomalie détectée",IF(R131&gt;S131,"Dépassement budget indemnités","Conforme")))</f>
        <v/>
      </c>
      <c r="V131" t="str">
        <f t="shared" si="14"/>
        <v/>
      </c>
    </row>
    <row r="132" spans="1:22">
      <c r="A132">
        <f t="shared" si="10"/>
        <v>131</v>
      </c>
      <c r="C132" t="str">
        <f>+IFERROR(VLOOKUP(ControlePJTable[[#This Row],[Code activité]],'LISTES ACTIVITES'!$A$1:$B$38,2,FALSE()),"")</f>
        <v/>
      </c>
      <c r="D132" s="3"/>
      <c r="E132" s="3"/>
      <c r="F132" s="3"/>
      <c r="J132" s="5"/>
      <c r="K132" s="5"/>
      <c r="L132" s="5"/>
      <c r="M132" s="5" t="str">
        <f t="shared" si="11"/>
        <v/>
      </c>
      <c r="N132" s="5" t="str">
        <f t="shared" si="12"/>
        <v/>
      </c>
      <c r="Q132" t="str">
        <f t="shared" si="13"/>
        <v/>
      </c>
      <c r="R132" s="5" t="str">
        <f>IF(B132="","",SUMIFS(PRESENCES_INDEMNITES!$N$2:$N$501,PRESENCES_INDEMNITES!$B$2:$B$501,B132,PRESENCES_INDEMNITES!$S$2:$S$501,"CONFORME"))</f>
        <v/>
      </c>
      <c r="S132" s="5" t="str">
        <f>IF(B132="","",SUMIFS(REFERENTIEL_BUDGET!$J$2:$J$101,REFERENTIEL_BUDGET!$A$2:$A$101,B132,REFERENTIEL_BUDGET!$E$2:$E$101,"Indemnités participants"))</f>
        <v/>
      </c>
      <c r="T132" t="str">
        <f>IF(B132="","",IF(COUNTIFS(PRESENCES_INDEMNITES!$B$2:$B$501,B132,PRESENCES_INDEMNITES!$S$2:$S$501,"&lt;&gt;CONFORME",PRESENCES_INDEMNITES!$S$2:$S$501,"&lt;&gt;")&gt;0,"Anomalie détectée",IF(R132&gt;S132,"Dépassement budget indemnités","Conforme")))</f>
        <v/>
      </c>
      <c r="V132" t="str">
        <f t="shared" si="14"/>
        <v/>
      </c>
    </row>
    <row r="133" spans="1:22">
      <c r="A133">
        <f t="shared" si="10"/>
        <v>132</v>
      </c>
      <c r="C133" t="str">
        <f>+IFERROR(VLOOKUP(ControlePJTable[[#This Row],[Code activité]],'LISTES ACTIVITES'!$A$1:$B$38,2,FALSE()),"")</f>
        <v/>
      </c>
      <c r="D133" s="3"/>
      <c r="E133" s="3"/>
      <c r="F133" s="3"/>
      <c r="J133" s="5"/>
      <c r="K133" s="5"/>
      <c r="L133" s="5"/>
      <c r="M133" s="5" t="str">
        <f t="shared" si="11"/>
        <v/>
      </c>
      <c r="N133" s="5" t="str">
        <f t="shared" si="12"/>
        <v/>
      </c>
      <c r="Q133" t="str">
        <f t="shared" si="13"/>
        <v/>
      </c>
      <c r="R133" s="5" t="str">
        <f>IF(B133="","",SUMIFS(PRESENCES_INDEMNITES!$N$2:$N$501,PRESENCES_INDEMNITES!$B$2:$B$501,B133,PRESENCES_INDEMNITES!$S$2:$S$501,"CONFORME"))</f>
        <v/>
      </c>
      <c r="S133" s="5" t="str">
        <f>IF(B133="","",SUMIFS(REFERENTIEL_BUDGET!$J$2:$J$101,REFERENTIEL_BUDGET!$A$2:$A$101,B133,REFERENTIEL_BUDGET!$E$2:$E$101,"Indemnités participants"))</f>
        <v/>
      </c>
      <c r="T133" t="str">
        <f>IF(B133="","",IF(COUNTIFS(PRESENCES_INDEMNITES!$B$2:$B$501,B133,PRESENCES_INDEMNITES!$S$2:$S$501,"&lt;&gt;CONFORME",PRESENCES_INDEMNITES!$S$2:$S$501,"&lt;&gt;")&gt;0,"Anomalie détectée",IF(R133&gt;S133,"Dépassement budget indemnités","Conforme")))</f>
        <v/>
      </c>
      <c r="V133" t="str">
        <f t="shared" si="14"/>
        <v/>
      </c>
    </row>
    <row r="134" spans="1:22">
      <c r="A134">
        <f t="shared" si="10"/>
        <v>133</v>
      </c>
      <c r="C134" t="str">
        <f>+IFERROR(VLOOKUP(ControlePJTable[[#This Row],[Code activité]],'LISTES ACTIVITES'!$A$1:$B$38,2,FALSE()),"")</f>
        <v/>
      </c>
      <c r="D134" s="3"/>
      <c r="E134" s="3"/>
      <c r="F134" s="3"/>
      <c r="J134" s="5"/>
      <c r="K134" s="5"/>
      <c r="L134" s="5"/>
      <c r="M134" s="5" t="str">
        <f t="shared" si="11"/>
        <v/>
      </c>
      <c r="N134" s="5" t="str">
        <f t="shared" si="12"/>
        <v/>
      </c>
      <c r="Q134" t="str">
        <f t="shared" si="13"/>
        <v/>
      </c>
      <c r="R134" s="5" t="str">
        <f>IF(B134="","",SUMIFS(PRESENCES_INDEMNITES!$N$2:$N$501,PRESENCES_INDEMNITES!$B$2:$B$501,B134,PRESENCES_INDEMNITES!$S$2:$S$501,"CONFORME"))</f>
        <v/>
      </c>
      <c r="S134" s="5" t="str">
        <f>IF(B134="","",SUMIFS(REFERENTIEL_BUDGET!$J$2:$J$101,REFERENTIEL_BUDGET!$A$2:$A$101,B134,REFERENTIEL_BUDGET!$E$2:$E$101,"Indemnités participants"))</f>
        <v/>
      </c>
      <c r="T134" t="str">
        <f>IF(B134="","",IF(COUNTIFS(PRESENCES_INDEMNITES!$B$2:$B$501,B134,PRESENCES_INDEMNITES!$S$2:$S$501,"&lt;&gt;CONFORME",PRESENCES_INDEMNITES!$S$2:$S$501,"&lt;&gt;")&gt;0,"Anomalie détectée",IF(R134&gt;S134,"Dépassement budget indemnités","Conforme")))</f>
        <v/>
      </c>
      <c r="V134" t="str">
        <f t="shared" si="14"/>
        <v/>
      </c>
    </row>
    <row r="135" spans="1:22">
      <c r="A135">
        <f t="shared" si="10"/>
        <v>134</v>
      </c>
      <c r="C135" t="str">
        <f>+IFERROR(VLOOKUP(ControlePJTable[[#This Row],[Code activité]],'LISTES ACTIVITES'!$A$1:$B$38,2,FALSE()),"")</f>
        <v/>
      </c>
      <c r="D135" s="3"/>
      <c r="E135" s="3"/>
      <c r="F135" s="3"/>
      <c r="J135" s="5"/>
      <c r="K135" s="5"/>
      <c r="L135" s="5"/>
      <c r="M135" s="5" t="str">
        <f t="shared" si="11"/>
        <v/>
      </c>
      <c r="N135" s="5" t="str">
        <f t="shared" si="12"/>
        <v/>
      </c>
      <c r="Q135" t="str">
        <f t="shared" si="13"/>
        <v/>
      </c>
      <c r="R135" s="5" t="str">
        <f>IF(B135="","",SUMIFS(PRESENCES_INDEMNITES!$N$2:$N$501,PRESENCES_INDEMNITES!$B$2:$B$501,B135,PRESENCES_INDEMNITES!$S$2:$S$501,"CONFORME"))</f>
        <v/>
      </c>
      <c r="S135" s="5" t="str">
        <f>IF(B135="","",SUMIFS(REFERENTIEL_BUDGET!$J$2:$J$101,REFERENTIEL_BUDGET!$A$2:$A$101,B135,REFERENTIEL_BUDGET!$E$2:$E$101,"Indemnités participants"))</f>
        <v/>
      </c>
      <c r="T135" t="str">
        <f>IF(B135="","",IF(COUNTIFS(PRESENCES_INDEMNITES!$B$2:$B$501,B135,PRESENCES_INDEMNITES!$S$2:$S$501,"&lt;&gt;CONFORME",PRESENCES_INDEMNITES!$S$2:$S$501,"&lt;&gt;")&gt;0,"Anomalie détectée",IF(R135&gt;S135,"Dépassement budget indemnités","Conforme")))</f>
        <v/>
      </c>
      <c r="V135" t="str">
        <f t="shared" si="14"/>
        <v/>
      </c>
    </row>
    <row r="136" spans="1:22">
      <c r="A136">
        <f t="shared" si="10"/>
        <v>135</v>
      </c>
      <c r="C136" t="str">
        <f>+IFERROR(VLOOKUP(ControlePJTable[[#This Row],[Code activité]],'LISTES ACTIVITES'!$A$1:$B$38,2,FALSE()),"")</f>
        <v/>
      </c>
      <c r="D136" s="3"/>
      <c r="E136" s="3"/>
      <c r="F136" s="3"/>
      <c r="J136" s="5"/>
      <c r="K136" s="5"/>
      <c r="L136" s="5"/>
      <c r="M136" s="5" t="str">
        <f t="shared" si="11"/>
        <v/>
      </c>
      <c r="N136" s="5" t="str">
        <f t="shared" si="12"/>
        <v/>
      </c>
      <c r="Q136" t="str">
        <f t="shared" si="13"/>
        <v/>
      </c>
      <c r="R136" s="5" t="str">
        <f>IF(B136="","",SUMIFS(PRESENCES_INDEMNITES!$N$2:$N$501,PRESENCES_INDEMNITES!$B$2:$B$501,B136,PRESENCES_INDEMNITES!$S$2:$S$501,"CONFORME"))</f>
        <v/>
      </c>
      <c r="S136" s="5" t="str">
        <f>IF(B136="","",SUMIFS(REFERENTIEL_BUDGET!$J$2:$J$101,REFERENTIEL_BUDGET!$A$2:$A$101,B136,REFERENTIEL_BUDGET!$E$2:$E$101,"Indemnités participants"))</f>
        <v/>
      </c>
      <c r="T136" t="str">
        <f>IF(B136="","",IF(COUNTIFS(PRESENCES_INDEMNITES!$B$2:$B$501,B136,PRESENCES_INDEMNITES!$S$2:$S$501,"&lt;&gt;CONFORME",PRESENCES_INDEMNITES!$S$2:$S$501,"&lt;&gt;")&gt;0,"Anomalie détectée",IF(R136&gt;S136,"Dépassement budget indemnités","Conforme")))</f>
        <v/>
      </c>
      <c r="V136" t="str">
        <f t="shared" si="14"/>
        <v/>
      </c>
    </row>
    <row r="137" spans="1:22">
      <c r="A137">
        <f t="shared" si="10"/>
        <v>136</v>
      </c>
      <c r="C137" t="str">
        <f>+IFERROR(VLOOKUP(ControlePJTable[[#This Row],[Code activité]],'LISTES ACTIVITES'!$A$1:$B$38,2,FALSE()),"")</f>
        <v/>
      </c>
      <c r="D137" s="3"/>
      <c r="E137" s="3"/>
      <c r="F137" s="3"/>
      <c r="J137" s="5"/>
      <c r="K137" s="5"/>
      <c r="L137" s="5"/>
      <c r="M137" s="5" t="str">
        <f t="shared" si="11"/>
        <v/>
      </c>
      <c r="N137" s="5" t="str">
        <f t="shared" si="12"/>
        <v/>
      </c>
      <c r="Q137" t="str">
        <f t="shared" si="13"/>
        <v/>
      </c>
      <c r="R137" s="5" t="str">
        <f>IF(B137="","",SUMIFS(PRESENCES_INDEMNITES!$N$2:$N$501,PRESENCES_INDEMNITES!$B$2:$B$501,B137,PRESENCES_INDEMNITES!$S$2:$S$501,"CONFORME"))</f>
        <v/>
      </c>
      <c r="S137" s="5" t="str">
        <f>IF(B137="","",SUMIFS(REFERENTIEL_BUDGET!$J$2:$J$101,REFERENTIEL_BUDGET!$A$2:$A$101,B137,REFERENTIEL_BUDGET!$E$2:$E$101,"Indemnités participants"))</f>
        <v/>
      </c>
      <c r="T137" t="str">
        <f>IF(B137="","",IF(COUNTIFS(PRESENCES_INDEMNITES!$B$2:$B$501,B137,PRESENCES_INDEMNITES!$S$2:$S$501,"&lt;&gt;CONFORME",PRESENCES_INDEMNITES!$S$2:$S$501,"&lt;&gt;")&gt;0,"Anomalie détectée",IF(R137&gt;S137,"Dépassement budget indemnités","Conforme")))</f>
        <v/>
      </c>
      <c r="V137" t="str">
        <f t="shared" si="14"/>
        <v/>
      </c>
    </row>
    <row r="138" spans="1:22">
      <c r="A138">
        <f t="shared" si="10"/>
        <v>137</v>
      </c>
      <c r="C138" t="str">
        <f>+IFERROR(VLOOKUP(ControlePJTable[[#This Row],[Code activité]],'LISTES ACTIVITES'!$A$1:$B$38,2,FALSE()),"")</f>
        <v/>
      </c>
      <c r="D138" s="3"/>
      <c r="E138" s="3"/>
      <c r="F138" s="3"/>
      <c r="J138" s="5"/>
      <c r="K138" s="5"/>
      <c r="L138" s="5"/>
      <c r="M138" s="5" t="str">
        <f t="shared" si="11"/>
        <v/>
      </c>
      <c r="N138" s="5" t="str">
        <f t="shared" si="12"/>
        <v/>
      </c>
      <c r="Q138" t="str">
        <f t="shared" si="13"/>
        <v/>
      </c>
      <c r="R138" s="5" t="str">
        <f>IF(B138="","",SUMIFS(PRESENCES_INDEMNITES!$N$2:$N$501,PRESENCES_INDEMNITES!$B$2:$B$501,B138,PRESENCES_INDEMNITES!$S$2:$S$501,"CONFORME"))</f>
        <v/>
      </c>
      <c r="S138" s="5" t="str">
        <f>IF(B138="","",SUMIFS(REFERENTIEL_BUDGET!$J$2:$J$101,REFERENTIEL_BUDGET!$A$2:$A$101,B138,REFERENTIEL_BUDGET!$E$2:$E$101,"Indemnités participants"))</f>
        <v/>
      </c>
      <c r="T138" t="str">
        <f>IF(B138="","",IF(COUNTIFS(PRESENCES_INDEMNITES!$B$2:$B$501,B138,PRESENCES_INDEMNITES!$S$2:$S$501,"&lt;&gt;CONFORME",PRESENCES_INDEMNITES!$S$2:$S$501,"&lt;&gt;")&gt;0,"Anomalie détectée",IF(R138&gt;S138,"Dépassement budget indemnités","Conforme")))</f>
        <v/>
      </c>
      <c r="V138" t="str">
        <f t="shared" si="14"/>
        <v/>
      </c>
    </row>
    <row r="139" spans="1:22">
      <c r="A139">
        <f t="shared" si="10"/>
        <v>138</v>
      </c>
      <c r="C139" t="str">
        <f>+IFERROR(VLOOKUP(ControlePJTable[[#This Row],[Code activité]],'LISTES ACTIVITES'!$A$1:$B$38,2,FALSE()),"")</f>
        <v/>
      </c>
      <c r="D139" s="3"/>
      <c r="E139" s="3"/>
      <c r="F139" s="3"/>
      <c r="J139" s="5"/>
      <c r="K139" s="5"/>
      <c r="L139" s="5"/>
      <c r="M139" s="5" t="str">
        <f t="shared" si="11"/>
        <v/>
      </c>
      <c r="N139" s="5" t="str">
        <f t="shared" si="12"/>
        <v/>
      </c>
      <c r="Q139" t="str">
        <f t="shared" si="13"/>
        <v/>
      </c>
      <c r="R139" s="5" t="str">
        <f>IF(B139="","",SUMIFS(PRESENCES_INDEMNITES!$N$2:$N$501,PRESENCES_INDEMNITES!$B$2:$B$501,B139,PRESENCES_INDEMNITES!$S$2:$S$501,"CONFORME"))</f>
        <v/>
      </c>
      <c r="S139" s="5" t="str">
        <f>IF(B139="","",SUMIFS(REFERENTIEL_BUDGET!$J$2:$J$101,REFERENTIEL_BUDGET!$A$2:$A$101,B139,REFERENTIEL_BUDGET!$E$2:$E$101,"Indemnités participants"))</f>
        <v/>
      </c>
      <c r="T139" t="str">
        <f>IF(B139="","",IF(COUNTIFS(PRESENCES_INDEMNITES!$B$2:$B$501,B139,PRESENCES_INDEMNITES!$S$2:$S$501,"&lt;&gt;CONFORME",PRESENCES_INDEMNITES!$S$2:$S$501,"&lt;&gt;")&gt;0,"Anomalie détectée",IF(R139&gt;S139,"Dépassement budget indemnités","Conforme")))</f>
        <v/>
      </c>
      <c r="V139" t="str">
        <f t="shared" si="14"/>
        <v/>
      </c>
    </row>
    <row r="140" spans="1:22">
      <c r="A140">
        <f t="shared" si="10"/>
        <v>139</v>
      </c>
      <c r="C140" t="str">
        <f>+IFERROR(VLOOKUP(ControlePJTable[[#This Row],[Code activité]],'LISTES ACTIVITES'!$A$1:$B$38,2,FALSE()),"")</f>
        <v/>
      </c>
      <c r="D140" s="3"/>
      <c r="E140" s="3"/>
      <c r="F140" s="3"/>
      <c r="J140" s="5"/>
      <c r="K140" s="5"/>
      <c r="L140" s="5"/>
      <c r="M140" s="5" t="str">
        <f t="shared" si="11"/>
        <v/>
      </c>
      <c r="N140" s="5" t="str">
        <f t="shared" si="12"/>
        <v/>
      </c>
      <c r="Q140" t="str">
        <f t="shared" si="13"/>
        <v/>
      </c>
      <c r="R140" s="5" t="str">
        <f>IF(B140="","",SUMIFS(PRESENCES_INDEMNITES!$N$2:$N$501,PRESENCES_INDEMNITES!$B$2:$B$501,B140,PRESENCES_INDEMNITES!$S$2:$S$501,"CONFORME"))</f>
        <v/>
      </c>
      <c r="S140" s="5" t="str">
        <f>IF(B140="","",SUMIFS(REFERENTIEL_BUDGET!$J$2:$J$101,REFERENTIEL_BUDGET!$A$2:$A$101,B140,REFERENTIEL_BUDGET!$E$2:$E$101,"Indemnités participants"))</f>
        <v/>
      </c>
      <c r="T140" t="str">
        <f>IF(B140="","",IF(COUNTIFS(PRESENCES_INDEMNITES!$B$2:$B$501,B140,PRESENCES_INDEMNITES!$S$2:$S$501,"&lt;&gt;CONFORME",PRESENCES_INDEMNITES!$S$2:$S$501,"&lt;&gt;")&gt;0,"Anomalie détectée",IF(R140&gt;S140,"Dépassement budget indemnités","Conforme")))</f>
        <v/>
      </c>
      <c r="V140" t="str">
        <f t="shared" si="14"/>
        <v/>
      </c>
    </row>
    <row r="141" spans="1:22">
      <c r="A141">
        <f t="shared" si="10"/>
        <v>140</v>
      </c>
      <c r="C141" t="str">
        <f>+IFERROR(VLOOKUP(ControlePJTable[[#This Row],[Code activité]],'LISTES ACTIVITES'!$A$1:$B$38,2,FALSE()),"")</f>
        <v/>
      </c>
      <c r="D141" s="3"/>
      <c r="E141" s="3"/>
      <c r="F141" s="3"/>
      <c r="J141" s="5"/>
      <c r="K141" s="5"/>
      <c r="L141" s="5"/>
      <c r="M141" s="5" t="str">
        <f t="shared" si="11"/>
        <v/>
      </c>
      <c r="N141" s="5" t="str">
        <f t="shared" si="12"/>
        <v/>
      </c>
      <c r="Q141" t="str">
        <f t="shared" si="13"/>
        <v/>
      </c>
      <c r="R141" s="5" t="str">
        <f>IF(B141="","",SUMIFS(PRESENCES_INDEMNITES!$N$2:$N$501,PRESENCES_INDEMNITES!$B$2:$B$501,B141,PRESENCES_INDEMNITES!$S$2:$S$501,"CONFORME"))</f>
        <v/>
      </c>
      <c r="S141" s="5" t="str">
        <f>IF(B141="","",SUMIFS(REFERENTIEL_BUDGET!$J$2:$J$101,REFERENTIEL_BUDGET!$A$2:$A$101,B141,REFERENTIEL_BUDGET!$E$2:$E$101,"Indemnités participants"))</f>
        <v/>
      </c>
      <c r="T141" t="str">
        <f>IF(B141="","",IF(COUNTIFS(PRESENCES_INDEMNITES!$B$2:$B$501,B141,PRESENCES_INDEMNITES!$S$2:$S$501,"&lt;&gt;CONFORME",PRESENCES_INDEMNITES!$S$2:$S$501,"&lt;&gt;")&gt;0,"Anomalie détectée",IF(R141&gt;S141,"Dépassement budget indemnités","Conforme")))</f>
        <v/>
      </c>
      <c r="V141" t="str">
        <f t="shared" si="14"/>
        <v/>
      </c>
    </row>
    <row r="142" spans="1:22">
      <c r="A142">
        <f t="shared" si="10"/>
        <v>141</v>
      </c>
      <c r="C142" t="str">
        <f>+IFERROR(VLOOKUP(ControlePJTable[[#This Row],[Code activité]],'LISTES ACTIVITES'!$A$1:$B$38,2,FALSE()),"")</f>
        <v/>
      </c>
      <c r="D142" s="3"/>
      <c r="E142" s="3"/>
      <c r="F142" s="3"/>
      <c r="J142" s="5"/>
      <c r="K142" s="5"/>
      <c r="L142" s="5"/>
      <c r="M142" s="5" t="str">
        <f t="shared" si="11"/>
        <v/>
      </c>
      <c r="N142" s="5" t="str">
        <f t="shared" si="12"/>
        <v/>
      </c>
      <c r="Q142" t="str">
        <f t="shared" si="13"/>
        <v/>
      </c>
      <c r="R142" s="5" t="str">
        <f>IF(B142="","",SUMIFS(PRESENCES_INDEMNITES!$N$2:$N$501,PRESENCES_INDEMNITES!$B$2:$B$501,B142,PRESENCES_INDEMNITES!$S$2:$S$501,"CONFORME"))</f>
        <v/>
      </c>
      <c r="S142" s="5" t="str">
        <f>IF(B142="","",SUMIFS(REFERENTIEL_BUDGET!$J$2:$J$101,REFERENTIEL_BUDGET!$A$2:$A$101,B142,REFERENTIEL_BUDGET!$E$2:$E$101,"Indemnités participants"))</f>
        <v/>
      </c>
      <c r="T142" t="str">
        <f>IF(B142="","",IF(COUNTIFS(PRESENCES_INDEMNITES!$B$2:$B$501,B142,PRESENCES_INDEMNITES!$S$2:$S$501,"&lt;&gt;CONFORME",PRESENCES_INDEMNITES!$S$2:$S$501,"&lt;&gt;")&gt;0,"Anomalie détectée",IF(R142&gt;S142,"Dépassement budget indemnités","Conforme")))</f>
        <v/>
      </c>
      <c r="V142" t="str">
        <f t="shared" si="14"/>
        <v/>
      </c>
    </row>
    <row r="143" spans="1:22">
      <c r="A143">
        <f t="shared" si="10"/>
        <v>142</v>
      </c>
      <c r="C143" t="str">
        <f>+IFERROR(VLOOKUP(ControlePJTable[[#This Row],[Code activité]],'LISTES ACTIVITES'!$A$1:$B$38,2,FALSE()),"")</f>
        <v/>
      </c>
      <c r="D143" s="3"/>
      <c r="E143" s="3"/>
      <c r="F143" s="3"/>
      <c r="J143" s="5"/>
      <c r="K143" s="5"/>
      <c r="L143" s="5"/>
      <c r="M143" s="5" t="str">
        <f t="shared" si="11"/>
        <v/>
      </c>
      <c r="N143" s="5" t="str">
        <f t="shared" si="12"/>
        <v/>
      </c>
      <c r="Q143" t="str">
        <f t="shared" si="13"/>
        <v/>
      </c>
      <c r="R143" s="5" t="str">
        <f>IF(B143="","",SUMIFS(PRESENCES_INDEMNITES!$N$2:$N$501,PRESENCES_INDEMNITES!$B$2:$B$501,B143,PRESENCES_INDEMNITES!$S$2:$S$501,"CONFORME"))</f>
        <v/>
      </c>
      <c r="S143" s="5" t="str">
        <f>IF(B143="","",SUMIFS(REFERENTIEL_BUDGET!$J$2:$J$101,REFERENTIEL_BUDGET!$A$2:$A$101,B143,REFERENTIEL_BUDGET!$E$2:$E$101,"Indemnités participants"))</f>
        <v/>
      </c>
      <c r="T143" t="str">
        <f>IF(B143="","",IF(COUNTIFS(PRESENCES_INDEMNITES!$B$2:$B$501,B143,PRESENCES_INDEMNITES!$S$2:$S$501,"&lt;&gt;CONFORME",PRESENCES_INDEMNITES!$S$2:$S$501,"&lt;&gt;")&gt;0,"Anomalie détectée",IF(R143&gt;S143,"Dépassement budget indemnités","Conforme")))</f>
        <v/>
      </c>
      <c r="V143" t="str">
        <f t="shared" si="14"/>
        <v/>
      </c>
    </row>
    <row r="144" spans="1:22">
      <c r="A144">
        <f t="shared" si="10"/>
        <v>143</v>
      </c>
      <c r="C144" t="str">
        <f>+IFERROR(VLOOKUP(ControlePJTable[[#This Row],[Code activité]],'LISTES ACTIVITES'!$A$1:$B$38,2,FALSE()),"")</f>
        <v/>
      </c>
      <c r="D144" s="3"/>
      <c r="E144" s="3"/>
      <c r="F144" s="3"/>
      <c r="J144" s="5"/>
      <c r="K144" s="5"/>
      <c r="L144" s="5"/>
      <c r="M144" s="5" t="str">
        <f t="shared" si="11"/>
        <v/>
      </c>
      <c r="N144" s="5" t="str">
        <f t="shared" si="12"/>
        <v/>
      </c>
      <c r="Q144" t="str">
        <f t="shared" si="13"/>
        <v/>
      </c>
      <c r="R144" s="5" t="str">
        <f>IF(B144="","",SUMIFS(PRESENCES_INDEMNITES!$N$2:$N$501,PRESENCES_INDEMNITES!$B$2:$B$501,B144,PRESENCES_INDEMNITES!$S$2:$S$501,"CONFORME"))</f>
        <v/>
      </c>
      <c r="S144" s="5" t="str">
        <f>IF(B144="","",SUMIFS(REFERENTIEL_BUDGET!$J$2:$J$101,REFERENTIEL_BUDGET!$A$2:$A$101,B144,REFERENTIEL_BUDGET!$E$2:$E$101,"Indemnités participants"))</f>
        <v/>
      </c>
      <c r="T144" t="str">
        <f>IF(B144="","",IF(COUNTIFS(PRESENCES_INDEMNITES!$B$2:$B$501,B144,PRESENCES_INDEMNITES!$S$2:$S$501,"&lt;&gt;CONFORME",PRESENCES_INDEMNITES!$S$2:$S$501,"&lt;&gt;")&gt;0,"Anomalie détectée",IF(R144&gt;S144,"Dépassement budget indemnités","Conforme")))</f>
        <v/>
      </c>
      <c r="V144" t="str">
        <f t="shared" si="14"/>
        <v/>
      </c>
    </row>
    <row r="145" spans="1:22">
      <c r="A145">
        <f t="shared" si="10"/>
        <v>144</v>
      </c>
      <c r="C145" t="str">
        <f>+IFERROR(VLOOKUP(ControlePJTable[[#This Row],[Code activité]],'LISTES ACTIVITES'!$A$1:$B$38,2,FALSE()),"")</f>
        <v/>
      </c>
      <c r="D145" s="3"/>
      <c r="E145" s="3"/>
      <c r="F145" s="3"/>
      <c r="J145" s="5"/>
      <c r="K145" s="5"/>
      <c r="L145" s="5"/>
      <c r="M145" s="5" t="str">
        <f t="shared" si="11"/>
        <v/>
      </c>
      <c r="N145" s="5" t="str">
        <f t="shared" si="12"/>
        <v/>
      </c>
      <c r="Q145" t="str">
        <f t="shared" si="13"/>
        <v/>
      </c>
      <c r="R145" s="5" t="str">
        <f>IF(B145="","",SUMIFS(PRESENCES_INDEMNITES!$N$2:$N$501,PRESENCES_INDEMNITES!$B$2:$B$501,B145,PRESENCES_INDEMNITES!$S$2:$S$501,"CONFORME"))</f>
        <v/>
      </c>
      <c r="S145" s="5" t="str">
        <f>IF(B145="","",SUMIFS(REFERENTIEL_BUDGET!$J$2:$J$101,REFERENTIEL_BUDGET!$A$2:$A$101,B145,REFERENTIEL_BUDGET!$E$2:$E$101,"Indemnités participants"))</f>
        <v/>
      </c>
      <c r="T145" t="str">
        <f>IF(B145="","",IF(COUNTIFS(PRESENCES_INDEMNITES!$B$2:$B$501,B145,PRESENCES_INDEMNITES!$S$2:$S$501,"&lt;&gt;CONFORME",PRESENCES_INDEMNITES!$S$2:$S$501,"&lt;&gt;")&gt;0,"Anomalie détectée",IF(R145&gt;S145,"Dépassement budget indemnités","Conforme")))</f>
        <v/>
      </c>
      <c r="V145" t="str">
        <f t="shared" si="14"/>
        <v/>
      </c>
    </row>
    <row r="146" spans="1:22">
      <c r="A146">
        <f t="shared" si="10"/>
        <v>145</v>
      </c>
      <c r="C146" t="str">
        <f>+IFERROR(VLOOKUP(ControlePJTable[[#This Row],[Code activité]],'LISTES ACTIVITES'!$A$1:$B$38,2,FALSE()),"")</f>
        <v/>
      </c>
      <c r="D146" s="3"/>
      <c r="E146" s="3"/>
      <c r="F146" s="3"/>
      <c r="J146" s="5"/>
      <c r="K146" s="5"/>
      <c r="L146" s="5"/>
      <c r="M146" s="5" t="str">
        <f t="shared" si="11"/>
        <v/>
      </c>
      <c r="N146" s="5" t="str">
        <f t="shared" si="12"/>
        <v/>
      </c>
      <c r="Q146" t="str">
        <f t="shared" si="13"/>
        <v/>
      </c>
      <c r="R146" s="5" t="str">
        <f>IF(B146="","",SUMIFS(PRESENCES_INDEMNITES!$N$2:$N$501,PRESENCES_INDEMNITES!$B$2:$B$501,B146,PRESENCES_INDEMNITES!$S$2:$S$501,"CONFORME"))</f>
        <v/>
      </c>
      <c r="S146" s="5" t="str">
        <f>IF(B146="","",SUMIFS(REFERENTIEL_BUDGET!$J$2:$J$101,REFERENTIEL_BUDGET!$A$2:$A$101,B146,REFERENTIEL_BUDGET!$E$2:$E$101,"Indemnités participants"))</f>
        <v/>
      </c>
      <c r="T146" t="str">
        <f>IF(B146="","",IF(COUNTIFS(PRESENCES_INDEMNITES!$B$2:$B$501,B146,PRESENCES_INDEMNITES!$S$2:$S$501,"&lt;&gt;CONFORME",PRESENCES_INDEMNITES!$S$2:$S$501,"&lt;&gt;")&gt;0,"Anomalie détectée",IF(R146&gt;S146,"Dépassement budget indemnités","Conforme")))</f>
        <v/>
      </c>
      <c r="V146" t="str">
        <f t="shared" si="14"/>
        <v/>
      </c>
    </row>
    <row r="147" spans="1:22">
      <c r="A147">
        <f t="shared" si="10"/>
        <v>146</v>
      </c>
      <c r="C147" t="str">
        <f>+IFERROR(VLOOKUP(ControlePJTable[[#This Row],[Code activité]],'LISTES ACTIVITES'!$A$1:$B$38,2,FALSE()),"")</f>
        <v/>
      </c>
      <c r="D147" s="3"/>
      <c r="E147" s="3"/>
      <c r="F147" s="3"/>
      <c r="J147" s="5"/>
      <c r="K147" s="5"/>
      <c r="L147" s="5"/>
      <c r="M147" s="5" t="str">
        <f t="shared" si="11"/>
        <v/>
      </c>
      <c r="N147" s="5" t="str">
        <f t="shared" si="12"/>
        <v/>
      </c>
      <c r="Q147" t="str">
        <f t="shared" si="13"/>
        <v/>
      </c>
      <c r="R147" s="5" t="str">
        <f>IF(B147="","",SUMIFS(PRESENCES_INDEMNITES!$N$2:$N$501,PRESENCES_INDEMNITES!$B$2:$B$501,B147,PRESENCES_INDEMNITES!$S$2:$S$501,"CONFORME"))</f>
        <v/>
      </c>
      <c r="S147" s="5" t="str">
        <f>IF(B147="","",SUMIFS(REFERENTIEL_BUDGET!$J$2:$J$101,REFERENTIEL_BUDGET!$A$2:$A$101,B147,REFERENTIEL_BUDGET!$E$2:$E$101,"Indemnités participants"))</f>
        <v/>
      </c>
      <c r="T147" t="str">
        <f>IF(B147="","",IF(COUNTIFS(PRESENCES_INDEMNITES!$B$2:$B$501,B147,PRESENCES_INDEMNITES!$S$2:$S$501,"&lt;&gt;CONFORME",PRESENCES_INDEMNITES!$S$2:$S$501,"&lt;&gt;")&gt;0,"Anomalie détectée",IF(R147&gt;S147,"Dépassement budget indemnités","Conforme")))</f>
        <v/>
      </c>
      <c r="V147" t="str">
        <f t="shared" si="14"/>
        <v/>
      </c>
    </row>
    <row r="148" spans="1:22">
      <c r="A148">
        <f t="shared" si="10"/>
        <v>147</v>
      </c>
      <c r="C148" t="str">
        <f>+IFERROR(VLOOKUP(ControlePJTable[[#This Row],[Code activité]],'LISTES ACTIVITES'!$A$1:$B$38,2,FALSE()),"")</f>
        <v/>
      </c>
      <c r="D148" s="3"/>
      <c r="E148" s="3"/>
      <c r="F148" s="3"/>
      <c r="J148" s="5"/>
      <c r="K148" s="5"/>
      <c r="L148" s="5"/>
      <c r="M148" s="5" t="str">
        <f t="shared" si="11"/>
        <v/>
      </c>
      <c r="N148" s="5" t="str">
        <f t="shared" si="12"/>
        <v/>
      </c>
      <c r="Q148" t="str">
        <f t="shared" si="13"/>
        <v/>
      </c>
      <c r="R148" s="5" t="str">
        <f>IF(B148="","",SUMIFS(PRESENCES_INDEMNITES!$N$2:$N$501,PRESENCES_INDEMNITES!$B$2:$B$501,B148,PRESENCES_INDEMNITES!$S$2:$S$501,"CONFORME"))</f>
        <v/>
      </c>
      <c r="S148" s="5" t="str">
        <f>IF(B148="","",SUMIFS(REFERENTIEL_BUDGET!$J$2:$J$101,REFERENTIEL_BUDGET!$A$2:$A$101,B148,REFERENTIEL_BUDGET!$E$2:$E$101,"Indemnités participants"))</f>
        <v/>
      </c>
      <c r="T148" t="str">
        <f>IF(B148="","",IF(COUNTIFS(PRESENCES_INDEMNITES!$B$2:$B$501,B148,PRESENCES_INDEMNITES!$S$2:$S$501,"&lt;&gt;CONFORME",PRESENCES_INDEMNITES!$S$2:$S$501,"&lt;&gt;")&gt;0,"Anomalie détectée",IF(R148&gt;S148,"Dépassement budget indemnités","Conforme")))</f>
        <v/>
      </c>
      <c r="V148" t="str">
        <f t="shared" si="14"/>
        <v/>
      </c>
    </row>
    <row r="149" spans="1:22">
      <c r="A149">
        <f t="shared" si="10"/>
        <v>148</v>
      </c>
      <c r="C149" t="str">
        <f>+IFERROR(VLOOKUP(ControlePJTable[[#This Row],[Code activité]],'LISTES ACTIVITES'!$A$1:$B$38,2,FALSE()),"")</f>
        <v/>
      </c>
      <c r="D149" s="3"/>
      <c r="E149" s="3"/>
      <c r="F149" s="3"/>
      <c r="J149" s="5"/>
      <c r="K149" s="5"/>
      <c r="L149" s="5"/>
      <c r="M149" s="5" t="str">
        <f t="shared" si="11"/>
        <v/>
      </c>
      <c r="N149" s="5" t="str">
        <f t="shared" si="12"/>
        <v/>
      </c>
      <c r="Q149" t="str">
        <f t="shared" si="13"/>
        <v/>
      </c>
      <c r="R149" s="5" t="str">
        <f>IF(B149="","",SUMIFS(PRESENCES_INDEMNITES!$N$2:$N$501,PRESENCES_INDEMNITES!$B$2:$B$501,B149,PRESENCES_INDEMNITES!$S$2:$S$501,"CONFORME"))</f>
        <v/>
      </c>
      <c r="S149" s="5" t="str">
        <f>IF(B149="","",SUMIFS(REFERENTIEL_BUDGET!$J$2:$J$101,REFERENTIEL_BUDGET!$A$2:$A$101,B149,REFERENTIEL_BUDGET!$E$2:$E$101,"Indemnités participants"))</f>
        <v/>
      </c>
      <c r="T149" t="str">
        <f>IF(B149="","",IF(COUNTIFS(PRESENCES_INDEMNITES!$B$2:$B$501,B149,PRESENCES_INDEMNITES!$S$2:$S$501,"&lt;&gt;CONFORME",PRESENCES_INDEMNITES!$S$2:$S$501,"&lt;&gt;")&gt;0,"Anomalie détectée",IF(R149&gt;S149,"Dépassement budget indemnités","Conforme")))</f>
        <v/>
      </c>
      <c r="V149" t="str">
        <f t="shared" si="14"/>
        <v/>
      </c>
    </row>
    <row r="150" spans="1:22">
      <c r="A150">
        <f t="shared" si="10"/>
        <v>149</v>
      </c>
      <c r="C150" t="str">
        <f>+IFERROR(VLOOKUP(ControlePJTable[[#This Row],[Code activité]],'LISTES ACTIVITES'!$A$1:$B$38,2,FALSE()),"")</f>
        <v/>
      </c>
      <c r="D150" s="3"/>
      <c r="E150" s="3"/>
      <c r="F150" s="3"/>
      <c r="J150" s="5"/>
      <c r="K150" s="5"/>
      <c r="L150" s="5"/>
      <c r="M150" s="5" t="str">
        <f t="shared" si="11"/>
        <v/>
      </c>
      <c r="N150" s="5" t="str">
        <f t="shared" si="12"/>
        <v/>
      </c>
      <c r="Q150" t="str">
        <f t="shared" si="13"/>
        <v/>
      </c>
      <c r="R150" s="5" t="str">
        <f>IF(B150="","",SUMIFS(PRESENCES_INDEMNITES!$N$2:$N$501,PRESENCES_INDEMNITES!$B$2:$B$501,B150,PRESENCES_INDEMNITES!$S$2:$S$501,"CONFORME"))</f>
        <v/>
      </c>
      <c r="S150" s="5" t="str">
        <f>IF(B150="","",SUMIFS(REFERENTIEL_BUDGET!$J$2:$J$101,REFERENTIEL_BUDGET!$A$2:$A$101,B150,REFERENTIEL_BUDGET!$E$2:$E$101,"Indemnités participants"))</f>
        <v/>
      </c>
      <c r="T150" t="str">
        <f>IF(B150="","",IF(COUNTIFS(PRESENCES_INDEMNITES!$B$2:$B$501,B150,PRESENCES_INDEMNITES!$S$2:$S$501,"&lt;&gt;CONFORME",PRESENCES_INDEMNITES!$S$2:$S$501,"&lt;&gt;")&gt;0,"Anomalie détectée",IF(R150&gt;S150,"Dépassement budget indemnités","Conforme")))</f>
        <v/>
      </c>
      <c r="V150" t="str">
        <f t="shared" si="14"/>
        <v/>
      </c>
    </row>
    <row r="151" spans="1:22">
      <c r="A151">
        <f t="shared" si="10"/>
        <v>150</v>
      </c>
      <c r="C151" t="str">
        <f>+IFERROR(VLOOKUP(ControlePJTable[[#This Row],[Code activité]],'LISTES ACTIVITES'!$A$1:$B$38,2,FALSE()),"")</f>
        <v/>
      </c>
      <c r="D151" s="3"/>
      <c r="E151" s="3"/>
      <c r="F151" s="3"/>
      <c r="J151" s="5"/>
      <c r="K151" s="5"/>
      <c r="L151" s="5"/>
      <c r="M151" s="5" t="str">
        <f t="shared" si="11"/>
        <v/>
      </c>
      <c r="N151" s="5" t="str">
        <f t="shared" si="12"/>
        <v/>
      </c>
      <c r="Q151" t="str">
        <f t="shared" si="13"/>
        <v/>
      </c>
      <c r="R151" s="5" t="str">
        <f>IF(B151="","",SUMIFS(PRESENCES_INDEMNITES!$N$2:$N$501,PRESENCES_INDEMNITES!$B$2:$B$501,B151,PRESENCES_INDEMNITES!$S$2:$S$501,"CONFORME"))</f>
        <v/>
      </c>
      <c r="S151" s="5" t="str">
        <f>IF(B151="","",SUMIFS(REFERENTIEL_BUDGET!$J$2:$J$101,REFERENTIEL_BUDGET!$A$2:$A$101,B151,REFERENTIEL_BUDGET!$E$2:$E$101,"Indemnités participants"))</f>
        <v/>
      </c>
      <c r="T151" t="str">
        <f>IF(B151="","",IF(COUNTIFS(PRESENCES_INDEMNITES!$B$2:$B$501,B151,PRESENCES_INDEMNITES!$S$2:$S$501,"&lt;&gt;CONFORME",PRESENCES_INDEMNITES!$S$2:$S$501,"&lt;&gt;")&gt;0,"Anomalie détectée",IF(R151&gt;S151,"Dépassement budget indemnités","Conforme")))</f>
        <v/>
      </c>
      <c r="V151" t="str">
        <f t="shared" si="14"/>
        <v/>
      </c>
    </row>
    <row r="152" spans="1:22">
      <c r="A152">
        <f t="shared" si="10"/>
        <v>151</v>
      </c>
      <c r="C152" t="str">
        <f>+IFERROR(VLOOKUP(ControlePJTable[[#This Row],[Code activité]],'LISTES ACTIVITES'!$A$1:$B$38,2,FALSE()),"")</f>
        <v/>
      </c>
      <c r="D152" s="3"/>
      <c r="E152" s="3"/>
      <c r="F152" s="3"/>
      <c r="J152" s="5"/>
      <c r="K152" s="5"/>
      <c r="L152" s="5"/>
      <c r="M152" s="5" t="str">
        <f t="shared" si="11"/>
        <v/>
      </c>
      <c r="N152" s="5" t="str">
        <f t="shared" si="12"/>
        <v/>
      </c>
      <c r="Q152" t="str">
        <f t="shared" si="13"/>
        <v/>
      </c>
      <c r="R152" s="5" t="str">
        <f>IF(B152="","",SUMIFS(PRESENCES_INDEMNITES!$N$2:$N$501,PRESENCES_INDEMNITES!$B$2:$B$501,B152,PRESENCES_INDEMNITES!$S$2:$S$501,"CONFORME"))</f>
        <v/>
      </c>
      <c r="S152" s="5" t="str">
        <f>IF(B152="","",SUMIFS(REFERENTIEL_BUDGET!$J$2:$J$101,REFERENTIEL_BUDGET!$A$2:$A$101,B152,REFERENTIEL_BUDGET!$E$2:$E$101,"Indemnités participants"))</f>
        <v/>
      </c>
      <c r="T152" t="str">
        <f>IF(B152="","",IF(COUNTIFS(PRESENCES_INDEMNITES!$B$2:$B$501,B152,PRESENCES_INDEMNITES!$S$2:$S$501,"&lt;&gt;CONFORME",PRESENCES_INDEMNITES!$S$2:$S$501,"&lt;&gt;")&gt;0,"Anomalie détectée",IF(R152&gt;S152,"Dépassement budget indemnités","Conforme")))</f>
        <v/>
      </c>
      <c r="V152" t="str">
        <f t="shared" si="14"/>
        <v/>
      </c>
    </row>
    <row r="153" spans="1:22">
      <c r="A153">
        <f t="shared" si="10"/>
        <v>152</v>
      </c>
      <c r="C153" t="str">
        <f>+IFERROR(VLOOKUP(ControlePJTable[[#This Row],[Code activité]],'LISTES ACTIVITES'!$A$1:$B$38,2,FALSE()),"")</f>
        <v/>
      </c>
      <c r="D153" s="3"/>
      <c r="E153" s="3"/>
      <c r="F153" s="3"/>
      <c r="J153" s="5"/>
      <c r="K153" s="5"/>
      <c r="L153" s="5"/>
      <c r="M153" s="5" t="str">
        <f t="shared" si="11"/>
        <v/>
      </c>
      <c r="N153" s="5" t="str">
        <f t="shared" si="12"/>
        <v/>
      </c>
      <c r="Q153" t="str">
        <f t="shared" si="13"/>
        <v/>
      </c>
      <c r="R153" s="5" t="str">
        <f>IF(B153="","",SUMIFS(PRESENCES_INDEMNITES!$N$2:$N$501,PRESENCES_INDEMNITES!$B$2:$B$501,B153,PRESENCES_INDEMNITES!$S$2:$S$501,"CONFORME"))</f>
        <v/>
      </c>
      <c r="S153" s="5" t="str">
        <f>IF(B153="","",SUMIFS(REFERENTIEL_BUDGET!$J$2:$J$101,REFERENTIEL_BUDGET!$A$2:$A$101,B153,REFERENTIEL_BUDGET!$E$2:$E$101,"Indemnités participants"))</f>
        <v/>
      </c>
      <c r="T153" t="str">
        <f>IF(B153="","",IF(COUNTIFS(PRESENCES_INDEMNITES!$B$2:$B$501,B153,PRESENCES_INDEMNITES!$S$2:$S$501,"&lt;&gt;CONFORME",PRESENCES_INDEMNITES!$S$2:$S$501,"&lt;&gt;")&gt;0,"Anomalie détectée",IF(R153&gt;S153,"Dépassement budget indemnités","Conforme")))</f>
        <v/>
      </c>
      <c r="V153" t="str">
        <f t="shared" si="14"/>
        <v/>
      </c>
    </row>
    <row r="154" spans="1:22">
      <c r="A154">
        <f t="shared" si="10"/>
        <v>153</v>
      </c>
      <c r="C154" t="str">
        <f>+IFERROR(VLOOKUP(ControlePJTable[[#This Row],[Code activité]],'LISTES ACTIVITES'!$A$1:$B$38,2,FALSE()),"")</f>
        <v/>
      </c>
      <c r="D154" s="3"/>
      <c r="E154" s="3"/>
      <c r="F154" s="3"/>
      <c r="J154" s="5"/>
      <c r="K154" s="5"/>
      <c r="L154" s="5"/>
      <c r="M154" s="5" t="str">
        <f t="shared" si="11"/>
        <v/>
      </c>
      <c r="N154" s="5" t="str">
        <f t="shared" si="12"/>
        <v/>
      </c>
      <c r="Q154" t="str">
        <f t="shared" si="13"/>
        <v/>
      </c>
      <c r="R154" s="5" t="str">
        <f>IF(B154="","",SUMIFS(PRESENCES_INDEMNITES!$N$2:$N$501,PRESENCES_INDEMNITES!$B$2:$B$501,B154,PRESENCES_INDEMNITES!$S$2:$S$501,"CONFORME"))</f>
        <v/>
      </c>
      <c r="S154" s="5" t="str">
        <f>IF(B154="","",SUMIFS(REFERENTIEL_BUDGET!$J$2:$J$101,REFERENTIEL_BUDGET!$A$2:$A$101,B154,REFERENTIEL_BUDGET!$E$2:$E$101,"Indemnités participants"))</f>
        <v/>
      </c>
      <c r="T154" t="str">
        <f>IF(B154="","",IF(COUNTIFS(PRESENCES_INDEMNITES!$B$2:$B$501,B154,PRESENCES_INDEMNITES!$S$2:$S$501,"&lt;&gt;CONFORME",PRESENCES_INDEMNITES!$S$2:$S$501,"&lt;&gt;")&gt;0,"Anomalie détectée",IF(R154&gt;S154,"Dépassement budget indemnités","Conforme")))</f>
        <v/>
      </c>
      <c r="V154" t="str">
        <f t="shared" si="14"/>
        <v/>
      </c>
    </row>
    <row r="155" spans="1:22">
      <c r="A155">
        <f t="shared" si="10"/>
        <v>154</v>
      </c>
      <c r="C155" t="str">
        <f>+IFERROR(VLOOKUP(ControlePJTable[[#This Row],[Code activité]],'LISTES ACTIVITES'!$A$1:$B$38,2,FALSE()),"")</f>
        <v/>
      </c>
      <c r="D155" s="3"/>
      <c r="E155" s="3"/>
      <c r="F155" s="3"/>
      <c r="J155" s="5"/>
      <c r="K155" s="5"/>
      <c r="L155" s="5"/>
      <c r="M155" s="5" t="str">
        <f t="shared" si="11"/>
        <v/>
      </c>
      <c r="N155" s="5" t="str">
        <f t="shared" si="12"/>
        <v/>
      </c>
      <c r="Q155" t="str">
        <f t="shared" si="13"/>
        <v/>
      </c>
      <c r="R155" s="5" t="str">
        <f>IF(B155="","",SUMIFS(PRESENCES_INDEMNITES!$N$2:$N$501,PRESENCES_INDEMNITES!$B$2:$B$501,B155,PRESENCES_INDEMNITES!$S$2:$S$501,"CONFORME"))</f>
        <v/>
      </c>
      <c r="S155" s="5" t="str">
        <f>IF(B155="","",SUMIFS(REFERENTIEL_BUDGET!$J$2:$J$101,REFERENTIEL_BUDGET!$A$2:$A$101,B155,REFERENTIEL_BUDGET!$E$2:$E$101,"Indemnités participants"))</f>
        <v/>
      </c>
      <c r="T155" t="str">
        <f>IF(B155="","",IF(COUNTIFS(PRESENCES_INDEMNITES!$B$2:$B$501,B155,PRESENCES_INDEMNITES!$S$2:$S$501,"&lt;&gt;CONFORME",PRESENCES_INDEMNITES!$S$2:$S$501,"&lt;&gt;")&gt;0,"Anomalie détectée",IF(R155&gt;S155,"Dépassement budget indemnités","Conforme")))</f>
        <v/>
      </c>
      <c r="V155" t="str">
        <f t="shared" si="14"/>
        <v/>
      </c>
    </row>
    <row r="156" spans="1:22">
      <c r="A156">
        <f t="shared" si="10"/>
        <v>155</v>
      </c>
      <c r="C156" t="str">
        <f>+IFERROR(VLOOKUP(ControlePJTable[[#This Row],[Code activité]],'LISTES ACTIVITES'!$A$1:$B$38,2,FALSE()),"")</f>
        <v/>
      </c>
      <c r="D156" s="3"/>
      <c r="E156" s="3"/>
      <c r="F156" s="3"/>
      <c r="J156" s="5"/>
      <c r="K156" s="5"/>
      <c r="L156" s="5"/>
      <c r="M156" s="5" t="str">
        <f t="shared" si="11"/>
        <v/>
      </c>
      <c r="N156" s="5" t="str">
        <f t="shared" si="12"/>
        <v/>
      </c>
      <c r="Q156" t="str">
        <f t="shared" si="13"/>
        <v/>
      </c>
      <c r="R156" s="5" t="str">
        <f>IF(B156="","",SUMIFS(PRESENCES_INDEMNITES!$N$2:$N$501,PRESENCES_INDEMNITES!$B$2:$B$501,B156,PRESENCES_INDEMNITES!$S$2:$S$501,"CONFORME"))</f>
        <v/>
      </c>
      <c r="S156" s="5" t="str">
        <f>IF(B156="","",SUMIFS(REFERENTIEL_BUDGET!$J$2:$J$101,REFERENTIEL_BUDGET!$A$2:$A$101,B156,REFERENTIEL_BUDGET!$E$2:$E$101,"Indemnités participants"))</f>
        <v/>
      </c>
      <c r="T156" t="str">
        <f>IF(B156="","",IF(COUNTIFS(PRESENCES_INDEMNITES!$B$2:$B$501,B156,PRESENCES_INDEMNITES!$S$2:$S$501,"&lt;&gt;CONFORME",PRESENCES_INDEMNITES!$S$2:$S$501,"&lt;&gt;")&gt;0,"Anomalie détectée",IF(R156&gt;S156,"Dépassement budget indemnités","Conforme")))</f>
        <v/>
      </c>
      <c r="V156" t="str">
        <f t="shared" si="14"/>
        <v/>
      </c>
    </row>
    <row r="157" spans="1:22">
      <c r="A157">
        <f t="shared" si="10"/>
        <v>156</v>
      </c>
      <c r="C157" t="str">
        <f>+IFERROR(VLOOKUP(ControlePJTable[[#This Row],[Code activité]],'LISTES ACTIVITES'!$A$1:$B$38,2,FALSE()),"")</f>
        <v/>
      </c>
      <c r="D157" s="3"/>
      <c r="E157" s="3"/>
      <c r="F157" s="3"/>
      <c r="J157" s="5"/>
      <c r="K157" s="5"/>
      <c r="L157" s="5"/>
      <c r="M157" s="5" t="str">
        <f t="shared" si="11"/>
        <v/>
      </c>
      <c r="N157" s="5" t="str">
        <f t="shared" si="12"/>
        <v/>
      </c>
      <c r="Q157" t="str">
        <f t="shared" si="13"/>
        <v/>
      </c>
      <c r="R157" s="5" t="str">
        <f>IF(B157="","",SUMIFS(PRESENCES_INDEMNITES!$N$2:$N$501,PRESENCES_INDEMNITES!$B$2:$B$501,B157,PRESENCES_INDEMNITES!$S$2:$S$501,"CONFORME"))</f>
        <v/>
      </c>
      <c r="S157" s="5" t="str">
        <f>IF(B157="","",SUMIFS(REFERENTIEL_BUDGET!$J$2:$J$101,REFERENTIEL_BUDGET!$A$2:$A$101,B157,REFERENTIEL_BUDGET!$E$2:$E$101,"Indemnités participants"))</f>
        <v/>
      </c>
      <c r="T157" t="str">
        <f>IF(B157="","",IF(COUNTIFS(PRESENCES_INDEMNITES!$B$2:$B$501,B157,PRESENCES_INDEMNITES!$S$2:$S$501,"&lt;&gt;CONFORME",PRESENCES_INDEMNITES!$S$2:$S$501,"&lt;&gt;")&gt;0,"Anomalie détectée",IF(R157&gt;S157,"Dépassement budget indemnités","Conforme")))</f>
        <v/>
      </c>
      <c r="V157" t="str">
        <f t="shared" si="14"/>
        <v/>
      </c>
    </row>
    <row r="158" spans="1:22">
      <c r="A158">
        <f t="shared" si="10"/>
        <v>157</v>
      </c>
      <c r="C158" t="str">
        <f>+IFERROR(VLOOKUP(ControlePJTable[[#This Row],[Code activité]],'LISTES ACTIVITES'!$A$1:$B$38,2,FALSE()),"")</f>
        <v/>
      </c>
      <c r="D158" s="3"/>
      <c r="E158" s="3"/>
      <c r="F158" s="3"/>
      <c r="J158" s="5"/>
      <c r="K158" s="5"/>
      <c r="L158" s="5"/>
      <c r="M158" s="5" t="str">
        <f t="shared" si="11"/>
        <v/>
      </c>
      <c r="N158" s="5" t="str">
        <f t="shared" si="12"/>
        <v/>
      </c>
      <c r="Q158" t="str">
        <f t="shared" si="13"/>
        <v/>
      </c>
      <c r="R158" s="5" t="str">
        <f>IF(B158="","",SUMIFS(PRESENCES_INDEMNITES!$N$2:$N$501,PRESENCES_INDEMNITES!$B$2:$B$501,B158,PRESENCES_INDEMNITES!$S$2:$S$501,"CONFORME"))</f>
        <v/>
      </c>
      <c r="S158" s="5" t="str">
        <f>IF(B158="","",SUMIFS(REFERENTIEL_BUDGET!$J$2:$J$101,REFERENTIEL_BUDGET!$A$2:$A$101,B158,REFERENTIEL_BUDGET!$E$2:$E$101,"Indemnités participants"))</f>
        <v/>
      </c>
      <c r="T158" t="str">
        <f>IF(B158="","",IF(COUNTIFS(PRESENCES_INDEMNITES!$B$2:$B$501,B158,PRESENCES_INDEMNITES!$S$2:$S$501,"&lt;&gt;CONFORME",PRESENCES_INDEMNITES!$S$2:$S$501,"&lt;&gt;")&gt;0,"Anomalie détectée",IF(R158&gt;S158,"Dépassement budget indemnités","Conforme")))</f>
        <v/>
      </c>
      <c r="V158" t="str">
        <f t="shared" si="14"/>
        <v/>
      </c>
    </row>
    <row r="159" spans="1:22">
      <c r="A159">
        <f t="shared" si="10"/>
        <v>158</v>
      </c>
      <c r="C159" t="str">
        <f>+IFERROR(VLOOKUP(ControlePJTable[[#This Row],[Code activité]],'LISTES ACTIVITES'!$A$1:$B$38,2,FALSE()),"")</f>
        <v/>
      </c>
      <c r="D159" s="3"/>
      <c r="E159" s="3"/>
      <c r="F159" s="3"/>
      <c r="J159" s="5"/>
      <c r="K159" s="5"/>
      <c r="L159" s="5"/>
      <c r="M159" s="5" t="str">
        <f t="shared" si="11"/>
        <v/>
      </c>
      <c r="N159" s="5" t="str">
        <f t="shared" si="12"/>
        <v/>
      </c>
      <c r="Q159" t="str">
        <f t="shared" si="13"/>
        <v/>
      </c>
      <c r="R159" s="5" t="str">
        <f>IF(B159="","",SUMIFS(PRESENCES_INDEMNITES!$N$2:$N$501,PRESENCES_INDEMNITES!$B$2:$B$501,B159,PRESENCES_INDEMNITES!$S$2:$S$501,"CONFORME"))</f>
        <v/>
      </c>
      <c r="S159" s="5" t="str">
        <f>IF(B159="","",SUMIFS(REFERENTIEL_BUDGET!$J$2:$J$101,REFERENTIEL_BUDGET!$A$2:$A$101,B159,REFERENTIEL_BUDGET!$E$2:$E$101,"Indemnités participants"))</f>
        <v/>
      </c>
      <c r="T159" t="str">
        <f>IF(B159="","",IF(COUNTIFS(PRESENCES_INDEMNITES!$B$2:$B$501,B159,PRESENCES_INDEMNITES!$S$2:$S$501,"&lt;&gt;CONFORME",PRESENCES_INDEMNITES!$S$2:$S$501,"&lt;&gt;")&gt;0,"Anomalie détectée",IF(R159&gt;S159,"Dépassement budget indemnités","Conforme")))</f>
        <v/>
      </c>
      <c r="V159" t="str">
        <f t="shared" si="14"/>
        <v/>
      </c>
    </row>
    <row r="160" spans="1:22">
      <c r="A160">
        <f t="shared" si="10"/>
        <v>159</v>
      </c>
      <c r="C160" t="str">
        <f>+IFERROR(VLOOKUP(ControlePJTable[[#This Row],[Code activité]],'LISTES ACTIVITES'!$A$1:$B$38,2,FALSE()),"")</f>
        <v/>
      </c>
      <c r="D160" s="3"/>
      <c r="E160" s="3"/>
      <c r="F160" s="3"/>
      <c r="J160" s="5"/>
      <c r="K160" s="5"/>
      <c r="L160" s="5"/>
      <c r="M160" s="5" t="str">
        <f t="shared" si="11"/>
        <v/>
      </c>
      <c r="N160" s="5" t="str">
        <f t="shared" si="12"/>
        <v/>
      </c>
      <c r="Q160" t="str">
        <f t="shared" si="13"/>
        <v/>
      </c>
      <c r="R160" s="5" t="str">
        <f>IF(B160="","",SUMIFS(PRESENCES_INDEMNITES!$N$2:$N$501,PRESENCES_INDEMNITES!$B$2:$B$501,B160,PRESENCES_INDEMNITES!$S$2:$S$501,"CONFORME"))</f>
        <v/>
      </c>
      <c r="S160" s="5" t="str">
        <f>IF(B160="","",SUMIFS(REFERENTIEL_BUDGET!$J$2:$J$101,REFERENTIEL_BUDGET!$A$2:$A$101,B160,REFERENTIEL_BUDGET!$E$2:$E$101,"Indemnités participants"))</f>
        <v/>
      </c>
      <c r="T160" t="str">
        <f>IF(B160="","",IF(COUNTIFS(PRESENCES_INDEMNITES!$B$2:$B$501,B160,PRESENCES_INDEMNITES!$S$2:$S$501,"&lt;&gt;CONFORME",PRESENCES_INDEMNITES!$S$2:$S$501,"&lt;&gt;")&gt;0,"Anomalie détectée",IF(R160&gt;S160,"Dépassement budget indemnités","Conforme")))</f>
        <v/>
      </c>
      <c r="V160" t="str">
        <f t="shared" si="14"/>
        <v/>
      </c>
    </row>
    <row r="161" spans="1:22">
      <c r="A161">
        <f t="shared" si="10"/>
        <v>160</v>
      </c>
      <c r="C161" t="str">
        <f>+IFERROR(VLOOKUP(ControlePJTable[[#This Row],[Code activité]],'LISTES ACTIVITES'!$A$1:$B$38,2,FALSE()),"")</f>
        <v/>
      </c>
      <c r="D161" s="3"/>
      <c r="E161" s="3"/>
      <c r="F161" s="3"/>
      <c r="J161" s="5"/>
      <c r="K161" s="5"/>
      <c r="L161" s="5"/>
      <c r="M161" s="5" t="str">
        <f t="shared" si="11"/>
        <v/>
      </c>
      <c r="N161" s="5" t="str">
        <f t="shared" si="12"/>
        <v/>
      </c>
      <c r="Q161" t="str">
        <f t="shared" si="13"/>
        <v/>
      </c>
      <c r="R161" s="5" t="str">
        <f>IF(B161="","",SUMIFS(PRESENCES_INDEMNITES!$N$2:$N$501,PRESENCES_INDEMNITES!$B$2:$B$501,B161,PRESENCES_INDEMNITES!$S$2:$S$501,"CONFORME"))</f>
        <v/>
      </c>
      <c r="S161" s="5" t="str">
        <f>IF(B161="","",SUMIFS(REFERENTIEL_BUDGET!$J$2:$J$101,REFERENTIEL_BUDGET!$A$2:$A$101,B161,REFERENTIEL_BUDGET!$E$2:$E$101,"Indemnités participants"))</f>
        <v/>
      </c>
      <c r="T161" t="str">
        <f>IF(B161="","",IF(COUNTIFS(PRESENCES_INDEMNITES!$B$2:$B$501,B161,PRESENCES_INDEMNITES!$S$2:$S$501,"&lt;&gt;CONFORME",PRESENCES_INDEMNITES!$S$2:$S$501,"&lt;&gt;")&gt;0,"Anomalie détectée",IF(R161&gt;S161,"Dépassement budget indemnités","Conforme")))</f>
        <v/>
      </c>
      <c r="V161" t="str">
        <f t="shared" si="14"/>
        <v/>
      </c>
    </row>
    <row r="162" spans="1:22">
      <c r="A162">
        <f t="shared" si="10"/>
        <v>161</v>
      </c>
      <c r="C162" t="str">
        <f>+IFERROR(VLOOKUP(ControlePJTable[[#This Row],[Code activité]],'LISTES ACTIVITES'!$A$1:$B$38,2,FALSE()),"")</f>
        <v/>
      </c>
      <c r="D162" s="3"/>
      <c r="E162" s="3"/>
      <c r="F162" s="3"/>
      <c r="J162" s="5"/>
      <c r="K162" s="5"/>
      <c r="L162" s="5"/>
      <c r="M162" s="5" t="str">
        <f t="shared" si="11"/>
        <v/>
      </c>
      <c r="N162" s="5" t="str">
        <f t="shared" si="12"/>
        <v/>
      </c>
      <c r="Q162" t="str">
        <f t="shared" si="13"/>
        <v/>
      </c>
      <c r="R162" s="5" t="str">
        <f>IF(B162="","",SUMIFS(PRESENCES_INDEMNITES!$N$2:$N$501,PRESENCES_INDEMNITES!$B$2:$B$501,B162,PRESENCES_INDEMNITES!$S$2:$S$501,"CONFORME"))</f>
        <v/>
      </c>
      <c r="S162" s="5" t="str">
        <f>IF(B162="","",SUMIFS(REFERENTIEL_BUDGET!$J$2:$J$101,REFERENTIEL_BUDGET!$A$2:$A$101,B162,REFERENTIEL_BUDGET!$E$2:$E$101,"Indemnités participants"))</f>
        <v/>
      </c>
      <c r="T162" t="str">
        <f>IF(B162="","",IF(COUNTIFS(PRESENCES_INDEMNITES!$B$2:$B$501,B162,PRESENCES_INDEMNITES!$S$2:$S$501,"&lt;&gt;CONFORME",PRESENCES_INDEMNITES!$S$2:$S$501,"&lt;&gt;")&gt;0,"Anomalie détectée",IF(R162&gt;S162,"Dépassement budget indemnités","Conforme")))</f>
        <v/>
      </c>
      <c r="V162" t="str">
        <f t="shared" si="14"/>
        <v/>
      </c>
    </row>
    <row r="163" spans="1:22">
      <c r="A163">
        <f t="shared" si="10"/>
        <v>162</v>
      </c>
      <c r="C163" t="str">
        <f>+IFERROR(VLOOKUP(ControlePJTable[[#This Row],[Code activité]],'LISTES ACTIVITES'!$A$1:$B$38,2,FALSE()),"")</f>
        <v/>
      </c>
      <c r="D163" s="3"/>
      <c r="E163" s="3"/>
      <c r="F163" s="3"/>
      <c r="J163" s="5"/>
      <c r="K163" s="5"/>
      <c r="L163" s="5"/>
      <c r="M163" s="5" t="str">
        <f t="shared" si="11"/>
        <v/>
      </c>
      <c r="N163" s="5" t="str">
        <f t="shared" si="12"/>
        <v/>
      </c>
      <c r="Q163" t="str">
        <f t="shared" si="13"/>
        <v/>
      </c>
      <c r="R163" s="5" t="str">
        <f>IF(B163="","",SUMIFS(PRESENCES_INDEMNITES!$N$2:$N$501,PRESENCES_INDEMNITES!$B$2:$B$501,B163,PRESENCES_INDEMNITES!$S$2:$S$501,"CONFORME"))</f>
        <v/>
      </c>
      <c r="S163" s="5" t="str">
        <f>IF(B163="","",SUMIFS(REFERENTIEL_BUDGET!$J$2:$J$101,REFERENTIEL_BUDGET!$A$2:$A$101,B163,REFERENTIEL_BUDGET!$E$2:$E$101,"Indemnités participants"))</f>
        <v/>
      </c>
      <c r="T163" t="str">
        <f>IF(B163="","",IF(COUNTIFS(PRESENCES_INDEMNITES!$B$2:$B$501,B163,PRESENCES_INDEMNITES!$S$2:$S$501,"&lt;&gt;CONFORME",PRESENCES_INDEMNITES!$S$2:$S$501,"&lt;&gt;")&gt;0,"Anomalie détectée",IF(R163&gt;S163,"Dépassement budget indemnités","Conforme")))</f>
        <v/>
      </c>
      <c r="V163" t="str">
        <f t="shared" si="14"/>
        <v/>
      </c>
    </row>
    <row r="164" spans="1:22">
      <c r="A164">
        <f t="shared" si="10"/>
        <v>163</v>
      </c>
      <c r="C164" t="str">
        <f>+IFERROR(VLOOKUP(ControlePJTable[[#This Row],[Code activité]],'LISTES ACTIVITES'!$A$1:$B$38,2,FALSE()),"")</f>
        <v/>
      </c>
      <c r="D164" s="3"/>
      <c r="E164" s="3"/>
      <c r="F164" s="3"/>
      <c r="J164" s="5"/>
      <c r="K164" s="5"/>
      <c r="L164" s="5"/>
      <c r="M164" s="5" t="str">
        <f t="shared" si="11"/>
        <v/>
      </c>
      <c r="N164" s="5" t="str">
        <f t="shared" si="12"/>
        <v/>
      </c>
      <c r="Q164" t="str">
        <f t="shared" si="13"/>
        <v/>
      </c>
      <c r="R164" s="5" t="str">
        <f>IF(B164="","",SUMIFS(PRESENCES_INDEMNITES!$N$2:$N$501,PRESENCES_INDEMNITES!$B$2:$B$501,B164,PRESENCES_INDEMNITES!$S$2:$S$501,"CONFORME"))</f>
        <v/>
      </c>
      <c r="S164" s="5" t="str">
        <f>IF(B164="","",SUMIFS(REFERENTIEL_BUDGET!$J$2:$J$101,REFERENTIEL_BUDGET!$A$2:$A$101,B164,REFERENTIEL_BUDGET!$E$2:$E$101,"Indemnités participants"))</f>
        <v/>
      </c>
      <c r="T164" t="str">
        <f>IF(B164="","",IF(COUNTIFS(PRESENCES_INDEMNITES!$B$2:$B$501,B164,PRESENCES_INDEMNITES!$S$2:$S$501,"&lt;&gt;CONFORME",PRESENCES_INDEMNITES!$S$2:$S$501,"&lt;&gt;")&gt;0,"Anomalie détectée",IF(R164&gt;S164,"Dépassement budget indemnités","Conforme")))</f>
        <v/>
      </c>
      <c r="V164" t="str">
        <f t="shared" si="14"/>
        <v/>
      </c>
    </row>
    <row r="165" spans="1:22">
      <c r="A165">
        <f t="shared" si="10"/>
        <v>164</v>
      </c>
      <c r="C165" t="str">
        <f>+IFERROR(VLOOKUP(ControlePJTable[[#This Row],[Code activité]],'LISTES ACTIVITES'!$A$1:$B$38,2,FALSE()),"")</f>
        <v/>
      </c>
      <c r="D165" s="3"/>
      <c r="E165" s="3"/>
      <c r="F165" s="3"/>
      <c r="J165" s="5"/>
      <c r="K165" s="5"/>
      <c r="L165" s="5"/>
      <c r="M165" s="5" t="str">
        <f t="shared" si="11"/>
        <v/>
      </c>
      <c r="N165" s="5" t="str">
        <f t="shared" si="12"/>
        <v/>
      </c>
      <c r="Q165" t="str">
        <f t="shared" si="13"/>
        <v/>
      </c>
      <c r="R165" s="5" t="str">
        <f>IF(B165="","",SUMIFS(PRESENCES_INDEMNITES!$N$2:$N$501,PRESENCES_INDEMNITES!$B$2:$B$501,B165,PRESENCES_INDEMNITES!$S$2:$S$501,"CONFORME"))</f>
        <v/>
      </c>
      <c r="S165" s="5" t="str">
        <f>IF(B165="","",SUMIFS(REFERENTIEL_BUDGET!$J$2:$J$101,REFERENTIEL_BUDGET!$A$2:$A$101,B165,REFERENTIEL_BUDGET!$E$2:$E$101,"Indemnités participants"))</f>
        <v/>
      </c>
      <c r="T165" t="str">
        <f>IF(B165="","",IF(COUNTIFS(PRESENCES_INDEMNITES!$B$2:$B$501,B165,PRESENCES_INDEMNITES!$S$2:$S$501,"&lt;&gt;CONFORME",PRESENCES_INDEMNITES!$S$2:$S$501,"&lt;&gt;")&gt;0,"Anomalie détectée",IF(R165&gt;S165,"Dépassement budget indemnités","Conforme")))</f>
        <v/>
      </c>
      <c r="V165" t="str">
        <f t="shared" si="14"/>
        <v/>
      </c>
    </row>
    <row r="166" spans="1:22">
      <c r="A166">
        <f t="shared" si="10"/>
        <v>165</v>
      </c>
      <c r="C166" t="str">
        <f>+IFERROR(VLOOKUP(ControlePJTable[[#This Row],[Code activité]],'LISTES ACTIVITES'!$A$1:$B$38,2,FALSE()),"")</f>
        <v/>
      </c>
      <c r="D166" s="3"/>
      <c r="E166" s="3"/>
      <c r="F166" s="3"/>
      <c r="J166" s="5"/>
      <c r="K166" s="5"/>
      <c r="L166" s="5"/>
      <c r="M166" s="5" t="str">
        <f t="shared" si="11"/>
        <v/>
      </c>
      <c r="N166" s="5" t="str">
        <f t="shared" si="12"/>
        <v/>
      </c>
      <c r="Q166" t="str">
        <f t="shared" si="13"/>
        <v/>
      </c>
      <c r="R166" s="5" t="str">
        <f>IF(B166="","",SUMIFS(PRESENCES_INDEMNITES!$N$2:$N$501,PRESENCES_INDEMNITES!$B$2:$B$501,B166,PRESENCES_INDEMNITES!$S$2:$S$501,"CONFORME"))</f>
        <v/>
      </c>
      <c r="S166" s="5" t="str">
        <f>IF(B166="","",SUMIFS(REFERENTIEL_BUDGET!$J$2:$J$101,REFERENTIEL_BUDGET!$A$2:$A$101,B166,REFERENTIEL_BUDGET!$E$2:$E$101,"Indemnités participants"))</f>
        <v/>
      </c>
      <c r="T166" t="str">
        <f>IF(B166="","",IF(COUNTIFS(PRESENCES_INDEMNITES!$B$2:$B$501,B166,PRESENCES_INDEMNITES!$S$2:$S$501,"&lt;&gt;CONFORME",PRESENCES_INDEMNITES!$S$2:$S$501,"&lt;&gt;")&gt;0,"Anomalie détectée",IF(R166&gt;S166,"Dépassement budget indemnités","Conforme")))</f>
        <v/>
      </c>
      <c r="V166" t="str">
        <f t="shared" si="14"/>
        <v/>
      </c>
    </row>
    <row r="167" spans="1:22">
      <c r="A167">
        <f t="shared" si="10"/>
        <v>166</v>
      </c>
      <c r="C167" t="str">
        <f>+IFERROR(VLOOKUP(ControlePJTable[[#This Row],[Code activité]],'LISTES ACTIVITES'!$A$1:$B$38,2,FALSE()),"")</f>
        <v/>
      </c>
      <c r="D167" s="3"/>
      <c r="E167" s="3"/>
      <c r="F167" s="3"/>
      <c r="J167" s="5"/>
      <c r="K167" s="5"/>
      <c r="L167" s="5"/>
      <c r="M167" s="5" t="str">
        <f t="shared" si="11"/>
        <v/>
      </c>
      <c r="N167" s="5" t="str">
        <f t="shared" si="12"/>
        <v/>
      </c>
      <c r="Q167" t="str">
        <f t="shared" si="13"/>
        <v/>
      </c>
      <c r="R167" s="5" t="str">
        <f>IF(B167="","",SUMIFS(PRESENCES_INDEMNITES!$N$2:$N$501,PRESENCES_INDEMNITES!$B$2:$B$501,B167,PRESENCES_INDEMNITES!$S$2:$S$501,"CONFORME"))</f>
        <v/>
      </c>
      <c r="S167" s="5" t="str">
        <f>IF(B167="","",SUMIFS(REFERENTIEL_BUDGET!$J$2:$J$101,REFERENTIEL_BUDGET!$A$2:$A$101,B167,REFERENTIEL_BUDGET!$E$2:$E$101,"Indemnités participants"))</f>
        <v/>
      </c>
      <c r="T167" t="str">
        <f>IF(B167="","",IF(COUNTIFS(PRESENCES_INDEMNITES!$B$2:$B$501,B167,PRESENCES_INDEMNITES!$S$2:$S$501,"&lt;&gt;CONFORME",PRESENCES_INDEMNITES!$S$2:$S$501,"&lt;&gt;")&gt;0,"Anomalie détectée",IF(R167&gt;S167,"Dépassement budget indemnités","Conforme")))</f>
        <v/>
      </c>
      <c r="V167" t="str">
        <f t="shared" si="14"/>
        <v/>
      </c>
    </row>
    <row r="168" spans="1:22">
      <c r="A168">
        <f t="shared" si="10"/>
        <v>167</v>
      </c>
      <c r="C168" t="str">
        <f>+IFERROR(VLOOKUP(ControlePJTable[[#This Row],[Code activité]],'LISTES ACTIVITES'!$A$1:$B$38,2,FALSE()),"")</f>
        <v/>
      </c>
      <c r="D168" s="3"/>
      <c r="E168" s="3"/>
      <c r="F168" s="3"/>
      <c r="J168" s="5"/>
      <c r="K168" s="5"/>
      <c r="L168" s="5"/>
      <c r="M168" s="5" t="str">
        <f t="shared" si="11"/>
        <v/>
      </c>
      <c r="N168" s="5" t="str">
        <f t="shared" si="12"/>
        <v/>
      </c>
      <c r="Q168" t="str">
        <f t="shared" si="13"/>
        <v/>
      </c>
      <c r="R168" s="5" t="str">
        <f>IF(B168="","",SUMIFS(PRESENCES_INDEMNITES!$N$2:$N$501,PRESENCES_INDEMNITES!$B$2:$B$501,B168,PRESENCES_INDEMNITES!$S$2:$S$501,"CONFORME"))</f>
        <v/>
      </c>
      <c r="S168" s="5" t="str">
        <f>IF(B168="","",SUMIFS(REFERENTIEL_BUDGET!$J$2:$J$101,REFERENTIEL_BUDGET!$A$2:$A$101,B168,REFERENTIEL_BUDGET!$E$2:$E$101,"Indemnités participants"))</f>
        <v/>
      </c>
      <c r="T168" t="str">
        <f>IF(B168="","",IF(COUNTIFS(PRESENCES_INDEMNITES!$B$2:$B$501,B168,PRESENCES_INDEMNITES!$S$2:$S$501,"&lt;&gt;CONFORME",PRESENCES_INDEMNITES!$S$2:$S$501,"&lt;&gt;")&gt;0,"Anomalie détectée",IF(R168&gt;S168,"Dépassement budget indemnités","Conforme")))</f>
        <v/>
      </c>
      <c r="V168" t="str">
        <f t="shared" si="14"/>
        <v/>
      </c>
    </row>
    <row r="169" spans="1:22">
      <c r="A169">
        <f t="shared" si="10"/>
        <v>168</v>
      </c>
      <c r="C169" t="str">
        <f>+IFERROR(VLOOKUP(ControlePJTable[[#This Row],[Code activité]],'LISTES ACTIVITES'!$A$1:$B$38,2,FALSE()),"")</f>
        <v/>
      </c>
      <c r="D169" s="3"/>
      <c r="E169" s="3"/>
      <c r="F169" s="3"/>
      <c r="J169" s="5"/>
      <c r="K169" s="5"/>
      <c r="L169" s="5"/>
      <c r="M169" s="5" t="str">
        <f t="shared" si="11"/>
        <v/>
      </c>
      <c r="N169" s="5" t="str">
        <f t="shared" si="12"/>
        <v/>
      </c>
      <c r="Q169" t="str">
        <f t="shared" si="13"/>
        <v/>
      </c>
      <c r="R169" s="5" t="str">
        <f>IF(B169="","",SUMIFS(PRESENCES_INDEMNITES!$N$2:$N$501,PRESENCES_INDEMNITES!$B$2:$B$501,B169,PRESENCES_INDEMNITES!$S$2:$S$501,"CONFORME"))</f>
        <v/>
      </c>
      <c r="S169" s="5" t="str">
        <f>IF(B169="","",SUMIFS(REFERENTIEL_BUDGET!$J$2:$J$101,REFERENTIEL_BUDGET!$A$2:$A$101,B169,REFERENTIEL_BUDGET!$E$2:$E$101,"Indemnités participants"))</f>
        <v/>
      </c>
      <c r="T169" t="str">
        <f>IF(B169="","",IF(COUNTIFS(PRESENCES_INDEMNITES!$B$2:$B$501,B169,PRESENCES_INDEMNITES!$S$2:$S$501,"&lt;&gt;CONFORME",PRESENCES_INDEMNITES!$S$2:$S$501,"&lt;&gt;")&gt;0,"Anomalie détectée",IF(R169&gt;S169,"Dépassement budget indemnités","Conforme")))</f>
        <v/>
      </c>
      <c r="V169" t="str">
        <f t="shared" si="14"/>
        <v/>
      </c>
    </row>
    <row r="170" spans="1:22">
      <c r="A170">
        <f t="shared" si="10"/>
        <v>169</v>
      </c>
      <c r="C170" t="str">
        <f>+IFERROR(VLOOKUP(ControlePJTable[[#This Row],[Code activité]],'LISTES ACTIVITES'!$A$1:$B$38,2,FALSE()),"")</f>
        <v/>
      </c>
      <c r="D170" s="3"/>
      <c r="E170" s="3"/>
      <c r="F170" s="3"/>
      <c r="J170" s="5"/>
      <c r="K170" s="5"/>
      <c r="L170" s="5"/>
      <c r="M170" s="5" t="str">
        <f t="shared" si="11"/>
        <v/>
      </c>
      <c r="N170" s="5" t="str">
        <f t="shared" si="12"/>
        <v/>
      </c>
      <c r="Q170" t="str">
        <f t="shared" si="13"/>
        <v/>
      </c>
      <c r="R170" s="5" t="str">
        <f>IF(B170="","",SUMIFS(PRESENCES_INDEMNITES!$N$2:$N$501,PRESENCES_INDEMNITES!$B$2:$B$501,B170,PRESENCES_INDEMNITES!$S$2:$S$501,"CONFORME"))</f>
        <v/>
      </c>
      <c r="S170" s="5" t="str">
        <f>IF(B170="","",SUMIFS(REFERENTIEL_BUDGET!$J$2:$J$101,REFERENTIEL_BUDGET!$A$2:$A$101,B170,REFERENTIEL_BUDGET!$E$2:$E$101,"Indemnités participants"))</f>
        <v/>
      </c>
      <c r="T170" t="str">
        <f>IF(B170="","",IF(COUNTIFS(PRESENCES_INDEMNITES!$B$2:$B$501,B170,PRESENCES_INDEMNITES!$S$2:$S$501,"&lt;&gt;CONFORME",PRESENCES_INDEMNITES!$S$2:$S$501,"&lt;&gt;")&gt;0,"Anomalie détectée",IF(R170&gt;S170,"Dépassement budget indemnités","Conforme")))</f>
        <v/>
      </c>
      <c r="V170" t="str">
        <f t="shared" si="14"/>
        <v/>
      </c>
    </row>
    <row r="171" spans="1:22">
      <c r="A171">
        <f t="shared" si="10"/>
        <v>170</v>
      </c>
      <c r="C171" t="str">
        <f>+IFERROR(VLOOKUP(ControlePJTable[[#This Row],[Code activité]],'LISTES ACTIVITES'!$A$1:$B$38,2,FALSE()),"")</f>
        <v/>
      </c>
      <c r="D171" s="3"/>
      <c r="E171" s="3"/>
      <c r="F171" s="3"/>
      <c r="J171" s="5"/>
      <c r="K171" s="5"/>
      <c r="L171" s="5"/>
      <c r="M171" s="5" t="str">
        <f t="shared" si="11"/>
        <v/>
      </c>
      <c r="N171" s="5" t="str">
        <f t="shared" si="12"/>
        <v/>
      </c>
      <c r="Q171" t="str">
        <f t="shared" si="13"/>
        <v/>
      </c>
      <c r="R171" s="5" t="str">
        <f>IF(B171="","",SUMIFS(PRESENCES_INDEMNITES!$N$2:$N$501,PRESENCES_INDEMNITES!$B$2:$B$501,B171,PRESENCES_INDEMNITES!$S$2:$S$501,"CONFORME"))</f>
        <v/>
      </c>
      <c r="S171" s="5" t="str">
        <f>IF(B171="","",SUMIFS(REFERENTIEL_BUDGET!$J$2:$J$101,REFERENTIEL_BUDGET!$A$2:$A$101,B171,REFERENTIEL_BUDGET!$E$2:$E$101,"Indemnités participants"))</f>
        <v/>
      </c>
      <c r="T171" t="str">
        <f>IF(B171="","",IF(COUNTIFS(PRESENCES_INDEMNITES!$B$2:$B$501,B171,PRESENCES_INDEMNITES!$S$2:$S$501,"&lt;&gt;CONFORME",PRESENCES_INDEMNITES!$S$2:$S$501,"&lt;&gt;")&gt;0,"Anomalie détectée",IF(R171&gt;S171,"Dépassement budget indemnités","Conforme")))</f>
        <v/>
      </c>
      <c r="V171" t="str">
        <f t="shared" si="14"/>
        <v/>
      </c>
    </row>
    <row r="172" spans="1:22">
      <c r="A172">
        <f t="shared" si="10"/>
        <v>171</v>
      </c>
      <c r="C172" t="str">
        <f>+IFERROR(VLOOKUP(ControlePJTable[[#This Row],[Code activité]],'LISTES ACTIVITES'!$A$1:$B$38,2,FALSE()),"")</f>
        <v/>
      </c>
      <c r="D172" s="3"/>
      <c r="E172" s="3"/>
      <c r="F172" s="3"/>
      <c r="J172" s="5"/>
      <c r="K172" s="5"/>
      <c r="L172" s="5"/>
      <c r="M172" s="5" t="str">
        <f t="shared" si="11"/>
        <v/>
      </c>
      <c r="N172" s="5" t="str">
        <f t="shared" si="12"/>
        <v/>
      </c>
      <c r="Q172" t="str">
        <f t="shared" si="13"/>
        <v/>
      </c>
      <c r="R172" s="5" t="str">
        <f>IF(B172="","",SUMIFS(PRESENCES_INDEMNITES!$N$2:$N$501,PRESENCES_INDEMNITES!$B$2:$B$501,B172,PRESENCES_INDEMNITES!$S$2:$S$501,"CONFORME"))</f>
        <v/>
      </c>
      <c r="S172" s="5" t="str">
        <f>IF(B172="","",SUMIFS(REFERENTIEL_BUDGET!$J$2:$J$101,REFERENTIEL_BUDGET!$A$2:$A$101,B172,REFERENTIEL_BUDGET!$E$2:$E$101,"Indemnités participants"))</f>
        <v/>
      </c>
      <c r="T172" t="str">
        <f>IF(B172="","",IF(COUNTIFS(PRESENCES_INDEMNITES!$B$2:$B$501,B172,PRESENCES_INDEMNITES!$S$2:$S$501,"&lt;&gt;CONFORME",PRESENCES_INDEMNITES!$S$2:$S$501,"&lt;&gt;")&gt;0,"Anomalie détectée",IF(R172&gt;S172,"Dépassement budget indemnités","Conforme")))</f>
        <v/>
      </c>
      <c r="V172" t="str">
        <f t="shared" si="14"/>
        <v/>
      </c>
    </row>
    <row r="173" spans="1:22">
      <c r="A173">
        <f t="shared" si="10"/>
        <v>172</v>
      </c>
      <c r="C173" t="str">
        <f>+IFERROR(VLOOKUP(ControlePJTable[[#This Row],[Code activité]],'LISTES ACTIVITES'!$A$1:$B$38,2,FALSE()),"")</f>
        <v/>
      </c>
      <c r="D173" s="3"/>
      <c r="E173" s="3"/>
      <c r="F173" s="3"/>
      <c r="J173" s="5"/>
      <c r="K173" s="5"/>
      <c r="L173" s="5"/>
      <c r="M173" s="5" t="str">
        <f t="shared" si="11"/>
        <v/>
      </c>
      <c r="N173" s="5" t="str">
        <f t="shared" si="12"/>
        <v/>
      </c>
      <c r="Q173" t="str">
        <f t="shared" si="13"/>
        <v/>
      </c>
      <c r="R173" s="5" t="str">
        <f>IF(B173="","",SUMIFS(PRESENCES_INDEMNITES!$N$2:$N$501,PRESENCES_INDEMNITES!$B$2:$B$501,B173,PRESENCES_INDEMNITES!$S$2:$S$501,"CONFORME"))</f>
        <v/>
      </c>
      <c r="S173" s="5" t="str">
        <f>IF(B173="","",SUMIFS(REFERENTIEL_BUDGET!$J$2:$J$101,REFERENTIEL_BUDGET!$A$2:$A$101,B173,REFERENTIEL_BUDGET!$E$2:$E$101,"Indemnités participants"))</f>
        <v/>
      </c>
      <c r="T173" t="str">
        <f>IF(B173="","",IF(COUNTIFS(PRESENCES_INDEMNITES!$B$2:$B$501,B173,PRESENCES_INDEMNITES!$S$2:$S$501,"&lt;&gt;CONFORME",PRESENCES_INDEMNITES!$S$2:$S$501,"&lt;&gt;")&gt;0,"Anomalie détectée",IF(R173&gt;S173,"Dépassement budget indemnités","Conforme")))</f>
        <v/>
      </c>
      <c r="V173" t="str">
        <f t="shared" si="14"/>
        <v/>
      </c>
    </row>
    <row r="174" spans="1:22">
      <c r="A174">
        <f t="shared" si="10"/>
        <v>173</v>
      </c>
      <c r="C174" t="str">
        <f>+IFERROR(VLOOKUP(ControlePJTable[[#This Row],[Code activité]],'LISTES ACTIVITES'!$A$1:$B$38,2,FALSE()),"")</f>
        <v/>
      </c>
      <c r="D174" s="3"/>
      <c r="E174" s="3"/>
      <c r="F174" s="3"/>
      <c r="J174" s="5"/>
      <c r="K174" s="5"/>
      <c r="L174" s="5"/>
      <c r="M174" s="5" t="str">
        <f t="shared" si="11"/>
        <v/>
      </c>
      <c r="N174" s="5" t="str">
        <f t="shared" si="12"/>
        <v/>
      </c>
      <c r="Q174" t="str">
        <f t="shared" si="13"/>
        <v/>
      </c>
      <c r="R174" s="5" t="str">
        <f>IF(B174="","",SUMIFS(PRESENCES_INDEMNITES!$N$2:$N$501,PRESENCES_INDEMNITES!$B$2:$B$501,B174,PRESENCES_INDEMNITES!$S$2:$S$501,"CONFORME"))</f>
        <v/>
      </c>
      <c r="S174" s="5" t="str">
        <f>IF(B174="","",SUMIFS(REFERENTIEL_BUDGET!$J$2:$J$101,REFERENTIEL_BUDGET!$A$2:$A$101,B174,REFERENTIEL_BUDGET!$E$2:$E$101,"Indemnités participants"))</f>
        <v/>
      </c>
      <c r="T174" t="str">
        <f>IF(B174="","",IF(COUNTIFS(PRESENCES_INDEMNITES!$B$2:$B$501,B174,PRESENCES_INDEMNITES!$S$2:$S$501,"&lt;&gt;CONFORME",PRESENCES_INDEMNITES!$S$2:$S$501,"&lt;&gt;")&gt;0,"Anomalie détectée",IF(R174&gt;S174,"Dépassement budget indemnités","Conforme")))</f>
        <v/>
      </c>
      <c r="V174" t="str">
        <f t="shared" si="14"/>
        <v/>
      </c>
    </row>
    <row r="175" spans="1:22">
      <c r="A175">
        <f t="shared" si="10"/>
        <v>174</v>
      </c>
      <c r="C175" t="str">
        <f>+IFERROR(VLOOKUP(ControlePJTable[[#This Row],[Code activité]],'LISTES ACTIVITES'!$A$1:$B$38,2,FALSE()),"")</f>
        <v/>
      </c>
      <c r="D175" s="3"/>
      <c r="E175" s="3"/>
      <c r="F175" s="3"/>
      <c r="J175" s="5"/>
      <c r="K175" s="5"/>
      <c r="L175" s="5"/>
      <c r="M175" s="5" t="str">
        <f t="shared" si="11"/>
        <v/>
      </c>
      <c r="N175" s="5" t="str">
        <f t="shared" si="12"/>
        <v/>
      </c>
      <c r="Q175" t="str">
        <f t="shared" si="13"/>
        <v/>
      </c>
      <c r="R175" s="5" t="str">
        <f>IF(B175="","",SUMIFS(PRESENCES_INDEMNITES!$N$2:$N$501,PRESENCES_INDEMNITES!$B$2:$B$501,B175,PRESENCES_INDEMNITES!$S$2:$S$501,"CONFORME"))</f>
        <v/>
      </c>
      <c r="S175" s="5" t="str">
        <f>IF(B175="","",SUMIFS(REFERENTIEL_BUDGET!$J$2:$J$101,REFERENTIEL_BUDGET!$A$2:$A$101,B175,REFERENTIEL_BUDGET!$E$2:$E$101,"Indemnités participants"))</f>
        <v/>
      </c>
      <c r="T175" t="str">
        <f>IF(B175="","",IF(COUNTIFS(PRESENCES_INDEMNITES!$B$2:$B$501,B175,PRESENCES_INDEMNITES!$S$2:$S$501,"&lt;&gt;CONFORME",PRESENCES_INDEMNITES!$S$2:$S$501,"&lt;&gt;")&gt;0,"Anomalie détectée",IF(R175&gt;S175,"Dépassement budget indemnités","Conforme")))</f>
        <v/>
      </c>
      <c r="V175" t="str">
        <f t="shared" si="14"/>
        <v/>
      </c>
    </row>
    <row r="176" spans="1:22">
      <c r="A176">
        <f t="shared" si="10"/>
        <v>175</v>
      </c>
      <c r="C176" t="str">
        <f>+IFERROR(VLOOKUP(ControlePJTable[[#This Row],[Code activité]],'LISTES ACTIVITES'!$A$1:$B$38,2,FALSE()),"")</f>
        <v/>
      </c>
      <c r="D176" s="3"/>
      <c r="E176" s="3"/>
      <c r="F176" s="3"/>
      <c r="J176" s="5"/>
      <c r="K176" s="5"/>
      <c r="L176" s="5"/>
      <c r="M176" s="5" t="str">
        <f t="shared" si="11"/>
        <v/>
      </c>
      <c r="N176" s="5" t="str">
        <f t="shared" si="12"/>
        <v/>
      </c>
      <c r="Q176" t="str">
        <f t="shared" si="13"/>
        <v/>
      </c>
      <c r="R176" s="5" t="str">
        <f>IF(B176="","",SUMIFS(PRESENCES_INDEMNITES!$N$2:$N$501,PRESENCES_INDEMNITES!$B$2:$B$501,B176,PRESENCES_INDEMNITES!$S$2:$S$501,"CONFORME"))</f>
        <v/>
      </c>
      <c r="S176" s="5" t="str">
        <f>IF(B176="","",SUMIFS(REFERENTIEL_BUDGET!$J$2:$J$101,REFERENTIEL_BUDGET!$A$2:$A$101,B176,REFERENTIEL_BUDGET!$E$2:$E$101,"Indemnités participants"))</f>
        <v/>
      </c>
      <c r="T176" t="str">
        <f>IF(B176="","",IF(COUNTIFS(PRESENCES_INDEMNITES!$B$2:$B$501,B176,PRESENCES_INDEMNITES!$S$2:$S$501,"&lt;&gt;CONFORME",PRESENCES_INDEMNITES!$S$2:$S$501,"&lt;&gt;")&gt;0,"Anomalie détectée",IF(R176&gt;S176,"Dépassement budget indemnités","Conforme")))</f>
        <v/>
      </c>
      <c r="V176" t="str">
        <f t="shared" si="14"/>
        <v/>
      </c>
    </row>
    <row r="177" spans="1:22">
      <c r="A177">
        <f t="shared" si="10"/>
        <v>176</v>
      </c>
      <c r="C177" t="str">
        <f>+IFERROR(VLOOKUP(ControlePJTable[[#This Row],[Code activité]],'LISTES ACTIVITES'!$A$1:$B$38,2,FALSE()),"")</f>
        <v/>
      </c>
      <c r="D177" s="3"/>
      <c r="E177" s="3"/>
      <c r="F177" s="3"/>
      <c r="J177" s="5"/>
      <c r="K177" s="5"/>
      <c r="L177" s="5"/>
      <c r="M177" s="5" t="str">
        <f t="shared" si="11"/>
        <v/>
      </c>
      <c r="N177" s="5" t="str">
        <f t="shared" si="12"/>
        <v/>
      </c>
      <c r="Q177" t="str">
        <f t="shared" si="13"/>
        <v/>
      </c>
      <c r="R177" s="5" t="str">
        <f>IF(B177="","",SUMIFS(PRESENCES_INDEMNITES!$N$2:$N$501,PRESENCES_INDEMNITES!$B$2:$B$501,B177,PRESENCES_INDEMNITES!$S$2:$S$501,"CONFORME"))</f>
        <v/>
      </c>
      <c r="S177" s="5" t="str">
        <f>IF(B177="","",SUMIFS(REFERENTIEL_BUDGET!$J$2:$J$101,REFERENTIEL_BUDGET!$A$2:$A$101,B177,REFERENTIEL_BUDGET!$E$2:$E$101,"Indemnités participants"))</f>
        <v/>
      </c>
      <c r="T177" t="str">
        <f>IF(B177="","",IF(COUNTIFS(PRESENCES_INDEMNITES!$B$2:$B$501,B177,PRESENCES_INDEMNITES!$S$2:$S$501,"&lt;&gt;CONFORME",PRESENCES_INDEMNITES!$S$2:$S$501,"&lt;&gt;")&gt;0,"Anomalie détectée",IF(R177&gt;S177,"Dépassement budget indemnités","Conforme")))</f>
        <v/>
      </c>
      <c r="V177" t="str">
        <f t="shared" si="14"/>
        <v/>
      </c>
    </row>
    <row r="178" spans="1:22">
      <c r="A178">
        <f t="shared" si="10"/>
        <v>177</v>
      </c>
      <c r="C178" t="str">
        <f>+IFERROR(VLOOKUP(ControlePJTable[[#This Row],[Code activité]],'LISTES ACTIVITES'!$A$1:$B$38,2,FALSE()),"")</f>
        <v/>
      </c>
      <c r="D178" s="3"/>
      <c r="E178" s="3"/>
      <c r="F178" s="3"/>
      <c r="J178" s="5"/>
      <c r="K178" s="5"/>
      <c r="L178" s="5"/>
      <c r="M178" s="5" t="str">
        <f t="shared" si="11"/>
        <v/>
      </c>
      <c r="N178" s="5" t="str">
        <f t="shared" si="12"/>
        <v/>
      </c>
      <c r="Q178" t="str">
        <f t="shared" si="13"/>
        <v/>
      </c>
      <c r="R178" s="5" t="str">
        <f>IF(B178="","",SUMIFS(PRESENCES_INDEMNITES!$N$2:$N$501,PRESENCES_INDEMNITES!$B$2:$B$501,B178,PRESENCES_INDEMNITES!$S$2:$S$501,"CONFORME"))</f>
        <v/>
      </c>
      <c r="S178" s="5" t="str">
        <f>IF(B178="","",SUMIFS(REFERENTIEL_BUDGET!$J$2:$J$101,REFERENTIEL_BUDGET!$A$2:$A$101,B178,REFERENTIEL_BUDGET!$E$2:$E$101,"Indemnités participants"))</f>
        <v/>
      </c>
      <c r="T178" t="str">
        <f>IF(B178="","",IF(COUNTIFS(PRESENCES_INDEMNITES!$B$2:$B$501,B178,PRESENCES_INDEMNITES!$S$2:$S$501,"&lt;&gt;CONFORME",PRESENCES_INDEMNITES!$S$2:$S$501,"&lt;&gt;")&gt;0,"Anomalie détectée",IF(R178&gt;S178,"Dépassement budget indemnités","Conforme")))</f>
        <v/>
      </c>
      <c r="V178" t="str">
        <f t="shared" si="14"/>
        <v/>
      </c>
    </row>
    <row r="179" spans="1:22">
      <c r="A179">
        <f t="shared" si="10"/>
        <v>178</v>
      </c>
      <c r="C179" t="str">
        <f>+IFERROR(VLOOKUP(ControlePJTable[[#This Row],[Code activité]],'LISTES ACTIVITES'!$A$1:$B$38,2,FALSE()),"")</f>
        <v/>
      </c>
      <c r="D179" s="3"/>
      <c r="E179" s="3"/>
      <c r="F179" s="3"/>
      <c r="J179" s="5"/>
      <c r="K179" s="5"/>
      <c r="L179" s="5"/>
      <c r="M179" s="5" t="str">
        <f t="shared" si="11"/>
        <v/>
      </c>
      <c r="N179" s="5" t="str">
        <f t="shared" si="12"/>
        <v/>
      </c>
      <c r="Q179" t="str">
        <f t="shared" si="13"/>
        <v/>
      </c>
      <c r="R179" s="5" t="str">
        <f>IF(B179="","",SUMIFS(PRESENCES_INDEMNITES!$N$2:$N$501,PRESENCES_INDEMNITES!$B$2:$B$501,B179,PRESENCES_INDEMNITES!$S$2:$S$501,"CONFORME"))</f>
        <v/>
      </c>
      <c r="S179" s="5" t="str">
        <f>IF(B179="","",SUMIFS(REFERENTIEL_BUDGET!$J$2:$J$101,REFERENTIEL_BUDGET!$A$2:$A$101,B179,REFERENTIEL_BUDGET!$E$2:$E$101,"Indemnités participants"))</f>
        <v/>
      </c>
      <c r="T179" t="str">
        <f>IF(B179="","",IF(COUNTIFS(PRESENCES_INDEMNITES!$B$2:$B$501,B179,PRESENCES_INDEMNITES!$S$2:$S$501,"&lt;&gt;CONFORME",PRESENCES_INDEMNITES!$S$2:$S$501,"&lt;&gt;")&gt;0,"Anomalie détectée",IF(R179&gt;S179,"Dépassement budget indemnités","Conforme")))</f>
        <v/>
      </c>
      <c r="V179" t="str">
        <f t="shared" si="14"/>
        <v/>
      </c>
    </row>
    <row r="180" spans="1:22">
      <c r="A180">
        <f t="shared" si="10"/>
        <v>179</v>
      </c>
      <c r="C180" t="str">
        <f>+IFERROR(VLOOKUP(ControlePJTable[[#This Row],[Code activité]],'LISTES ACTIVITES'!$A$1:$B$38,2,FALSE()),"")</f>
        <v/>
      </c>
      <c r="D180" s="3"/>
      <c r="E180" s="3"/>
      <c r="F180" s="3"/>
      <c r="J180" s="5"/>
      <c r="K180" s="5"/>
      <c r="L180" s="5"/>
      <c r="M180" s="5" t="str">
        <f t="shared" si="11"/>
        <v/>
      </c>
      <c r="N180" s="5" t="str">
        <f t="shared" si="12"/>
        <v/>
      </c>
      <c r="Q180" t="str">
        <f t="shared" si="13"/>
        <v/>
      </c>
      <c r="R180" s="5" t="str">
        <f>IF(B180="","",SUMIFS(PRESENCES_INDEMNITES!$N$2:$N$501,PRESENCES_INDEMNITES!$B$2:$B$501,B180,PRESENCES_INDEMNITES!$S$2:$S$501,"CONFORME"))</f>
        <v/>
      </c>
      <c r="S180" s="5" t="str">
        <f>IF(B180="","",SUMIFS(REFERENTIEL_BUDGET!$J$2:$J$101,REFERENTIEL_BUDGET!$A$2:$A$101,B180,REFERENTIEL_BUDGET!$E$2:$E$101,"Indemnités participants"))</f>
        <v/>
      </c>
      <c r="T180" t="str">
        <f>IF(B180="","",IF(COUNTIFS(PRESENCES_INDEMNITES!$B$2:$B$501,B180,PRESENCES_INDEMNITES!$S$2:$S$501,"&lt;&gt;CONFORME",PRESENCES_INDEMNITES!$S$2:$S$501,"&lt;&gt;")&gt;0,"Anomalie détectée",IF(R180&gt;S180,"Dépassement budget indemnités","Conforme")))</f>
        <v/>
      </c>
      <c r="V180" t="str">
        <f t="shared" si="14"/>
        <v/>
      </c>
    </row>
    <row r="181" spans="1:22">
      <c r="A181">
        <f t="shared" si="10"/>
        <v>180</v>
      </c>
      <c r="C181" t="str">
        <f>+IFERROR(VLOOKUP(ControlePJTable[[#This Row],[Code activité]],'LISTES ACTIVITES'!$A$1:$B$38,2,FALSE()),"")</f>
        <v/>
      </c>
      <c r="D181" s="3"/>
      <c r="E181" s="3"/>
      <c r="F181" s="3"/>
      <c r="J181" s="5"/>
      <c r="K181" s="5"/>
      <c r="L181" s="5"/>
      <c r="M181" s="5" t="str">
        <f t="shared" si="11"/>
        <v/>
      </c>
      <c r="N181" s="5" t="str">
        <f t="shared" si="12"/>
        <v/>
      </c>
      <c r="Q181" t="str">
        <f t="shared" si="13"/>
        <v/>
      </c>
      <c r="R181" s="5" t="str">
        <f>IF(B181="","",SUMIFS(PRESENCES_INDEMNITES!$N$2:$N$501,PRESENCES_INDEMNITES!$B$2:$B$501,B181,PRESENCES_INDEMNITES!$S$2:$S$501,"CONFORME"))</f>
        <v/>
      </c>
      <c r="S181" s="5" t="str">
        <f>IF(B181="","",SUMIFS(REFERENTIEL_BUDGET!$J$2:$J$101,REFERENTIEL_BUDGET!$A$2:$A$101,B181,REFERENTIEL_BUDGET!$E$2:$E$101,"Indemnités participants"))</f>
        <v/>
      </c>
      <c r="T181" t="str">
        <f>IF(B181="","",IF(COUNTIFS(PRESENCES_INDEMNITES!$B$2:$B$501,B181,PRESENCES_INDEMNITES!$S$2:$S$501,"&lt;&gt;CONFORME",PRESENCES_INDEMNITES!$S$2:$S$501,"&lt;&gt;")&gt;0,"Anomalie détectée",IF(R181&gt;S181,"Dépassement budget indemnités","Conforme")))</f>
        <v/>
      </c>
      <c r="V181" t="str">
        <f t="shared" si="14"/>
        <v/>
      </c>
    </row>
    <row r="182" spans="1:22">
      <c r="A182">
        <f t="shared" si="10"/>
        <v>181</v>
      </c>
      <c r="C182" t="str">
        <f>+IFERROR(VLOOKUP(ControlePJTable[[#This Row],[Code activité]],'LISTES ACTIVITES'!$A$1:$B$38,2,FALSE()),"")</f>
        <v/>
      </c>
      <c r="D182" s="3"/>
      <c r="E182" s="3"/>
      <c r="F182" s="3"/>
      <c r="J182" s="5"/>
      <c r="K182" s="5"/>
      <c r="L182" s="5"/>
      <c r="M182" s="5" t="str">
        <f t="shared" si="11"/>
        <v/>
      </c>
      <c r="N182" s="5" t="str">
        <f t="shared" si="12"/>
        <v/>
      </c>
      <c r="Q182" t="str">
        <f t="shared" si="13"/>
        <v/>
      </c>
      <c r="R182" s="5" t="str">
        <f>IF(B182="","",SUMIFS(PRESENCES_INDEMNITES!$N$2:$N$501,PRESENCES_INDEMNITES!$B$2:$B$501,B182,PRESENCES_INDEMNITES!$S$2:$S$501,"CONFORME"))</f>
        <v/>
      </c>
      <c r="S182" s="5" t="str">
        <f>IF(B182="","",SUMIFS(REFERENTIEL_BUDGET!$J$2:$J$101,REFERENTIEL_BUDGET!$A$2:$A$101,B182,REFERENTIEL_BUDGET!$E$2:$E$101,"Indemnités participants"))</f>
        <v/>
      </c>
      <c r="T182" t="str">
        <f>IF(B182="","",IF(COUNTIFS(PRESENCES_INDEMNITES!$B$2:$B$501,B182,PRESENCES_INDEMNITES!$S$2:$S$501,"&lt;&gt;CONFORME",PRESENCES_INDEMNITES!$S$2:$S$501,"&lt;&gt;")&gt;0,"Anomalie détectée",IF(R182&gt;S182,"Dépassement budget indemnités","Conforme")))</f>
        <v/>
      </c>
      <c r="V182" t="str">
        <f t="shared" si="14"/>
        <v/>
      </c>
    </row>
    <row r="183" spans="1:22">
      <c r="A183">
        <f t="shared" si="10"/>
        <v>182</v>
      </c>
      <c r="C183" t="str">
        <f>+IFERROR(VLOOKUP(ControlePJTable[[#This Row],[Code activité]],'LISTES ACTIVITES'!$A$1:$B$38,2,FALSE()),"")</f>
        <v/>
      </c>
      <c r="D183" s="3"/>
      <c r="E183" s="3"/>
      <c r="F183" s="3"/>
      <c r="J183" s="5"/>
      <c r="K183" s="5"/>
      <c r="L183" s="5"/>
      <c r="M183" s="5" t="str">
        <f t="shared" si="11"/>
        <v/>
      </c>
      <c r="N183" s="5" t="str">
        <f t="shared" si="12"/>
        <v/>
      </c>
      <c r="Q183" t="str">
        <f t="shared" si="13"/>
        <v/>
      </c>
      <c r="R183" s="5" t="str">
        <f>IF(B183="","",SUMIFS(PRESENCES_INDEMNITES!$N$2:$N$501,PRESENCES_INDEMNITES!$B$2:$B$501,B183,PRESENCES_INDEMNITES!$S$2:$S$501,"CONFORME"))</f>
        <v/>
      </c>
      <c r="S183" s="5" t="str">
        <f>IF(B183="","",SUMIFS(REFERENTIEL_BUDGET!$J$2:$J$101,REFERENTIEL_BUDGET!$A$2:$A$101,B183,REFERENTIEL_BUDGET!$E$2:$E$101,"Indemnités participants"))</f>
        <v/>
      </c>
      <c r="T183" t="str">
        <f>IF(B183="","",IF(COUNTIFS(PRESENCES_INDEMNITES!$B$2:$B$501,B183,PRESENCES_INDEMNITES!$S$2:$S$501,"&lt;&gt;CONFORME",PRESENCES_INDEMNITES!$S$2:$S$501,"&lt;&gt;")&gt;0,"Anomalie détectée",IF(R183&gt;S183,"Dépassement budget indemnités","Conforme")))</f>
        <v/>
      </c>
      <c r="V183" t="str">
        <f t="shared" si="14"/>
        <v/>
      </c>
    </row>
    <row r="184" spans="1:22">
      <c r="A184">
        <f t="shared" si="10"/>
        <v>183</v>
      </c>
      <c r="C184" t="str">
        <f>+IFERROR(VLOOKUP(ControlePJTable[[#This Row],[Code activité]],'LISTES ACTIVITES'!$A$1:$B$38,2,FALSE()),"")</f>
        <v/>
      </c>
      <c r="D184" s="3"/>
      <c r="E184" s="3"/>
      <c r="F184" s="3"/>
      <c r="J184" s="5"/>
      <c r="K184" s="5"/>
      <c r="L184" s="5"/>
      <c r="M184" s="5" t="str">
        <f t="shared" si="11"/>
        <v/>
      </c>
      <c r="N184" s="5" t="str">
        <f t="shared" si="12"/>
        <v/>
      </c>
      <c r="Q184" t="str">
        <f t="shared" si="13"/>
        <v/>
      </c>
      <c r="R184" s="5" t="str">
        <f>IF(B184="","",SUMIFS(PRESENCES_INDEMNITES!$N$2:$N$501,PRESENCES_INDEMNITES!$B$2:$B$501,B184,PRESENCES_INDEMNITES!$S$2:$S$501,"CONFORME"))</f>
        <v/>
      </c>
      <c r="S184" s="5" t="str">
        <f>IF(B184="","",SUMIFS(REFERENTIEL_BUDGET!$J$2:$J$101,REFERENTIEL_BUDGET!$A$2:$A$101,B184,REFERENTIEL_BUDGET!$E$2:$E$101,"Indemnités participants"))</f>
        <v/>
      </c>
      <c r="T184" t="str">
        <f>IF(B184="","",IF(COUNTIFS(PRESENCES_INDEMNITES!$B$2:$B$501,B184,PRESENCES_INDEMNITES!$S$2:$S$501,"&lt;&gt;CONFORME",PRESENCES_INDEMNITES!$S$2:$S$501,"&lt;&gt;")&gt;0,"Anomalie détectée",IF(R184&gt;S184,"Dépassement budget indemnités","Conforme")))</f>
        <v/>
      </c>
      <c r="V184" t="str">
        <f t="shared" si="14"/>
        <v/>
      </c>
    </row>
    <row r="185" spans="1:22">
      <c r="A185">
        <f t="shared" si="10"/>
        <v>184</v>
      </c>
      <c r="C185" t="str">
        <f>+IFERROR(VLOOKUP(ControlePJTable[[#This Row],[Code activité]],'LISTES ACTIVITES'!$A$1:$B$38,2,FALSE()),"")</f>
        <v/>
      </c>
      <c r="D185" s="3"/>
      <c r="E185" s="3"/>
      <c r="F185" s="3"/>
      <c r="J185" s="5"/>
      <c r="K185" s="5"/>
      <c r="L185" s="5"/>
      <c r="M185" s="5" t="str">
        <f t="shared" si="11"/>
        <v/>
      </c>
      <c r="N185" s="5" t="str">
        <f t="shared" si="12"/>
        <v/>
      </c>
      <c r="Q185" t="str">
        <f t="shared" si="13"/>
        <v/>
      </c>
      <c r="R185" s="5" t="str">
        <f>IF(B185="","",SUMIFS(PRESENCES_INDEMNITES!$N$2:$N$501,PRESENCES_INDEMNITES!$B$2:$B$501,B185,PRESENCES_INDEMNITES!$S$2:$S$501,"CONFORME"))</f>
        <v/>
      </c>
      <c r="S185" s="5" t="str">
        <f>IF(B185="","",SUMIFS(REFERENTIEL_BUDGET!$J$2:$J$101,REFERENTIEL_BUDGET!$A$2:$A$101,B185,REFERENTIEL_BUDGET!$E$2:$E$101,"Indemnités participants"))</f>
        <v/>
      </c>
      <c r="T185" t="str">
        <f>IF(B185="","",IF(COUNTIFS(PRESENCES_INDEMNITES!$B$2:$B$501,B185,PRESENCES_INDEMNITES!$S$2:$S$501,"&lt;&gt;CONFORME",PRESENCES_INDEMNITES!$S$2:$S$501,"&lt;&gt;")&gt;0,"Anomalie détectée",IF(R185&gt;S185,"Dépassement budget indemnités","Conforme")))</f>
        <v/>
      </c>
      <c r="V185" t="str">
        <f t="shared" si="14"/>
        <v/>
      </c>
    </row>
    <row r="186" spans="1:22">
      <c r="A186">
        <f t="shared" si="10"/>
        <v>185</v>
      </c>
      <c r="C186" t="str">
        <f>+IFERROR(VLOOKUP(ControlePJTable[[#This Row],[Code activité]],'LISTES ACTIVITES'!$A$1:$B$38,2,FALSE()),"")</f>
        <v/>
      </c>
      <c r="D186" s="3"/>
      <c r="E186" s="3"/>
      <c r="F186" s="3"/>
      <c r="J186" s="5"/>
      <c r="K186" s="5"/>
      <c r="L186" s="5"/>
      <c r="M186" s="5" t="str">
        <f t="shared" si="11"/>
        <v/>
      </c>
      <c r="N186" s="5" t="str">
        <f t="shared" si="12"/>
        <v/>
      </c>
      <c r="Q186" t="str">
        <f t="shared" si="13"/>
        <v/>
      </c>
      <c r="R186" s="5" t="str">
        <f>IF(B186="","",SUMIFS(PRESENCES_INDEMNITES!$N$2:$N$501,PRESENCES_INDEMNITES!$B$2:$B$501,B186,PRESENCES_INDEMNITES!$S$2:$S$501,"CONFORME"))</f>
        <v/>
      </c>
      <c r="S186" s="5" t="str">
        <f>IF(B186="","",SUMIFS(REFERENTIEL_BUDGET!$J$2:$J$101,REFERENTIEL_BUDGET!$A$2:$A$101,B186,REFERENTIEL_BUDGET!$E$2:$E$101,"Indemnités participants"))</f>
        <v/>
      </c>
      <c r="T186" t="str">
        <f>IF(B186="","",IF(COUNTIFS(PRESENCES_INDEMNITES!$B$2:$B$501,B186,PRESENCES_INDEMNITES!$S$2:$S$501,"&lt;&gt;CONFORME",PRESENCES_INDEMNITES!$S$2:$S$501,"&lt;&gt;")&gt;0,"Anomalie détectée",IF(R186&gt;S186,"Dépassement budget indemnités","Conforme")))</f>
        <v/>
      </c>
      <c r="V186" t="str">
        <f t="shared" si="14"/>
        <v/>
      </c>
    </row>
    <row r="187" spans="1:22">
      <c r="A187">
        <f t="shared" si="10"/>
        <v>186</v>
      </c>
      <c r="C187" t="str">
        <f>+IFERROR(VLOOKUP(ControlePJTable[[#This Row],[Code activité]],'LISTES ACTIVITES'!$A$1:$B$38,2,FALSE()),"")</f>
        <v/>
      </c>
      <c r="D187" s="3"/>
      <c r="E187" s="3"/>
      <c r="F187" s="3"/>
      <c r="J187" s="5"/>
      <c r="K187" s="5"/>
      <c r="L187" s="5"/>
      <c r="M187" s="5" t="str">
        <f t="shared" si="11"/>
        <v/>
      </c>
      <c r="N187" s="5" t="str">
        <f t="shared" si="12"/>
        <v/>
      </c>
      <c r="Q187" t="str">
        <f t="shared" si="13"/>
        <v/>
      </c>
      <c r="R187" s="5" t="str">
        <f>IF(B187="","",SUMIFS(PRESENCES_INDEMNITES!$N$2:$N$501,PRESENCES_INDEMNITES!$B$2:$B$501,B187,PRESENCES_INDEMNITES!$S$2:$S$501,"CONFORME"))</f>
        <v/>
      </c>
      <c r="S187" s="5" t="str">
        <f>IF(B187="","",SUMIFS(REFERENTIEL_BUDGET!$J$2:$J$101,REFERENTIEL_BUDGET!$A$2:$A$101,B187,REFERENTIEL_BUDGET!$E$2:$E$101,"Indemnités participants"))</f>
        <v/>
      </c>
      <c r="T187" t="str">
        <f>IF(B187="","",IF(COUNTIFS(PRESENCES_INDEMNITES!$B$2:$B$501,B187,PRESENCES_INDEMNITES!$S$2:$S$501,"&lt;&gt;CONFORME",PRESENCES_INDEMNITES!$S$2:$S$501,"&lt;&gt;")&gt;0,"Anomalie détectée",IF(R187&gt;S187,"Dépassement budget indemnités","Conforme")))</f>
        <v/>
      </c>
      <c r="V187" t="str">
        <f t="shared" si="14"/>
        <v/>
      </c>
    </row>
    <row r="188" spans="1:22">
      <c r="A188">
        <f t="shared" si="10"/>
        <v>187</v>
      </c>
      <c r="C188" t="str">
        <f>+IFERROR(VLOOKUP(ControlePJTable[[#This Row],[Code activité]],'LISTES ACTIVITES'!$A$1:$B$38,2,FALSE()),"")</f>
        <v/>
      </c>
      <c r="D188" s="3"/>
      <c r="E188" s="3"/>
      <c r="F188" s="3"/>
      <c r="J188" s="5"/>
      <c r="K188" s="5"/>
      <c r="L188" s="5"/>
      <c r="M188" s="5" t="str">
        <f t="shared" si="11"/>
        <v/>
      </c>
      <c r="N188" s="5" t="str">
        <f t="shared" si="12"/>
        <v/>
      </c>
      <c r="Q188" t="str">
        <f t="shared" si="13"/>
        <v/>
      </c>
      <c r="R188" s="5" t="str">
        <f>IF(B188="","",SUMIFS(PRESENCES_INDEMNITES!$N$2:$N$501,PRESENCES_INDEMNITES!$B$2:$B$501,B188,PRESENCES_INDEMNITES!$S$2:$S$501,"CONFORME"))</f>
        <v/>
      </c>
      <c r="S188" s="5" t="str">
        <f>IF(B188="","",SUMIFS(REFERENTIEL_BUDGET!$J$2:$J$101,REFERENTIEL_BUDGET!$A$2:$A$101,B188,REFERENTIEL_BUDGET!$E$2:$E$101,"Indemnités participants"))</f>
        <v/>
      </c>
      <c r="T188" t="str">
        <f>IF(B188="","",IF(COUNTIFS(PRESENCES_INDEMNITES!$B$2:$B$501,B188,PRESENCES_INDEMNITES!$S$2:$S$501,"&lt;&gt;CONFORME",PRESENCES_INDEMNITES!$S$2:$S$501,"&lt;&gt;")&gt;0,"Anomalie détectée",IF(R188&gt;S188,"Dépassement budget indemnités","Conforme")))</f>
        <v/>
      </c>
      <c r="V188" t="str">
        <f t="shared" si="14"/>
        <v/>
      </c>
    </row>
    <row r="189" spans="1:22">
      <c r="A189">
        <f t="shared" si="10"/>
        <v>188</v>
      </c>
      <c r="C189" t="str">
        <f>+IFERROR(VLOOKUP(ControlePJTable[[#This Row],[Code activité]],'LISTES ACTIVITES'!$A$1:$B$38,2,FALSE()),"")</f>
        <v/>
      </c>
      <c r="D189" s="3"/>
      <c r="E189" s="3"/>
      <c r="F189" s="3"/>
      <c r="J189" s="5"/>
      <c r="K189" s="5"/>
      <c r="L189" s="5"/>
      <c r="M189" s="5" t="str">
        <f t="shared" si="11"/>
        <v/>
      </c>
      <c r="N189" s="5" t="str">
        <f t="shared" si="12"/>
        <v/>
      </c>
      <c r="Q189" t="str">
        <f t="shared" si="13"/>
        <v/>
      </c>
      <c r="R189" s="5" t="str">
        <f>IF(B189="","",SUMIFS(PRESENCES_INDEMNITES!$N$2:$N$501,PRESENCES_INDEMNITES!$B$2:$B$501,B189,PRESENCES_INDEMNITES!$S$2:$S$501,"CONFORME"))</f>
        <v/>
      </c>
      <c r="S189" s="5" t="str">
        <f>IF(B189="","",SUMIFS(REFERENTIEL_BUDGET!$J$2:$J$101,REFERENTIEL_BUDGET!$A$2:$A$101,B189,REFERENTIEL_BUDGET!$E$2:$E$101,"Indemnités participants"))</f>
        <v/>
      </c>
      <c r="T189" t="str">
        <f>IF(B189="","",IF(COUNTIFS(PRESENCES_INDEMNITES!$B$2:$B$501,B189,PRESENCES_INDEMNITES!$S$2:$S$501,"&lt;&gt;CONFORME",PRESENCES_INDEMNITES!$S$2:$S$501,"&lt;&gt;")&gt;0,"Anomalie détectée",IF(R189&gt;S189,"Dépassement budget indemnités","Conforme")))</f>
        <v/>
      </c>
      <c r="V189" t="str">
        <f t="shared" si="14"/>
        <v/>
      </c>
    </row>
    <row r="190" spans="1:22">
      <c r="A190">
        <f t="shared" si="10"/>
        <v>189</v>
      </c>
      <c r="C190" t="str">
        <f>+IFERROR(VLOOKUP(ControlePJTable[[#This Row],[Code activité]],'LISTES ACTIVITES'!$A$1:$B$38,2,FALSE()),"")</f>
        <v/>
      </c>
      <c r="D190" s="3"/>
      <c r="E190" s="3"/>
      <c r="F190" s="3"/>
      <c r="J190" s="5"/>
      <c r="K190" s="5"/>
      <c r="L190" s="5"/>
      <c r="M190" s="5" t="str">
        <f t="shared" si="11"/>
        <v/>
      </c>
      <c r="N190" s="5" t="str">
        <f t="shared" si="12"/>
        <v/>
      </c>
      <c r="Q190" t="str">
        <f t="shared" si="13"/>
        <v/>
      </c>
      <c r="R190" s="5" t="str">
        <f>IF(B190="","",SUMIFS(PRESENCES_INDEMNITES!$N$2:$N$501,PRESENCES_INDEMNITES!$B$2:$B$501,B190,PRESENCES_INDEMNITES!$S$2:$S$501,"CONFORME"))</f>
        <v/>
      </c>
      <c r="S190" s="5" t="str">
        <f>IF(B190="","",SUMIFS(REFERENTIEL_BUDGET!$J$2:$J$101,REFERENTIEL_BUDGET!$A$2:$A$101,B190,REFERENTIEL_BUDGET!$E$2:$E$101,"Indemnités participants"))</f>
        <v/>
      </c>
      <c r="T190" t="str">
        <f>IF(B190="","",IF(COUNTIFS(PRESENCES_INDEMNITES!$B$2:$B$501,B190,PRESENCES_INDEMNITES!$S$2:$S$501,"&lt;&gt;CONFORME",PRESENCES_INDEMNITES!$S$2:$S$501,"&lt;&gt;")&gt;0,"Anomalie détectée",IF(R190&gt;S190,"Dépassement budget indemnités","Conforme")))</f>
        <v/>
      </c>
      <c r="V190" t="str">
        <f t="shared" si="14"/>
        <v/>
      </c>
    </row>
    <row r="191" spans="1:22">
      <c r="A191">
        <f t="shared" si="10"/>
        <v>190</v>
      </c>
      <c r="C191" t="str">
        <f>+IFERROR(VLOOKUP(ControlePJTable[[#This Row],[Code activité]],'LISTES ACTIVITES'!$A$1:$B$38,2,FALSE()),"")</f>
        <v/>
      </c>
      <c r="D191" s="3"/>
      <c r="E191" s="3"/>
      <c r="F191" s="3"/>
      <c r="J191" s="5"/>
      <c r="K191" s="5"/>
      <c r="L191" s="5"/>
      <c r="M191" s="5" t="str">
        <f t="shared" si="11"/>
        <v/>
      </c>
      <c r="N191" s="5" t="str">
        <f t="shared" si="12"/>
        <v/>
      </c>
      <c r="Q191" t="str">
        <f t="shared" si="13"/>
        <v/>
      </c>
      <c r="R191" s="5" t="str">
        <f>IF(B191="","",SUMIFS(PRESENCES_INDEMNITES!$N$2:$N$501,PRESENCES_INDEMNITES!$B$2:$B$501,B191,PRESENCES_INDEMNITES!$S$2:$S$501,"CONFORME"))</f>
        <v/>
      </c>
      <c r="S191" s="5" t="str">
        <f>IF(B191="","",SUMIFS(REFERENTIEL_BUDGET!$J$2:$J$101,REFERENTIEL_BUDGET!$A$2:$A$101,B191,REFERENTIEL_BUDGET!$E$2:$E$101,"Indemnités participants"))</f>
        <v/>
      </c>
      <c r="T191" t="str">
        <f>IF(B191="","",IF(COUNTIFS(PRESENCES_INDEMNITES!$B$2:$B$501,B191,PRESENCES_INDEMNITES!$S$2:$S$501,"&lt;&gt;CONFORME",PRESENCES_INDEMNITES!$S$2:$S$501,"&lt;&gt;")&gt;0,"Anomalie détectée",IF(R191&gt;S191,"Dépassement budget indemnités","Conforme")))</f>
        <v/>
      </c>
      <c r="V191" t="str">
        <f t="shared" si="14"/>
        <v/>
      </c>
    </row>
    <row r="192" spans="1:22">
      <c r="A192">
        <f t="shared" si="10"/>
        <v>191</v>
      </c>
      <c r="C192" t="str">
        <f>+IFERROR(VLOOKUP(ControlePJTable[[#This Row],[Code activité]],'LISTES ACTIVITES'!$A$1:$B$38,2,FALSE()),"")</f>
        <v/>
      </c>
      <c r="D192" s="3"/>
      <c r="E192" s="3"/>
      <c r="F192" s="3"/>
      <c r="J192" s="5"/>
      <c r="K192" s="5"/>
      <c r="L192" s="5"/>
      <c r="M192" s="5" t="str">
        <f t="shared" si="11"/>
        <v/>
      </c>
      <c r="N192" s="5" t="str">
        <f t="shared" si="12"/>
        <v/>
      </c>
      <c r="Q192" t="str">
        <f t="shared" si="13"/>
        <v/>
      </c>
      <c r="R192" s="5" t="str">
        <f>IF(B192="","",SUMIFS(PRESENCES_INDEMNITES!$N$2:$N$501,PRESENCES_INDEMNITES!$B$2:$B$501,B192,PRESENCES_INDEMNITES!$S$2:$S$501,"CONFORME"))</f>
        <v/>
      </c>
      <c r="S192" s="5" t="str">
        <f>IF(B192="","",SUMIFS(REFERENTIEL_BUDGET!$J$2:$J$101,REFERENTIEL_BUDGET!$A$2:$A$101,B192,REFERENTIEL_BUDGET!$E$2:$E$101,"Indemnités participants"))</f>
        <v/>
      </c>
      <c r="T192" t="str">
        <f>IF(B192="","",IF(COUNTIFS(PRESENCES_INDEMNITES!$B$2:$B$501,B192,PRESENCES_INDEMNITES!$S$2:$S$501,"&lt;&gt;CONFORME",PRESENCES_INDEMNITES!$S$2:$S$501,"&lt;&gt;")&gt;0,"Anomalie détectée",IF(R192&gt;S192,"Dépassement budget indemnités","Conforme")))</f>
        <v/>
      </c>
      <c r="V192" t="str">
        <f t="shared" si="14"/>
        <v/>
      </c>
    </row>
    <row r="193" spans="1:22">
      <c r="A193">
        <f t="shared" si="10"/>
        <v>192</v>
      </c>
      <c r="C193" t="str">
        <f>+IFERROR(VLOOKUP(ControlePJTable[[#This Row],[Code activité]],'LISTES ACTIVITES'!$A$1:$B$38,2,FALSE()),"")</f>
        <v/>
      </c>
      <c r="D193" s="3"/>
      <c r="E193" s="3"/>
      <c r="F193" s="3"/>
      <c r="J193" s="5"/>
      <c r="K193" s="5"/>
      <c r="L193" s="5"/>
      <c r="M193" s="5" t="str">
        <f t="shared" si="11"/>
        <v/>
      </c>
      <c r="N193" s="5" t="str">
        <f t="shared" si="12"/>
        <v/>
      </c>
      <c r="Q193" t="str">
        <f t="shared" si="13"/>
        <v/>
      </c>
      <c r="R193" s="5" t="str">
        <f>IF(B193="","",SUMIFS(PRESENCES_INDEMNITES!$N$2:$N$501,PRESENCES_INDEMNITES!$B$2:$B$501,B193,PRESENCES_INDEMNITES!$S$2:$S$501,"CONFORME"))</f>
        <v/>
      </c>
      <c r="S193" s="5" t="str">
        <f>IF(B193="","",SUMIFS(REFERENTIEL_BUDGET!$J$2:$J$101,REFERENTIEL_BUDGET!$A$2:$A$101,B193,REFERENTIEL_BUDGET!$E$2:$E$101,"Indemnités participants"))</f>
        <v/>
      </c>
      <c r="T193" t="str">
        <f>IF(B193="","",IF(COUNTIFS(PRESENCES_INDEMNITES!$B$2:$B$501,B193,PRESENCES_INDEMNITES!$S$2:$S$501,"&lt;&gt;CONFORME",PRESENCES_INDEMNITES!$S$2:$S$501,"&lt;&gt;")&gt;0,"Anomalie détectée",IF(R193&gt;S193,"Dépassement budget indemnités","Conforme")))</f>
        <v/>
      </c>
      <c r="V193" t="str">
        <f t="shared" si="14"/>
        <v/>
      </c>
    </row>
    <row r="194" spans="1:22">
      <c r="A194">
        <f t="shared" ref="A194:A257" si="15">ROW()-1</f>
        <v>193</v>
      </c>
      <c r="C194" t="str">
        <f>+IFERROR(VLOOKUP(ControlePJTable[[#This Row],[Code activité]],'LISTES ACTIVITES'!$A$1:$B$38,2,FALSE()),"")</f>
        <v/>
      </c>
      <c r="D194" s="3"/>
      <c r="E194" s="3"/>
      <c r="F194" s="3"/>
      <c r="J194" s="5"/>
      <c r="K194" s="5"/>
      <c r="L194" s="5"/>
      <c r="M194" s="5" t="str">
        <f t="shared" ref="M194:M257" si="16">IF(OR(J194="",K194=""),"",K194-J194)</f>
        <v/>
      </c>
      <c r="N194" s="5" t="str">
        <f t="shared" ref="N194:N257" si="17">IF(OR(K194="",L194=""),"",L194-K194)</f>
        <v/>
      </c>
      <c r="Q194" t="str">
        <f t="shared" ref="Q194:Q258" si="18">IF(OR(D194="",E194="",F194=""),"",IF(AND(F194&gt;=D194,E194&lt;=F194),"Oui","Non"))</f>
        <v/>
      </c>
      <c r="R194" s="5" t="str">
        <f>IF(B194="","",SUMIFS(PRESENCES_INDEMNITES!$N$2:$N$501,PRESENCES_INDEMNITES!$B$2:$B$501,B194,PRESENCES_INDEMNITES!$S$2:$S$501,"CONFORME"))</f>
        <v/>
      </c>
      <c r="S194" s="5" t="str">
        <f>IF(B194="","",SUMIFS(REFERENTIEL_BUDGET!$J$2:$J$101,REFERENTIEL_BUDGET!$A$2:$A$101,B194,REFERENTIEL_BUDGET!$E$2:$E$101,"Indemnités participants"))</f>
        <v/>
      </c>
      <c r="T194" t="str">
        <f>IF(B194="","",IF(COUNTIFS(PRESENCES_INDEMNITES!$B$2:$B$501,B194,PRESENCES_INDEMNITES!$S$2:$S$501,"&lt;&gt;CONFORME",PRESENCES_INDEMNITES!$S$2:$S$501,"&lt;&gt;")&gt;0,"Anomalie détectée",IF(R194&gt;S194,"Dépassement budget indemnités","Conforme")))</f>
        <v/>
      </c>
      <c r="V194" t="str">
        <f t="shared" ref="V194:V257" si="19">IF(O194="Non","PJ non reçue",IF(O194="","",IF(Q194="Non","Date PJ non conforme",IF(OR(M194&gt;0,N194&lt;&gt;0,P194="Non",T194="Anomalie détectée",T194="Dépassement budget indemnités"),"Non conforme",IF(P194="À vérifier","À vérifier","Conforme")))))</f>
        <v/>
      </c>
    </row>
    <row r="195" spans="1:22">
      <c r="A195">
        <f t="shared" si="15"/>
        <v>194</v>
      </c>
      <c r="C195" t="str">
        <f>+IFERROR(VLOOKUP(ControlePJTable[[#This Row],[Code activité]],'LISTES ACTIVITES'!$A$1:$B$38,2,FALSE()),"")</f>
        <v/>
      </c>
      <c r="D195" s="3"/>
      <c r="E195" s="3"/>
      <c r="F195" s="3"/>
      <c r="J195" s="5"/>
      <c r="K195" s="5"/>
      <c r="L195" s="5"/>
      <c r="M195" s="5" t="str">
        <f t="shared" si="16"/>
        <v/>
      </c>
      <c r="N195" s="5" t="str">
        <f t="shared" si="17"/>
        <v/>
      </c>
      <c r="Q195" t="str">
        <f t="shared" si="18"/>
        <v/>
      </c>
      <c r="R195" s="5" t="str">
        <f>IF(B195="","",SUMIFS(PRESENCES_INDEMNITES!$N$2:$N$501,PRESENCES_INDEMNITES!$B$2:$B$501,B195,PRESENCES_INDEMNITES!$S$2:$S$501,"CONFORME"))</f>
        <v/>
      </c>
      <c r="S195" s="5" t="str">
        <f>IF(B195="","",SUMIFS(REFERENTIEL_BUDGET!$J$2:$J$101,REFERENTIEL_BUDGET!$A$2:$A$101,B195,REFERENTIEL_BUDGET!$E$2:$E$101,"Indemnités participants"))</f>
        <v/>
      </c>
      <c r="T195" t="str">
        <f>IF(B195="","",IF(COUNTIFS(PRESENCES_INDEMNITES!$B$2:$B$501,B195,PRESENCES_INDEMNITES!$S$2:$S$501,"&lt;&gt;CONFORME",PRESENCES_INDEMNITES!$S$2:$S$501,"&lt;&gt;")&gt;0,"Anomalie détectée",IF(R195&gt;S195,"Dépassement budget indemnités","Conforme")))</f>
        <v/>
      </c>
      <c r="V195" t="str">
        <f t="shared" si="19"/>
        <v/>
      </c>
    </row>
    <row r="196" spans="1:22">
      <c r="A196">
        <f t="shared" si="15"/>
        <v>195</v>
      </c>
      <c r="C196" t="str">
        <f>+IFERROR(VLOOKUP(ControlePJTable[[#This Row],[Code activité]],'LISTES ACTIVITES'!$A$1:$B$38,2,FALSE()),"")</f>
        <v/>
      </c>
      <c r="D196" s="3"/>
      <c r="E196" s="3"/>
      <c r="F196" s="3"/>
      <c r="J196" s="5"/>
      <c r="K196" s="5"/>
      <c r="L196" s="5"/>
      <c r="M196" s="5" t="str">
        <f t="shared" si="16"/>
        <v/>
      </c>
      <c r="N196" s="5" t="str">
        <f t="shared" si="17"/>
        <v/>
      </c>
      <c r="Q196" t="str">
        <f t="shared" si="18"/>
        <v/>
      </c>
      <c r="R196" s="5" t="str">
        <f>IF(B196="","",SUMIFS(PRESENCES_INDEMNITES!$N$2:$N$501,PRESENCES_INDEMNITES!$B$2:$B$501,B196,PRESENCES_INDEMNITES!$S$2:$S$501,"CONFORME"))</f>
        <v/>
      </c>
      <c r="S196" s="5" t="str">
        <f>IF(B196="","",SUMIFS(REFERENTIEL_BUDGET!$J$2:$J$101,REFERENTIEL_BUDGET!$A$2:$A$101,B196,REFERENTIEL_BUDGET!$E$2:$E$101,"Indemnités participants"))</f>
        <v/>
      </c>
      <c r="T196" t="str">
        <f>IF(B196="","",IF(COUNTIFS(PRESENCES_INDEMNITES!$B$2:$B$501,B196,PRESENCES_INDEMNITES!$S$2:$S$501,"&lt;&gt;CONFORME",PRESENCES_INDEMNITES!$S$2:$S$501,"&lt;&gt;")&gt;0,"Anomalie détectée",IF(R196&gt;S196,"Dépassement budget indemnités","Conforme")))</f>
        <v/>
      </c>
      <c r="V196" t="str">
        <f t="shared" si="19"/>
        <v/>
      </c>
    </row>
    <row r="197" spans="1:22">
      <c r="A197">
        <f t="shared" si="15"/>
        <v>196</v>
      </c>
      <c r="C197" t="str">
        <f>+IFERROR(VLOOKUP(ControlePJTable[[#This Row],[Code activité]],'LISTES ACTIVITES'!$A$1:$B$38,2,FALSE()),"")</f>
        <v/>
      </c>
      <c r="D197" s="3"/>
      <c r="E197" s="3"/>
      <c r="F197" s="3"/>
      <c r="J197" s="5"/>
      <c r="K197" s="5"/>
      <c r="L197" s="5"/>
      <c r="M197" s="5" t="str">
        <f t="shared" si="16"/>
        <v/>
      </c>
      <c r="N197" s="5" t="str">
        <f t="shared" si="17"/>
        <v/>
      </c>
      <c r="Q197" t="str">
        <f t="shared" si="18"/>
        <v/>
      </c>
      <c r="R197" s="5" t="str">
        <f>IF(B197="","",SUMIFS(PRESENCES_INDEMNITES!$N$2:$N$501,PRESENCES_INDEMNITES!$B$2:$B$501,B197,PRESENCES_INDEMNITES!$S$2:$S$501,"CONFORME"))</f>
        <v/>
      </c>
      <c r="S197" s="5" t="str">
        <f>IF(B197="","",SUMIFS(REFERENTIEL_BUDGET!$J$2:$J$101,REFERENTIEL_BUDGET!$A$2:$A$101,B197,REFERENTIEL_BUDGET!$E$2:$E$101,"Indemnités participants"))</f>
        <v/>
      </c>
      <c r="T197" t="str">
        <f>IF(B197="","",IF(COUNTIFS(PRESENCES_INDEMNITES!$B$2:$B$501,B197,PRESENCES_INDEMNITES!$S$2:$S$501,"&lt;&gt;CONFORME",PRESENCES_INDEMNITES!$S$2:$S$501,"&lt;&gt;")&gt;0,"Anomalie détectée",IF(R197&gt;S197,"Dépassement budget indemnités","Conforme")))</f>
        <v/>
      </c>
      <c r="V197" t="str">
        <f t="shared" si="19"/>
        <v/>
      </c>
    </row>
    <row r="198" spans="1:22">
      <c r="A198">
        <f t="shared" si="15"/>
        <v>197</v>
      </c>
      <c r="C198" t="str">
        <f>+IFERROR(VLOOKUP(ControlePJTable[[#This Row],[Code activité]],'LISTES ACTIVITES'!$A$1:$B$38,2,FALSE()),"")</f>
        <v/>
      </c>
      <c r="D198" s="3"/>
      <c r="E198" s="3"/>
      <c r="F198" s="3"/>
      <c r="J198" s="5"/>
      <c r="K198" s="5"/>
      <c r="L198" s="5"/>
      <c r="M198" s="5" t="str">
        <f t="shared" si="16"/>
        <v/>
      </c>
      <c r="N198" s="5" t="str">
        <f t="shared" si="17"/>
        <v/>
      </c>
      <c r="Q198" t="str">
        <f t="shared" si="18"/>
        <v/>
      </c>
      <c r="R198" s="5" t="str">
        <f>IF(B198="","",SUMIFS(PRESENCES_INDEMNITES!$N$2:$N$501,PRESENCES_INDEMNITES!$B$2:$B$501,B198,PRESENCES_INDEMNITES!$S$2:$S$501,"CONFORME"))</f>
        <v/>
      </c>
      <c r="S198" s="5" t="str">
        <f>IF(B198="","",SUMIFS(REFERENTIEL_BUDGET!$J$2:$J$101,REFERENTIEL_BUDGET!$A$2:$A$101,B198,REFERENTIEL_BUDGET!$E$2:$E$101,"Indemnités participants"))</f>
        <v/>
      </c>
      <c r="T198" t="str">
        <f>IF(B198="","",IF(COUNTIFS(PRESENCES_INDEMNITES!$B$2:$B$501,B198,PRESENCES_INDEMNITES!$S$2:$S$501,"&lt;&gt;CONFORME",PRESENCES_INDEMNITES!$S$2:$S$501,"&lt;&gt;")&gt;0,"Anomalie détectée",IF(R198&gt;S198,"Dépassement budget indemnités","Conforme")))</f>
        <v/>
      </c>
      <c r="V198" t="str">
        <f t="shared" si="19"/>
        <v/>
      </c>
    </row>
    <row r="199" spans="1:22">
      <c r="A199">
        <f t="shared" si="15"/>
        <v>198</v>
      </c>
      <c r="C199" t="str">
        <f>+IFERROR(VLOOKUP(ControlePJTable[[#This Row],[Code activité]],'LISTES ACTIVITES'!$A$1:$B$38,2,FALSE()),"")</f>
        <v/>
      </c>
      <c r="D199" s="3"/>
      <c r="E199" s="3"/>
      <c r="F199" s="3"/>
      <c r="J199" s="5"/>
      <c r="K199" s="5"/>
      <c r="L199" s="5"/>
      <c r="M199" s="5" t="str">
        <f t="shared" si="16"/>
        <v/>
      </c>
      <c r="N199" s="5" t="str">
        <f t="shared" si="17"/>
        <v/>
      </c>
      <c r="Q199" t="str">
        <f t="shared" si="18"/>
        <v/>
      </c>
      <c r="R199" s="5" t="str">
        <f>IF(B199="","",SUMIFS(PRESENCES_INDEMNITES!$N$2:$N$501,PRESENCES_INDEMNITES!$B$2:$B$501,B199,PRESENCES_INDEMNITES!$S$2:$S$501,"CONFORME"))</f>
        <v/>
      </c>
      <c r="S199" s="5" t="str">
        <f>IF(B199="","",SUMIFS(REFERENTIEL_BUDGET!$J$2:$J$101,REFERENTIEL_BUDGET!$A$2:$A$101,B199,REFERENTIEL_BUDGET!$E$2:$E$101,"Indemnités participants"))</f>
        <v/>
      </c>
      <c r="T199" t="str">
        <f>IF(B199="","",IF(COUNTIFS(PRESENCES_INDEMNITES!$B$2:$B$501,B199,PRESENCES_INDEMNITES!$S$2:$S$501,"&lt;&gt;CONFORME",PRESENCES_INDEMNITES!$S$2:$S$501,"&lt;&gt;")&gt;0,"Anomalie détectée",IF(R199&gt;S199,"Dépassement budget indemnités","Conforme")))</f>
        <v/>
      </c>
      <c r="V199" t="str">
        <f t="shared" si="19"/>
        <v/>
      </c>
    </row>
    <row r="200" spans="1:22">
      <c r="A200">
        <f t="shared" si="15"/>
        <v>199</v>
      </c>
      <c r="C200" t="str">
        <f>+IFERROR(VLOOKUP(ControlePJTable[[#This Row],[Code activité]],'LISTES ACTIVITES'!$A$1:$B$38,2,FALSE()),"")</f>
        <v/>
      </c>
      <c r="D200" s="3"/>
      <c r="E200" s="3"/>
      <c r="F200" s="3"/>
      <c r="J200" s="5"/>
      <c r="K200" s="5"/>
      <c r="L200" s="5"/>
      <c r="M200" s="5" t="str">
        <f t="shared" si="16"/>
        <v/>
      </c>
      <c r="N200" s="5" t="str">
        <f t="shared" si="17"/>
        <v/>
      </c>
      <c r="Q200" t="str">
        <f t="shared" si="18"/>
        <v/>
      </c>
      <c r="R200" s="5" t="str">
        <f>IF(B200="","",SUMIFS(PRESENCES_INDEMNITES!$N$2:$N$501,PRESENCES_INDEMNITES!$B$2:$B$501,B200,PRESENCES_INDEMNITES!$S$2:$S$501,"CONFORME"))</f>
        <v/>
      </c>
      <c r="S200" s="5" t="str">
        <f>IF(B200="","",SUMIFS(REFERENTIEL_BUDGET!$J$2:$J$101,REFERENTIEL_BUDGET!$A$2:$A$101,B200,REFERENTIEL_BUDGET!$E$2:$E$101,"Indemnités participants"))</f>
        <v/>
      </c>
      <c r="T200" t="str">
        <f>IF(B200="","",IF(COUNTIFS(PRESENCES_INDEMNITES!$B$2:$B$501,B200,PRESENCES_INDEMNITES!$S$2:$S$501,"&lt;&gt;CONFORME",PRESENCES_INDEMNITES!$S$2:$S$501,"&lt;&gt;")&gt;0,"Anomalie détectée",IF(R200&gt;S200,"Dépassement budget indemnités","Conforme")))</f>
        <v/>
      </c>
      <c r="V200" t="str">
        <f t="shared" si="19"/>
        <v/>
      </c>
    </row>
    <row r="201" spans="1:22">
      <c r="A201">
        <f t="shared" si="15"/>
        <v>200</v>
      </c>
      <c r="C201" t="str">
        <f>+IFERROR(VLOOKUP(ControlePJTable[[#This Row],[Code activité]],'LISTES ACTIVITES'!$A$1:$B$38,2,FALSE()),"")</f>
        <v/>
      </c>
      <c r="D201" s="3"/>
      <c r="E201" s="3"/>
      <c r="F201" s="3"/>
      <c r="J201" s="5"/>
      <c r="K201" s="5"/>
      <c r="L201" s="5"/>
      <c r="M201" s="5" t="str">
        <f t="shared" si="16"/>
        <v/>
      </c>
      <c r="N201" s="5" t="str">
        <f t="shared" si="17"/>
        <v/>
      </c>
      <c r="Q201" t="str">
        <f t="shared" si="18"/>
        <v/>
      </c>
      <c r="R201" s="5" t="str">
        <f>IF(B201="","",SUMIFS(PRESENCES_INDEMNITES!$N$2:$N$501,PRESENCES_INDEMNITES!$B$2:$B$501,B201,PRESENCES_INDEMNITES!$S$2:$S$501,"CONFORME"))</f>
        <v/>
      </c>
      <c r="S201" s="5" t="str">
        <f>IF(B201="","",SUMIFS(REFERENTIEL_BUDGET!$J$2:$J$101,REFERENTIEL_BUDGET!$A$2:$A$101,B201,REFERENTIEL_BUDGET!$E$2:$E$101,"Indemnités participants"))</f>
        <v/>
      </c>
      <c r="T201" t="str">
        <f>IF(B201="","",IF(COUNTIFS(PRESENCES_INDEMNITES!$B$2:$B$501,B201,PRESENCES_INDEMNITES!$S$2:$S$501,"&lt;&gt;CONFORME",PRESENCES_INDEMNITES!$S$2:$S$501,"&lt;&gt;")&gt;0,"Anomalie détectée",IF(R201&gt;S201,"Dépassement budget indemnités","Conforme")))</f>
        <v/>
      </c>
      <c r="V201" t="str">
        <f t="shared" si="19"/>
        <v/>
      </c>
    </row>
    <row r="202" spans="1:22">
      <c r="A202">
        <f t="shared" si="15"/>
        <v>201</v>
      </c>
      <c r="C202" t="str">
        <f>+IFERROR(VLOOKUP(ControlePJTable[[#This Row],[Code activité]],'LISTES ACTIVITES'!$A$1:$B$38,2,FALSE()),"")</f>
        <v/>
      </c>
      <c r="D202" s="3"/>
      <c r="E202" s="3"/>
      <c r="F202" s="3"/>
      <c r="J202" s="5"/>
      <c r="K202" s="5"/>
      <c r="L202" s="5"/>
      <c r="M202" s="5" t="str">
        <f t="shared" si="16"/>
        <v/>
      </c>
      <c r="N202" s="5" t="str">
        <f t="shared" si="17"/>
        <v/>
      </c>
      <c r="Q202" t="str">
        <f t="shared" si="18"/>
        <v/>
      </c>
      <c r="R202" s="5" t="str">
        <f>IF(B202="","",SUMIFS(PRESENCES_INDEMNITES!$N$2:$N$501,PRESENCES_INDEMNITES!$B$2:$B$501,B202,PRESENCES_INDEMNITES!$S$2:$S$501,"CONFORME"))</f>
        <v/>
      </c>
      <c r="S202" s="5" t="str">
        <f>IF(B202="","",SUMIFS(REFERENTIEL_BUDGET!$J$2:$J$101,REFERENTIEL_BUDGET!$A$2:$A$101,B202,REFERENTIEL_BUDGET!$E$2:$E$101,"Indemnités participants"))</f>
        <v/>
      </c>
      <c r="T202" t="str">
        <f>IF(B202="","",IF(COUNTIFS(PRESENCES_INDEMNITES!$B$2:$B$501,B202,PRESENCES_INDEMNITES!$S$2:$S$501,"&lt;&gt;CONFORME",PRESENCES_INDEMNITES!$S$2:$S$501,"&lt;&gt;")&gt;0,"Anomalie détectée",IF(R202&gt;S202,"Dépassement budget indemnités","Conforme")))</f>
        <v/>
      </c>
      <c r="V202" t="str">
        <f t="shared" si="19"/>
        <v/>
      </c>
    </row>
    <row r="203" spans="1:22">
      <c r="A203">
        <f t="shared" si="15"/>
        <v>202</v>
      </c>
      <c r="C203" t="str">
        <f>+IFERROR(VLOOKUP(ControlePJTable[[#This Row],[Code activité]],'LISTES ACTIVITES'!$A$1:$B$38,2,FALSE()),"")</f>
        <v/>
      </c>
      <c r="D203" s="3"/>
      <c r="E203" s="3"/>
      <c r="F203" s="3"/>
      <c r="J203" s="5"/>
      <c r="K203" s="5"/>
      <c r="L203" s="5"/>
      <c r="M203" s="5" t="str">
        <f t="shared" si="16"/>
        <v/>
      </c>
      <c r="N203" s="5" t="str">
        <f t="shared" si="17"/>
        <v/>
      </c>
      <c r="Q203" t="str">
        <f t="shared" si="18"/>
        <v/>
      </c>
      <c r="R203" s="5" t="str">
        <f>IF(B203="","",SUMIFS(PRESENCES_INDEMNITES!$N$2:$N$501,PRESENCES_INDEMNITES!$B$2:$B$501,B203,PRESENCES_INDEMNITES!$S$2:$S$501,"CONFORME"))</f>
        <v/>
      </c>
      <c r="S203" s="5" t="str">
        <f>IF(B203="","",SUMIFS(REFERENTIEL_BUDGET!$J$2:$J$101,REFERENTIEL_BUDGET!$A$2:$A$101,B203,REFERENTIEL_BUDGET!$E$2:$E$101,"Indemnités participants"))</f>
        <v/>
      </c>
      <c r="T203" t="str">
        <f>IF(B203="","",IF(COUNTIFS(PRESENCES_INDEMNITES!$B$2:$B$501,B203,PRESENCES_INDEMNITES!$S$2:$S$501,"&lt;&gt;CONFORME",PRESENCES_INDEMNITES!$S$2:$S$501,"&lt;&gt;")&gt;0,"Anomalie détectée",IF(R203&gt;S203,"Dépassement budget indemnités","Conforme")))</f>
        <v/>
      </c>
      <c r="V203" t="str">
        <f t="shared" si="19"/>
        <v/>
      </c>
    </row>
    <row r="204" spans="1:22">
      <c r="A204">
        <f t="shared" si="15"/>
        <v>203</v>
      </c>
      <c r="C204" t="str">
        <f>+IFERROR(VLOOKUP(ControlePJTable[[#This Row],[Code activité]],'LISTES ACTIVITES'!$A$1:$B$38,2,FALSE()),"")</f>
        <v/>
      </c>
      <c r="D204" s="3"/>
      <c r="E204" s="3"/>
      <c r="F204" s="3"/>
      <c r="J204" s="5"/>
      <c r="K204" s="5"/>
      <c r="L204" s="5"/>
      <c r="M204" s="5" t="str">
        <f t="shared" si="16"/>
        <v/>
      </c>
      <c r="N204" s="5" t="str">
        <f t="shared" si="17"/>
        <v/>
      </c>
      <c r="Q204" t="str">
        <f t="shared" si="18"/>
        <v/>
      </c>
      <c r="R204" s="5" t="str">
        <f>IF(B204="","",SUMIFS(PRESENCES_INDEMNITES!$N$2:$N$501,PRESENCES_INDEMNITES!$B$2:$B$501,B204,PRESENCES_INDEMNITES!$S$2:$S$501,"CONFORME"))</f>
        <v/>
      </c>
      <c r="S204" s="5" t="str">
        <f>IF(B204="","",SUMIFS(REFERENTIEL_BUDGET!$J$2:$J$101,REFERENTIEL_BUDGET!$A$2:$A$101,B204,REFERENTIEL_BUDGET!$E$2:$E$101,"Indemnités participants"))</f>
        <v/>
      </c>
      <c r="T204" t="str">
        <f>IF(B204="","",IF(COUNTIFS(PRESENCES_INDEMNITES!$B$2:$B$501,B204,PRESENCES_INDEMNITES!$S$2:$S$501,"&lt;&gt;CONFORME",PRESENCES_INDEMNITES!$S$2:$S$501,"&lt;&gt;")&gt;0,"Anomalie détectée",IF(R204&gt;S204,"Dépassement budget indemnités","Conforme")))</f>
        <v/>
      </c>
      <c r="V204" t="str">
        <f t="shared" si="19"/>
        <v/>
      </c>
    </row>
    <row r="205" spans="1:22">
      <c r="A205">
        <f t="shared" si="15"/>
        <v>204</v>
      </c>
      <c r="C205" t="str">
        <f>+IFERROR(VLOOKUP(ControlePJTable[[#This Row],[Code activité]],'LISTES ACTIVITES'!$A$1:$B$38,2,FALSE()),"")</f>
        <v/>
      </c>
      <c r="D205" s="3"/>
      <c r="E205" s="3"/>
      <c r="F205" s="3"/>
      <c r="J205" s="5"/>
      <c r="K205" s="5"/>
      <c r="L205" s="5"/>
      <c r="M205" s="5" t="str">
        <f t="shared" si="16"/>
        <v/>
      </c>
      <c r="N205" s="5" t="str">
        <f t="shared" si="17"/>
        <v/>
      </c>
      <c r="Q205" t="str">
        <f t="shared" si="18"/>
        <v/>
      </c>
      <c r="R205" s="5" t="str">
        <f>IF(B205="","",SUMIFS(PRESENCES_INDEMNITES!$N$2:$N$501,PRESENCES_INDEMNITES!$B$2:$B$501,B205,PRESENCES_INDEMNITES!$S$2:$S$501,"CONFORME"))</f>
        <v/>
      </c>
      <c r="S205" s="5" t="str">
        <f>IF(B205="","",SUMIFS(REFERENTIEL_BUDGET!$J$2:$J$101,REFERENTIEL_BUDGET!$A$2:$A$101,B205,REFERENTIEL_BUDGET!$E$2:$E$101,"Indemnités participants"))</f>
        <v/>
      </c>
      <c r="T205" t="str">
        <f>IF(B205="","",IF(COUNTIFS(PRESENCES_INDEMNITES!$B$2:$B$501,B205,PRESENCES_INDEMNITES!$S$2:$S$501,"&lt;&gt;CONFORME",PRESENCES_INDEMNITES!$S$2:$S$501,"&lt;&gt;")&gt;0,"Anomalie détectée",IF(R205&gt;S205,"Dépassement budget indemnités","Conforme")))</f>
        <v/>
      </c>
      <c r="V205" t="str">
        <f t="shared" si="19"/>
        <v/>
      </c>
    </row>
    <row r="206" spans="1:22">
      <c r="A206">
        <f t="shared" si="15"/>
        <v>205</v>
      </c>
      <c r="C206" t="str">
        <f>+IFERROR(VLOOKUP(ControlePJTable[[#This Row],[Code activité]],'LISTES ACTIVITES'!$A$1:$B$38,2,FALSE()),"")</f>
        <v/>
      </c>
      <c r="D206" s="3"/>
      <c r="E206" s="3"/>
      <c r="F206" s="3"/>
      <c r="J206" s="5"/>
      <c r="K206" s="5"/>
      <c r="L206" s="5"/>
      <c r="M206" s="5" t="str">
        <f t="shared" si="16"/>
        <v/>
      </c>
      <c r="N206" s="5" t="str">
        <f t="shared" si="17"/>
        <v/>
      </c>
      <c r="Q206" t="str">
        <f t="shared" si="18"/>
        <v/>
      </c>
      <c r="R206" s="5" t="str">
        <f>IF(B206="","",SUMIFS(PRESENCES_INDEMNITES!$N$2:$N$501,PRESENCES_INDEMNITES!$B$2:$B$501,B206,PRESENCES_INDEMNITES!$S$2:$S$501,"CONFORME"))</f>
        <v/>
      </c>
      <c r="S206" s="5" t="str">
        <f>IF(B206="","",SUMIFS(REFERENTIEL_BUDGET!$J$2:$J$101,REFERENTIEL_BUDGET!$A$2:$A$101,B206,REFERENTIEL_BUDGET!$E$2:$E$101,"Indemnités participants"))</f>
        <v/>
      </c>
      <c r="T206" t="str">
        <f>IF(B206="","",IF(COUNTIFS(PRESENCES_INDEMNITES!$B$2:$B$501,B206,PRESENCES_INDEMNITES!$S$2:$S$501,"&lt;&gt;CONFORME",PRESENCES_INDEMNITES!$S$2:$S$501,"&lt;&gt;")&gt;0,"Anomalie détectée",IF(R206&gt;S206,"Dépassement budget indemnités","Conforme")))</f>
        <v/>
      </c>
      <c r="V206" t="str">
        <f t="shared" si="19"/>
        <v/>
      </c>
    </row>
    <row r="207" spans="1:22">
      <c r="A207">
        <f t="shared" si="15"/>
        <v>206</v>
      </c>
      <c r="C207" t="str">
        <f>+IFERROR(VLOOKUP(ControlePJTable[[#This Row],[Code activité]],'LISTES ACTIVITES'!$A$1:$B$38,2,FALSE()),"")</f>
        <v/>
      </c>
      <c r="D207" s="3"/>
      <c r="E207" s="3"/>
      <c r="F207" s="3"/>
      <c r="J207" s="5"/>
      <c r="K207" s="5"/>
      <c r="L207" s="5"/>
      <c r="M207" s="5" t="str">
        <f t="shared" si="16"/>
        <v/>
      </c>
      <c r="N207" s="5" t="str">
        <f t="shared" si="17"/>
        <v/>
      </c>
      <c r="Q207" t="str">
        <f t="shared" si="18"/>
        <v/>
      </c>
      <c r="R207" s="5" t="str">
        <f>IF(B207="","",SUMIFS(PRESENCES_INDEMNITES!$N$2:$N$501,PRESENCES_INDEMNITES!$B$2:$B$501,B207,PRESENCES_INDEMNITES!$S$2:$S$501,"CONFORME"))</f>
        <v/>
      </c>
      <c r="S207" s="5" t="str">
        <f>IF(B207="","",SUMIFS(REFERENTIEL_BUDGET!$J$2:$J$101,REFERENTIEL_BUDGET!$A$2:$A$101,B207,REFERENTIEL_BUDGET!$E$2:$E$101,"Indemnités participants"))</f>
        <v/>
      </c>
      <c r="T207" t="str">
        <f>IF(B207="","",IF(COUNTIFS(PRESENCES_INDEMNITES!$B$2:$B$501,B207,PRESENCES_INDEMNITES!$S$2:$S$501,"&lt;&gt;CONFORME",PRESENCES_INDEMNITES!$S$2:$S$501,"&lt;&gt;")&gt;0,"Anomalie détectée",IF(R207&gt;S207,"Dépassement budget indemnités","Conforme")))</f>
        <v/>
      </c>
      <c r="V207" t="str">
        <f t="shared" si="19"/>
        <v/>
      </c>
    </row>
    <row r="208" spans="1:22">
      <c r="A208">
        <f t="shared" si="15"/>
        <v>207</v>
      </c>
      <c r="C208" t="str">
        <f>+IFERROR(VLOOKUP(ControlePJTable[[#This Row],[Code activité]],'LISTES ACTIVITES'!$A$1:$B$38,2,FALSE()),"")</f>
        <v/>
      </c>
      <c r="D208" s="3"/>
      <c r="E208" s="3"/>
      <c r="F208" s="3"/>
      <c r="J208" s="5"/>
      <c r="K208" s="5"/>
      <c r="L208" s="5"/>
      <c r="M208" s="5" t="str">
        <f t="shared" si="16"/>
        <v/>
      </c>
      <c r="N208" s="5" t="str">
        <f t="shared" si="17"/>
        <v/>
      </c>
      <c r="Q208" t="str">
        <f t="shared" si="18"/>
        <v/>
      </c>
      <c r="R208" s="5" t="str">
        <f>IF(B208="","",SUMIFS(PRESENCES_INDEMNITES!$N$2:$N$501,PRESENCES_INDEMNITES!$B$2:$B$501,B208,PRESENCES_INDEMNITES!$S$2:$S$501,"CONFORME"))</f>
        <v/>
      </c>
      <c r="S208" s="5" t="str">
        <f>IF(B208="","",SUMIFS(REFERENTIEL_BUDGET!$J$2:$J$101,REFERENTIEL_BUDGET!$A$2:$A$101,B208,REFERENTIEL_BUDGET!$E$2:$E$101,"Indemnités participants"))</f>
        <v/>
      </c>
      <c r="T208" t="str">
        <f>IF(B208="","",IF(COUNTIFS(PRESENCES_INDEMNITES!$B$2:$B$501,B208,PRESENCES_INDEMNITES!$S$2:$S$501,"&lt;&gt;CONFORME",PRESENCES_INDEMNITES!$S$2:$S$501,"&lt;&gt;")&gt;0,"Anomalie détectée",IF(R208&gt;S208,"Dépassement budget indemnités","Conforme")))</f>
        <v/>
      </c>
      <c r="V208" t="str">
        <f t="shared" si="19"/>
        <v/>
      </c>
    </row>
    <row r="209" spans="1:22">
      <c r="A209">
        <f t="shared" si="15"/>
        <v>208</v>
      </c>
      <c r="C209" t="str">
        <f>+IFERROR(VLOOKUP(ControlePJTable[[#This Row],[Code activité]],'LISTES ACTIVITES'!$A$1:$B$38,2,FALSE()),"")</f>
        <v/>
      </c>
      <c r="D209" s="3"/>
      <c r="E209" s="3"/>
      <c r="F209" s="3"/>
      <c r="J209" s="5"/>
      <c r="K209" s="5"/>
      <c r="L209" s="5"/>
      <c r="M209" s="5" t="str">
        <f t="shared" si="16"/>
        <v/>
      </c>
      <c r="N209" s="5" t="str">
        <f t="shared" si="17"/>
        <v/>
      </c>
      <c r="Q209" t="str">
        <f t="shared" si="18"/>
        <v/>
      </c>
      <c r="R209" s="5" t="str">
        <f>IF(B209="","",SUMIFS(PRESENCES_INDEMNITES!$N$2:$N$501,PRESENCES_INDEMNITES!$B$2:$B$501,B209,PRESENCES_INDEMNITES!$S$2:$S$501,"CONFORME"))</f>
        <v/>
      </c>
      <c r="S209" s="5" t="str">
        <f>IF(B209="","",SUMIFS(REFERENTIEL_BUDGET!$J$2:$J$101,REFERENTIEL_BUDGET!$A$2:$A$101,B209,REFERENTIEL_BUDGET!$E$2:$E$101,"Indemnités participants"))</f>
        <v/>
      </c>
      <c r="T209" t="str">
        <f>IF(B209="","",IF(COUNTIFS(PRESENCES_INDEMNITES!$B$2:$B$501,B209,PRESENCES_INDEMNITES!$S$2:$S$501,"&lt;&gt;CONFORME",PRESENCES_INDEMNITES!$S$2:$S$501,"&lt;&gt;")&gt;0,"Anomalie détectée",IF(R209&gt;S209,"Dépassement budget indemnités","Conforme")))</f>
        <v/>
      </c>
      <c r="V209" t="str">
        <f t="shared" si="19"/>
        <v/>
      </c>
    </row>
    <row r="210" spans="1:22">
      <c r="A210">
        <f t="shared" si="15"/>
        <v>209</v>
      </c>
      <c r="C210" t="str">
        <f>+IFERROR(VLOOKUP(ControlePJTable[[#This Row],[Code activité]],'LISTES ACTIVITES'!$A$1:$B$38,2,FALSE()),"")</f>
        <v/>
      </c>
      <c r="D210" s="3"/>
      <c r="E210" s="3"/>
      <c r="F210" s="3"/>
      <c r="J210" s="5"/>
      <c r="K210" s="5"/>
      <c r="L210" s="5"/>
      <c r="M210" s="5" t="str">
        <f t="shared" si="16"/>
        <v/>
      </c>
      <c r="N210" s="5" t="str">
        <f t="shared" si="17"/>
        <v/>
      </c>
      <c r="Q210" t="str">
        <f t="shared" si="18"/>
        <v/>
      </c>
      <c r="R210" s="5" t="str">
        <f>IF(B210="","",SUMIFS(PRESENCES_INDEMNITES!$N$2:$N$501,PRESENCES_INDEMNITES!$B$2:$B$501,B210,PRESENCES_INDEMNITES!$S$2:$S$501,"CONFORME"))</f>
        <v/>
      </c>
      <c r="S210" s="5" t="str">
        <f>IF(B210="","",SUMIFS(REFERENTIEL_BUDGET!$J$2:$J$101,REFERENTIEL_BUDGET!$A$2:$A$101,B210,REFERENTIEL_BUDGET!$E$2:$E$101,"Indemnités participants"))</f>
        <v/>
      </c>
      <c r="T210" t="str">
        <f>IF(B210="","",IF(COUNTIFS(PRESENCES_INDEMNITES!$B$2:$B$501,B210,PRESENCES_INDEMNITES!$S$2:$S$501,"&lt;&gt;CONFORME",PRESENCES_INDEMNITES!$S$2:$S$501,"&lt;&gt;")&gt;0,"Anomalie détectée",IF(R210&gt;S210,"Dépassement budget indemnités","Conforme")))</f>
        <v/>
      </c>
      <c r="V210" t="str">
        <f t="shared" si="19"/>
        <v/>
      </c>
    </row>
    <row r="211" spans="1:22">
      <c r="A211">
        <f t="shared" si="15"/>
        <v>210</v>
      </c>
      <c r="C211" t="str">
        <f>+IFERROR(VLOOKUP(ControlePJTable[[#This Row],[Code activité]],'LISTES ACTIVITES'!$A$1:$B$38,2,FALSE()),"")</f>
        <v/>
      </c>
      <c r="D211" s="3"/>
      <c r="E211" s="3"/>
      <c r="F211" s="3"/>
      <c r="J211" s="5"/>
      <c r="K211" s="5"/>
      <c r="L211" s="5"/>
      <c r="M211" s="5" t="str">
        <f t="shared" si="16"/>
        <v/>
      </c>
      <c r="N211" s="5" t="str">
        <f t="shared" si="17"/>
        <v/>
      </c>
      <c r="Q211" t="str">
        <f t="shared" si="18"/>
        <v/>
      </c>
      <c r="R211" s="5" t="str">
        <f>IF(B211="","",SUMIFS(PRESENCES_INDEMNITES!$N$2:$N$501,PRESENCES_INDEMNITES!$B$2:$B$501,B211,PRESENCES_INDEMNITES!$S$2:$S$501,"CONFORME"))</f>
        <v/>
      </c>
      <c r="S211" s="5" t="str">
        <f>IF(B211="","",SUMIFS(REFERENTIEL_BUDGET!$J$2:$J$101,REFERENTIEL_BUDGET!$A$2:$A$101,B211,REFERENTIEL_BUDGET!$E$2:$E$101,"Indemnités participants"))</f>
        <v/>
      </c>
      <c r="T211" t="str">
        <f>IF(B211="","",IF(COUNTIFS(PRESENCES_INDEMNITES!$B$2:$B$501,B211,PRESENCES_INDEMNITES!$S$2:$S$501,"&lt;&gt;CONFORME",PRESENCES_INDEMNITES!$S$2:$S$501,"&lt;&gt;")&gt;0,"Anomalie détectée",IF(R211&gt;S211,"Dépassement budget indemnités","Conforme")))</f>
        <v/>
      </c>
      <c r="V211" t="str">
        <f t="shared" si="19"/>
        <v/>
      </c>
    </row>
    <row r="212" spans="1:22">
      <c r="A212">
        <f t="shared" si="15"/>
        <v>211</v>
      </c>
      <c r="C212" t="str">
        <f>+IFERROR(VLOOKUP(ControlePJTable[[#This Row],[Code activité]],'LISTES ACTIVITES'!$A$1:$B$38,2,FALSE()),"")</f>
        <v/>
      </c>
      <c r="D212" s="3"/>
      <c r="E212" s="3"/>
      <c r="F212" s="3"/>
      <c r="J212" s="5"/>
      <c r="K212" s="5"/>
      <c r="L212" s="5"/>
      <c r="M212" s="5" t="str">
        <f t="shared" si="16"/>
        <v/>
      </c>
      <c r="N212" s="5" t="str">
        <f t="shared" si="17"/>
        <v/>
      </c>
      <c r="Q212" t="str">
        <f t="shared" si="18"/>
        <v/>
      </c>
      <c r="R212" s="5" t="str">
        <f>IF(B212="","",SUMIFS(PRESENCES_INDEMNITES!$N$2:$N$501,PRESENCES_INDEMNITES!$B$2:$B$501,B212,PRESENCES_INDEMNITES!$S$2:$S$501,"CONFORME"))</f>
        <v/>
      </c>
      <c r="S212" s="5" t="str">
        <f>IF(B212="","",SUMIFS(REFERENTIEL_BUDGET!$J$2:$J$101,REFERENTIEL_BUDGET!$A$2:$A$101,B212,REFERENTIEL_BUDGET!$E$2:$E$101,"Indemnités participants"))</f>
        <v/>
      </c>
      <c r="T212" t="str">
        <f>IF(B212="","",IF(COUNTIFS(PRESENCES_INDEMNITES!$B$2:$B$501,B212,PRESENCES_INDEMNITES!$S$2:$S$501,"&lt;&gt;CONFORME",PRESENCES_INDEMNITES!$S$2:$S$501,"&lt;&gt;")&gt;0,"Anomalie détectée",IF(R212&gt;S212,"Dépassement budget indemnités","Conforme")))</f>
        <v/>
      </c>
      <c r="V212" t="str">
        <f t="shared" si="19"/>
        <v/>
      </c>
    </row>
    <row r="213" spans="1:22">
      <c r="A213">
        <f t="shared" si="15"/>
        <v>212</v>
      </c>
      <c r="C213" t="str">
        <f>+IFERROR(VLOOKUP(ControlePJTable[[#This Row],[Code activité]],'LISTES ACTIVITES'!$A$1:$B$38,2,FALSE()),"")</f>
        <v/>
      </c>
      <c r="D213" s="3"/>
      <c r="E213" s="3"/>
      <c r="F213" s="3"/>
      <c r="J213" s="5"/>
      <c r="K213" s="5"/>
      <c r="L213" s="5"/>
      <c r="M213" s="5" t="str">
        <f t="shared" si="16"/>
        <v/>
      </c>
      <c r="N213" s="5" t="str">
        <f t="shared" si="17"/>
        <v/>
      </c>
      <c r="Q213" t="str">
        <f t="shared" si="18"/>
        <v/>
      </c>
      <c r="R213" s="5" t="str">
        <f>IF(B213="","",SUMIFS(PRESENCES_INDEMNITES!$N$2:$N$501,PRESENCES_INDEMNITES!$B$2:$B$501,B213,PRESENCES_INDEMNITES!$S$2:$S$501,"CONFORME"))</f>
        <v/>
      </c>
      <c r="S213" s="5" t="str">
        <f>IF(B213="","",SUMIFS(REFERENTIEL_BUDGET!$J$2:$J$101,REFERENTIEL_BUDGET!$A$2:$A$101,B213,REFERENTIEL_BUDGET!$E$2:$E$101,"Indemnités participants"))</f>
        <v/>
      </c>
      <c r="T213" t="str">
        <f>IF(B213="","",IF(COUNTIFS(PRESENCES_INDEMNITES!$B$2:$B$501,B213,PRESENCES_INDEMNITES!$S$2:$S$501,"&lt;&gt;CONFORME",PRESENCES_INDEMNITES!$S$2:$S$501,"&lt;&gt;")&gt;0,"Anomalie détectée",IF(R213&gt;S213,"Dépassement budget indemnités","Conforme")))</f>
        <v/>
      </c>
      <c r="V213" t="str">
        <f t="shared" si="19"/>
        <v/>
      </c>
    </row>
    <row r="214" spans="1:22">
      <c r="A214">
        <f t="shared" si="15"/>
        <v>213</v>
      </c>
      <c r="C214" t="str">
        <f>+IFERROR(VLOOKUP(ControlePJTable[[#This Row],[Code activité]],'LISTES ACTIVITES'!$A$1:$B$38,2,FALSE()),"")</f>
        <v/>
      </c>
      <c r="D214" s="3"/>
      <c r="E214" s="3"/>
      <c r="F214" s="3"/>
      <c r="J214" s="5"/>
      <c r="K214" s="5"/>
      <c r="L214" s="5"/>
      <c r="M214" s="5" t="str">
        <f t="shared" si="16"/>
        <v/>
      </c>
      <c r="N214" s="5" t="str">
        <f t="shared" si="17"/>
        <v/>
      </c>
      <c r="Q214" t="str">
        <f t="shared" si="18"/>
        <v/>
      </c>
      <c r="R214" s="5" t="str">
        <f>IF(B214="","",SUMIFS(PRESENCES_INDEMNITES!$N$2:$N$501,PRESENCES_INDEMNITES!$B$2:$B$501,B214,PRESENCES_INDEMNITES!$S$2:$S$501,"CONFORME"))</f>
        <v/>
      </c>
      <c r="S214" s="5" t="str">
        <f>IF(B214="","",SUMIFS(REFERENTIEL_BUDGET!$J$2:$J$101,REFERENTIEL_BUDGET!$A$2:$A$101,B214,REFERENTIEL_BUDGET!$E$2:$E$101,"Indemnités participants"))</f>
        <v/>
      </c>
      <c r="T214" t="str">
        <f>IF(B214="","",IF(COUNTIFS(PRESENCES_INDEMNITES!$B$2:$B$501,B214,PRESENCES_INDEMNITES!$S$2:$S$501,"&lt;&gt;CONFORME",PRESENCES_INDEMNITES!$S$2:$S$501,"&lt;&gt;")&gt;0,"Anomalie détectée",IF(R214&gt;S214,"Dépassement budget indemnités","Conforme")))</f>
        <v/>
      </c>
      <c r="V214" t="str">
        <f t="shared" si="19"/>
        <v/>
      </c>
    </row>
    <row r="215" spans="1:22">
      <c r="A215">
        <f t="shared" si="15"/>
        <v>214</v>
      </c>
      <c r="C215" t="str">
        <f>+IFERROR(VLOOKUP(ControlePJTable[[#This Row],[Code activité]],'LISTES ACTIVITES'!$A$1:$B$38,2,FALSE()),"")</f>
        <v/>
      </c>
      <c r="D215" s="3"/>
      <c r="E215" s="3"/>
      <c r="F215" s="3"/>
      <c r="J215" s="5"/>
      <c r="K215" s="5"/>
      <c r="L215" s="5"/>
      <c r="M215" s="5" t="str">
        <f t="shared" si="16"/>
        <v/>
      </c>
      <c r="N215" s="5" t="str">
        <f t="shared" si="17"/>
        <v/>
      </c>
      <c r="Q215" t="str">
        <f t="shared" si="18"/>
        <v/>
      </c>
      <c r="R215" s="5" t="str">
        <f>IF(B215="","",SUMIFS(PRESENCES_INDEMNITES!$N$2:$N$501,PRESENCES_INDEMNITES!$B$2:$B$501,B215,PRESENCES_INDEMNITES!$S$2:$S$501,"CONFORME"))</f>
        <v/>
      </c>
      <c r="S215" s="5" t="str">
        <f>IF(B215="","",SUMIFS(REFERENTIEL_BUDGET!$J$2:$J$101,REFERENTIEL_BUDGET!$A$2:$A$101,B215,REFERENTIEL_BUDGET!$E$2:$E$101,"Indemnités participants"))</f>
        <v/>
      </c>
      <c r="T215" t="str">
        <f>IF(B215="","",IF(COUNTIFS(PRESENCES_INDEMNITES!$B$2:$B$501,B215,PRESENCES_INDEMNITES!$S$2:$S$501,"&lt;&gt;CONFORME",PRESENCES_INDEMNITES!$S$2:$S$501,"&lt;&gt;")&gt;0,"Anomalie détectée",IF(R215&gt;S215,"Dépassement budget indemnités","Conforme")))</f>
        <v/>
      </c>
      <c r="V215" t="str">
        <f t="shared" si="19"/>
        <v/>
      </c>
    </row>
    <row r="216" spans="1:22">
      <c r="A216">
        <f t="shared" si="15"/>
        <v>215</v>
      </c>
      <c r="C216" t="str">
        <f>+IFERROR(VLOOKUP(ControlePJTable[[#This Row],[Code activité]],'LISTES ACTIVITES'!$A$1:$B$38,2,FALSE()),"")</f>
        <v/>
      </c>
      <c r="D216" s="3"/>
      <c r="E216" s="3"/>
      <c r="F216" s="3"/>
      <c r="J216" s="5"/>
      <c r="K216" s="5"/>
      <c r="L216" s="5"/>
      <c r="M216" s="5" t="str">
        <f t="shared" si="16"/>
        <v/>
      </c>
      <c r="N216" s="5" t="str">
        <f t="shared" si="17"/>
        <v/>
      </c>
      <c r="Q216" t="str">
        <f t="shared" si="18"/>
        <v/>
      </c>
      <c r="R216" s="5" t="str">
        <f>IF(B216="","",SUMIFS(PRESENCES_INDEMNITES!$N$2:$N$501,PRESENCES_INDEMNITES!$B$2:$B$501,B216,PRESENCES_INDEMNITES!$S$2:$S$501,"CONFORME"))</f>
        <v/>
      </c>
      <c r="S216" s="5" t="str">
        <f>IF(B216="","",SUMIFS(REFERENTIEL_BUDGET!$J$2:$J$101,REFERENTIEL_BUDGET!$A$2:$A$101,B216,REFERENTIEL_BUDGET!$E$2:$E$101,"Indemnités participants"))</f>
        <v/>
      </c>
      <c r="T216" t="str">
        <f>IF(B216="","",IF(COUNTIFS(PRESENCES_INDEMNITES!$B$2:$B$501,B216,PRESENCES_INDEMNITES!$S$2:$S$501,"&lt;&gt;CONFORME",PRESENCES_INDEMNITES!$S$2:$S$501,"&lt;&gt;")&gt;0,"Anomalie détectée",IF(R216&gt;S216,"Dépassement budget indemnités","Conforme")))</f>
        <v/>
      </c>
      <c r="V216" t="str">
        <f t="shared" si="19"/>
        <v/>
      </c>
    </row>
    <row r="217" spans="1:22">
      <c r="A217">
        <f t="shared" si="15"/>
        <v>216</v>
      </c>
      <c r="C217" t="str">
        <f>+IFERROR(VLOOKUP(ControlePJTable[[#This Row],[Code activité]],'LISTES ACTIVITES'!$A$1:$B$38,2,FALSE()),"")</f>
        <v/>
      </c>
      <c r="D217" s="3"/>
      <c r="E217" s="3"/>
      <c r="F217" s="3"/>
      <c r="J217" s="5"/>
      <c r="K217" s="5"/>
      <c r="L217" s="5"/>
      <c r="M217" s="5" t="str">
        <f t="shared" si="16"/>
        <v/>
      </c>
      <c r="N217" s="5" t="str">
        <f t="shared" si="17"/>
        <v/>
      </c>
      <c r="Q217" t="str">
        <f t="shared" si="18"/>
        <v/>
      </c>
      <c r="R217" s="5" t="str">
        <f>IF(B217="","",SUMIFS(PRESENCES_INDEMNITES!$N$2:$N$501,PRESENCES_INDEMNITES!$B$2:$B$501,B217,PRESENCES_INDEMNITES!$S$2:$S$501,"CONFORME"))</f>
        <v/>
      </c>
      <c r="S217" s="5" t="str">
        <f>IF(B217="","",SUMIFS(REFERENTIEL_BUDGET!$J$2:$J$101,REFERENTIEL_BUDGET!$A$2:$A$101,B217,REFERENTIEL_BUDGET!$E$2:$E$101,"Indemnités participants"))</f>
        <v/>
      </c>
      <c r="T217" t="str">
        <f>IF(B217="","",IF(COUNTIFS(PRESENCES_INDEMNITES!$B$2:$B$501,B217,PRESENCES_INDEMNITES!$S$2:$S$501,"&lt;&gt;CONFORME",PRESENCES_INDEMNITES!$S$2:$S$501,"&lt;&gt;")&gt;0,"Anomalie détectée",IF(R217&gt;S217,"Dépassement budget indemnités","Conforme")))</f>
        <v/>
      </c>
      <c r="V217" t="str">
        <f t="shared" si="19"/>
        <v/>
      </c>
    </row>
    <row r="218" spans="1:22">
      <c r="A218">
        <f t="shared" si="15"/>
        <v>217</v>
      </c>
      <c r="C218" t="str">
        <f>+IFERROR(VLOOKUP(ControlePJTable[[#This Row],[Code activité]],'LISTES ACTIVITES'!$A$1:$B$38,2,FALSE()),"")</f>
        <v/>
      </c>
      <c r="D218" s="3"/>
      <c r="E218" s="3"/>
      <c r="F218" s="3"/>
      <c r="J218" s="5"/>
      <c r="K218" s="5"/>
      <c r="L218" s="5"/>
      <c r="M218" s="5" t="str">
        <f t="shared" si="16"/>
        <v/>
      </c>
      <c r="N218" s="5" t="str">
        <f t="shared" si="17"/>
        <v/>
      </c>
      <c r="Q218" t="str">
        <f t="shared" si="18"/>
        <v/>
      </c>
      <c r="R218" s="5" t="str">
        <f>IF(B218="","",SUMIFS(PRESENCES_INDEMNITES!$N$2:$N$501,PRESENCES_INDEMNITES!$B$2:$B$501,B218,PRESENCES_INDEMNITES!$S$2:$S$501,"CONFORME"))</f>
        <v/>
      </c>
      <c r="S218" s="5" t="str">
        <f>IF(B218="","",SUMIFS(REFERENTIEL_BUDGET!$J$2:$J$101,REFERENTIEL_BUDGET!$A$2:$A$101,B218,REFERENTIEL_BUDGET!$E$2:$E$101,"Indemnités participants"))</f>
        <v/>
      </c>
      <c r="T218" t="str">
        <f>IF(B218="","",IF(COUNTIFS(PRESENCES_INDEMNITES!$B$2:$B$501,B218,PRESENCES_INDEMNITES!$S$2:$S$501,"&lt;&gt;CONFORME",PRESENCES_INDEMNITES!$S$2:$S$501,"&lt;&gt;")&gt;0,"Anomalie détectée",IF(R218&gt;S218,"Dépassement budget indemnités","Conforme")))</f>
        <v/>
      </c>
      <c r="V218" t="str">
        <f t="shared" si="19"/>
        <v/>
      </c>
    </row>
    <row r="219" spans="1:22">
      <c r="A219">
        <f t="shared" si="15"/>
        <v>218</v>
      </c>
      <c r="C219" t="str">
        <f>+IFERROR(VLOOKUP(ControlePJTable[[#This Row],[Code activité]],'LISTES ACTIVITES'!$A$1:$B$38,2,FALSE()),"")</f>
        <v/>
      </c>
      <c r="D219" s="3"/>
      <c r="E219" s="3"/>
      <c r="F219" s="3"/>
      <c r="J219" s="5"/>
      <c r="K219" s="5"/>
      <c r="L219" s="5"/>
      <c r="M219" s="5" t="str">
        <f t="shared" si="16"/>
        <v/>
      </c>
      <c r="N219" s="5" t="str">
        <f t="shared" si="17"/>
        <v/>
      </c>
      <c r="Q219" t="str">
        <f t="shared" si="18"/>
        <v/>
      </c>
      <c r="R219" s="5" t="str">
        <f>IF(B219="","",SUMIFS(PRESENCES_INDEMNITES!$N$2:$N$501,PRESENCES_INDEMNITES!$B$2:$B$501,B219,PRESENCES_INDEMNITES!$S$2:$S$501,"CONFORME"))</f>
        <v/>
      </c>
      <c r="S219" s="5" t="str">
        <f>IF(B219="","",SUMIFS(REFERENTIEL_BUDGET!$J$2:$J$101,REFERENTIEL_BUDGET!$A$2:$A$101,B219,REFERENTIEL_BUDGET!$E$2:$E$101,"Indemnités participants"))</f>
        <v/>
      </c>
      <c r="T219" t="str">
        <f>IF(B219="","",IF(COUNTIFS(PRESENCES_INDEMNITES!$B$2:$B$501,B219,PRESENCES_INDEMNITES!$S$2:$S$501,"&lt;&gt;CONFORME",PRESENCES_INDEMNITES!$S$2:$S$501,"&lt;&gt;")&gt;0,"Anomalie détectée",IF(R219&gt;S219,"Dépassement budget indemnités","Conforme")))</f>
        <v/>
      </c>
      <c r="V219" t="str">
        <f t="shared" si="19"/>
        <v/>
      </c>
    </row>
    <row r="220" spans="1:22">
      <c r="A220">
        <f t="shared" si="15"/>
        <v>219</v>
      </c>
      <c r="C220" t="str">
        <f>+IFERROR(VLOOKUP(ControlePJTable[[#This Row],[Code activité]],'LISTES ACTIVITES'!$A$1:$B$38,2,FALSE()),"")</f>
        <v/>
      </c>
      <c r="D220" s="3"/>
      <c r="E220" s="3"/>
      <c r="F220" s="3"/>
      <c r="J220" s="5"/>
      <c r="K220" s="5"/>
      <c r="L220" s="5"/>
      <c r="M220" s="5" t="str">
        <f t="shared" si="16"/>
        <v/>
      </c>
      <c r="N220" s="5" t="str">
        <f t="shared" si="17"/>
        <v/>
      </c>
      <c r="Q220" t="str">
        <f t="shared" si="18"/>
        <v/>
      </c>
      <c r="R220" s="5" t="str">
        <f>IF(B220="","",SUMIFS(PRESENCES_INDEMNITES!$N$2:$N$501,PRESENCES_INDEMNITES!$B$2:$B$501,B220,PRESENCES_INDEMNITES!$S$2:$S$501,"CONFORME"))</f>
        <v/>
      </c>
      <c r="S220" s="5" t="str">
        <f>IF(B220="","",SUMIFS(REFERENTIEL_BUDGET!$J$2:$J$101,REFERENTIEL_BUDGET!$A$2:$A$101,B220,REFERENTIEL_BUDGET!$E$2:$E$101,"Indemnités participants"))</f>
        <v/>
      </c>
      <c r="T220" t="str">
        <f>IF(B220="","",IF(COUNTIFS(PRESENCES_INDEMNITES!$B$2:$B$501,B220,PRESENCES_INDEMNITES!$S$2:$S$501,"&lt;&gt;CONFORME",PRESENCES_INDEMNITES!$S$2:$S$501,"&lt;&gt;")&gt;0,"Anomalie détectée",IF(R220&gt;S220,"Dépassement budget indemnités","Conforme")))</f>
        <v/>
      </c>
      <c r="V220" t="str">
        <f t="shared" si="19"/>
        <v/>
      </c>
    </row>
    <row r="221" spans="1:22">
      <c r="A221">
        <f t="shared" si="15"/>
        <v>220</v>
      </c>
      <c r="C221" t="str">
        <f>+IFERROR(VLOOKUP(ControlePJTable[[#This Row],[Code activité]],'LISTES ACTIVITES'!$A$1:$B$38,2,FALSE()),"")</f>
        <v/>
      </c>
      <c r="D221" s="3"/>
      <c r="E221" s="3"/>
      <c r="F221" s="3"/>
      <c r="J221" s="5"/>
      <c r="K221" s="5"/>
      <c r="L221" s="5"/>
      <c r="M221" s="5" t="str">
        <f t="shared" si="16"/>
        <v/>
      </c>
      <c r="N221" s="5" t="str">
        <f t="shared" si="17"/>
        <v/>
      </c>
      <c r="Q221" t="str">
        <f t="shared" si="18"/>
        <v/>
      </c>
      <c r="R221" s="5" t="str">
        <f>IF(B221="","",SUMIFS(PRESENCES_INDEMNITES!$N$2:$N$501,PRESENCES_INDEMNITES!$B$2:$B$501,B221,PRESENCES_INDEMNITES!$S$2:$S$501,"CONFORME"))</f>
        <v/>
      </c>
      <c r="S221" s="5" t="str">
        <f>IF(B221="","",SUMIFS(REFERENTIEL_BUDGET!$J$2:$J$101,REFERENTIEL_BUDGET!$A$2:$A$101,B221,REFERENTIEL_BUDGET!$E$2:$E$101,"Indemnités participants"))</f>
        <v/>
      </c>
      <c r="T221" t="str">
        <f>IF(B221="","",IF(COUNTIFS(PRESENCES_INDEMNITES!$B$2:$B$501,B221,PRESENCES_INDEMNITES!$S$2:$S$501,"&lt;&gt;CONFORME",PRESENCES_INDEMNITES!$S$2:$S$501,"&lt;&gt;")&gt;0,"Anomalie détectée",IF(R221&gt;S221,"Dépassement budget indemnités","Conforme")))</f>
        <v/>
      </c>
      <c r="V221" t="str">
        <f t="shared" si="19"/>
        <v/>
      </c>
    </row>
    <row r="222" spans="1:22">
      <c r="A222">
        <f t="shared" si="15"/>
        <v>221</v>
      </c>
      <c r="C222" t="str">
        <f>+IFERROR(VLOOKUP(ControlePJTable[[#This Row],[Code activité]],'LISTES ACTIVITES'!$A$1:$B$38,2,FALSE()),"")</f>
        <v/>
      </c>
      <c r="D222" s="3"/>
      <c r="E222" s="3"/>
      <c r="F222" s="3"/>
      <c r="J222" s="5"/>
      <c r="K222" s="5"/>
      <c r="L222" s="5"/>
      <c r="M222" s="5" t="str">
        <f t="shared" si="16"/>
        <v/>
      </c>
      <c r="N222" s="5" t="str">
        <f t="shared" si="17"/>
        <v/>
      </c>
      <c r="Q222" t="str">
        <f t="shared" si="18"/>
        <v/>
      </c>
      <c r="R222" s="5" t="str">
        <f>IF(B222="","",SUMIFS(PRESENCES_INDEMNITES!$N$2:$N$501,PRESENCES_INDEMNITES!$B$2:$B$501,B222,PRESENCES_INDEMNITES!$S$2:$S$501,"CONFORME"))</f>
        <v/>
      </c>
      <c r="S222" s="5" t="str">
        <f>IF(B222="","",SUMIFS(REFERENTIEL_BUDGET!$J$2:$J$101,REFERENTIEL_BUDGET!$A$2:$A$101,B222,REFERENTIEL_BUDGET!$E$2:$E$101,"Indemnités participants"))</f>
        <v/>
      </c>
      <c r="T222" t="str">
        <f>IF(B222="","",IF(COUNTIFS(PRESENCES_INDEMNITES!$B$2:$B$501,B222,PRESENCES_INDEMNITES!$S$2:$S$501,"&lt;&gt;CONFORME",PRESENCES_INDEMNITES!$S$2:$S$501,"&lt;&gt;")&gt;0,"Anomalie détectée",IF(R222&gt;S222,"Dépassement budget indemnités","Conforme")))</f>
        <v/>
      </c>
      <c r="V222" t="str">
        <f t="shared" si="19"/>
        <v/>
      </c>
    </row>
    <row r="223" spans="1:22">
      <c r="A223">
        <f t="shared" si="15"/>
        <v>222</v>
      </c>
      <c r="C223" t="str">
        <f>+IFERROR(VLOOKUP(ControlePJTable[[#This Row],[Code activité]],'LISTES ACTIVITES'!$A$1:$B$38,2,FALSE()),"")</f>
        <v/>
      </c>
      <c r="D223" s="3"/>
      <c r="E223" s="3"/>
      <c r="F223" s="3"/>
      <c r="J223" s="5"/>
      <c r="K223" s="5"/>
      <c r="L223" s="5"/>
      <c r="M223" s="5" t="str">
        <f t="shared" si="16"/>
        <v/>
      </c>
      <c r="N223" s="5" t="str">
        <f t="shared" si="17"/>
        <v/>
      </c>
      <c r="Q223" t="str">
        <f t="shared" si="18"/>
        <v/>
      </c>
      <c r="R223" s="5" t="str">
        <f>IF(B223="","",SUMIFS(PRESENCES_INDEMNITES!$N$2:$N$501,PRESENCES_INDEMNITES!$B$2:$B$501,B223,PRESENCES_INDEMNITES!$S$2:$S$501,"CONFORME"))</f>
        <v/>
      </c>
      <c r="S223" s="5" t="str">
        <f>IF(B223="","",SUMIFS(REFERENTIEL_BUDGET!$J$2:$J$101,REFERENTIEL_BUDGET!$A$2:$A$101,B223,REFERENTIEL_BUDGET!$E$2:$E$101,"Indemnités participants"))</f>
        <v/>
      </c>
      <c r="T223" t="str">
        <f>IF(B223="","",IF(COUNTIFS(PRESENCES_INDEMNITES!$B$2:$B$501,B223,PRESENCES_INDEMNITES!$S$2:$S$501,"&lt;&gt;CONFORME",PRESENCES_INDEMNITES!$S$2:$S$501,"&lt;&gt;")&gt;0,"Anomalie détectée",IF(R223&gt;S223,"Dépassement budget indemnités","Conforme")))</f>
        <v/>
      </c>
      <c r="V223" t="str">
        <f t="shared" si="19"/>
        <v/>
      </c>
    </row>
    <row r="224" spans="1:22">
      <c r="A224">
        <f t="shared" si="15"/>
        <v>223</v>
      </c>
      <c r="C224" t="str">
        <f>+IFERROR(VLOOKUP(ControlePJTable[[#This Row],[Code activité]],'LISTES ACTIVITES'!$A$1:$B$38,2,FALSE()),"")</f>
        <v/>
      </c>
      <c r="D224" s="3"/>
      <c r="E224" s="3"/>
      <c r="F224" s="3"/>
      <c r="J224" s="5"/>
      <c r="K224" s="5"/>
      <c r="L224" s="5"/>
      <c r="M224" s="5" t="str">
        <f t="shared" si="16"/>
        <v/>
      </c>
      <c r="N224" s="5" t="str">
        <f t="shared" si="17"/>
        <v/>
      </c>
      <c r="Q224" t="str">
        <f t="shared" si="18"/>
        <v/>
      </c>
      <c r="R224" s="5" t="str">
        <f>IF(B224="","",SUMIFS(PRESENCES_INDEMNITES!$N$2:$N$501,PRESENCES_INDEMNITES!$B$2:$B$501,B224,PRESENCES_INDEMNITES!$S$2:$S$501,"CONFORME"))</f>
        <v/>
      </c>
      <c r="S224" s="5" t="str">
        <f>IF(B224="","",SUMIFS(REFERENTIEL_BUDGET!$J$2:$J$101,REFERENTIEL_BUDGET!$A$2:$A$101,B224,REFERENTIEL_BUDGET!$E$2:$E$101,"Indemnités participants"))</f>
        <v/>
      </c>
      <c r="T224" t="str">
        <f>IF(B224="","",IF(COUNTIFS(PRESENCES_INDEMNITES!$B$2:$B$501,B224,PRESENCES_INDEMNITES!$S$2:$S$501,"&lt;&gt;CONFORME",PRESENCES_INDEMNITES!$S$2:$S$501,"&lt;&gt;")&gt;0,"Anomalie détectée",IF(R224&gt;S224,"Dépassement budget indemnités","Conforme")))</f>
        <v/>
      </c>
      <c r="V224" t="str">
        <f t="shared" si="19"/>
        <v/>
      </c>
    </row>
    <row r="225" spans="1:22">
      <c r="A225">
        <f t="shared" si="15"/>
        <v>224</v>
      </c>
      <c r="C225" t="str">
        <f>+IFERROR(VLOOKUP(ControlePJTable[[#This Row],[Code activité]],'LISTES ACTIVITES'!$A$1:$B$38,2,FALSE()),"")</f>
        <v/>
      </c>
      <c r="D225" s="3"/>
      <c r="E225" s="3"/>
      <c r="F225" s="3"/>
      <c r="J225" s="5"/>
      <c r="K225" s="5"/>
      <c r="L225" s="5"/>
      <c r="M225" s="5" t="str">
        <f t="shared" si="16"/>
        <v/>
      </c>
      <c r="N225" s="5" t="str">
        <f t="shared" si="17"/>
        <v/>
      </c>
      <c r="Q225" t="str">
        <f t="shared" si="18"/>
        <v/>
      </c>
      <c r="R225" s="5" t="str">
        <f>IF(B225="","",SUMIFS(PRESENCES_INDEMNITES!$N$2:$N$501,PRESENCES_INDEMNITES!$B$2:$B$501,B225,PRESENCES_INDEMNITES!$S$2:$S$501,"CONFORME"))</f>
        <v/>
      </c>
      <c r="S225" s="5" t="str">
        <f>IF(B225="","",SUMIFS(REFERENTIEL_BUDGET!$J$2:$J$101,REFERENTIEL_BUDGET!$A$2:$A$101,B225,REFERENTIEL_BUDGET!$E$2:$E$101,"Indemnités participants"))</f>
        <v/>
      </c>
      <c r="T225" t="str">
        <f>IF(B225="","",IF(COUNTIFS(PRESENCES_INDEMNITES!$B$2:$B$501,B225,PRESENCES_INDEMNITES!$S$2:$S$501,"&lt;&gt;CONFORME",PRESENCES_INDEMNITES!$S$2:$S$501,"&lt;&gt;")&gt;0,"Anomalie détectée",IF(R225&gt;S225,"Dépassement budget indemnités","Conforme")))</f>
        <v/>
      </c>
      <c r="V225" t="str">
        <f t="shared" si="19"/>
        <v/>
      </c>
    </row>
    <row r="226" spans="1:22">
      <c r="A226">
        <f t="shared" si="15"/>
        <v>225</v>
      </c>
      <c r="C226" t="str">
        <f>+IFERROR(VLOOKUP(ControlePJTable[[#This Row],[Code activité]],'LISTES ACTIVITES'!$A$1:$B$38,2,FALSE()),"")</f>
        <v/>
      </c>
      <c r="D226" s="3"/>
      <c r="E226" s="3"/>
      <c r="F226" s="3"/>
      <c r="J226" s="5"/>
      <c r="K226" s="5"/>
      <c r="L226" s="5"/>
      <c r="M226" s="5" t="str">
        <f t="shared" si="16"/>
        <v/>
      </c>
      <c r="N226" s="5" t="str">
        <f t="shared" si="17"/>
        <v/>
      </c>
      <c r="Q226" t="str">
        <f t="shared" si="18"/>
        <v/>
      </c>
      <c r="R226" s="5" t="str">
        <f>IF(B226="","",SUMIFS(PRESENCES_INDEMNITES!$N$2:$N$501,PRESENCES_INDEMNITES!$B$2:$B$501,B226,PRESENCES_INDEMNITES!$S$2:$S$501,"CONFORME"))</f>
        <v/>
      </c>
      <c r="S226" s="5" t="str">
        <f>IF(B226="","",SUMIFS(REFERENTIEL_BUDGET!$J$2:$J$101,REFERENTIEL_BUDGET!$A$2:$A$101,B226,REFERENTIEL_BUDGET!$E$2:$E$101,"Indemnités participants"))</f>
        <v/>
      </c>
      <c r="T226" t="str">
        <f>IF(B226="","",IF(COUNTIFS(PRESENCES_INDEMNITES!$B$2:$B$501,B226,PRESENCES_INDEMNITES!$S$2:$S$501,"&lt;&gt;CONFORME",PRESENCES_INDEMNITES!$S$2:$S$501,"&lt;&gt;")&gt;0,"Anomalie détectée",IF(R226&gt;S226,"Dépassement budget indemnités","Conforme")))</f>
        <v/>
      </c>
      <c r="V226" t="str">
        <f t="shared" si="19"/>
        <v/>
      </c>
    </row>
    <row r="227" spans="1:22">
      <c r="A227">
        <f t="shared" si="15"/>
        <v>226</v>
      </c>
      <c r="C227" t="str">
        <f>+IFERROR(VLOOKUP(ControlePJTable[[#This Row],[Code activité]],'LISTES ACTIVITES'!$A$1:$B$38,2,FALSE()),"")</f>
        <v/>
      </c>
      <c r="D227" s="3"/>
      <c r="E227" s="3"/>
      <c r="F227" s="3"/>
      <c r="J227" s="5"/>
      <c r="K227" s="5"/>
      <c r="L227" s="5"/>
      <c r="M227" s="5" t="str">
        <f t="shared" si="16"/>
        <v/>
      </c>
      <c r="N227" s="5" t="str">
        <f t="shared" si="17"/>
        <v/>
      </c>
      <c r="Q227" t="str">
        <f t="shared" si="18"/>
        <v/>
      </c>
      <c r="R227" s="5" t="str">
        <f>IF(B227="","",SUMIFS(PRESENCES_INDEMNITES!$N$2:$N$501,PRESENCES_INDEMNITES!$B$2:$B$501,B227,PRESENCES_INDEMNITES!$S$2:$S$501,"CONFORME"))</f>
        <v/>
      </c>
      <c r="S227" s="5" t="str">
        <f>IF(B227="","",SUMIFS(REFERENTIEL_BUDGET!$J$2:$J$101,REFERENTIEL_BUDGET!$A$2:$A$101,B227,REFERENTIEL_BUDGET!$E$2:$E$101,"Indemnités participants"))</f>
        <v/>
      </c>
      <c r="T227" t="str">
        <f>IF(B227="","",IF(COUNTIFS(PRESENCES_INDEMNITES!$B$2:$B$501,B227,PRESENCES_INDEMNITES!$S$2:$S$501,"&lt;&gt;CONFORME",PRESENCES_INDEMNITES!$S$2:$S$501,"&lt;&gt;")&gt;0,"Anomalie détectée",IF(R227&gt;S227,"Dépassement budget indemnités","Conforme")))</f>
        <v/>
      </c>
      <c r="V227" t="str">
        <f t="shared" si="19"/>
        <v/>
      </c>
    </row>
    <row r="228" spans="1:22">
      <c r="A228">
        <f t="shared" si="15"/>
        <v>227</v>
      </c>
      <c r="C228" t="str">
        <f>+IFERROR(VLOOKUP(ControlePJTable[[#This Row],[Code activité]],'LISTES ACTIVITES'!$A$1:$B$38,2,FALSE()),"")</f>
        <v/>
      </c>
      <c r="D228" s="3"/>
      <c r="E228" s="3"/>
      <c r="F228" s="3"/>
      <c r="J228" s="5"/>
      <c r="K228" s="5"/>
      <c r="L228" s="5"/>
      <c r="M228" s="5" t="str">
        <f t="shared" si="16"/>
        <v/>
      </c>
      <c r="N228" s="5" t="str">
        <f t="shared" si="17"/>
        <v/>
      </c>
      <c r="Q228" t="str">
        <f t="shared" si="18"/>
        <v/>
      </c>
      <c r="R228" s="5" t="str">
        <f>IF(B228="","",SUMIFS(PRESENCES_INDEMNITES!$N$2:$N$501,PRESENCES_INDEMNITES!$B$2:$B$501,B228,PRESENCES_INDEMNITES!$S$2:$S$501,"CONFORME"))</f>
        <v/>
      </c>
      <c r="S228" s="5" t="str">
        <f>IF(B228="","",SUMIFS(REFERENTIEL_BUDGET!$J$2:$J$101,REFERENTIEL_BUDGET!$A$2:$A$101,B228,REFERENTIEL_BUDGET!$E$2:$E$101,"Indemnités participants"))</f>
        <v/>
      </c>
      <c r="T228" t="str">
        <f>IF(B228="","",IF(COUNTIFS(PRESENCES_INDEMNITES!$B$2:$B$501,B228,PRESENCES_INDEMNITES!$S$2:$S$501,"&lt;&gt;CONFORME",PRESENCES_INDEMNITES!$S$2:$S$501,"&lt;&gt;")&gt;0,"Anomalie détectée",IF(R228&gt;S228,"Dépassement budget indemnités","Conforme")))</f>
        <v/>
      </c>
      <c r="V228" t="str">
        <f t="shared" si="19"/>
        <v/>
      </c>
    </row>
    <row r="229" spans="1:22">
      <c r="A229">
        <f t="shared" si="15"/>
        <v>228</v>
      </c>
      <c r="C229" t="str">
        <f>+IFERROR(VLOOKUP(ControlePJTable[[#This Row],[Code activité]],'LISTES ACTIVITES'!$A$1:$B$38,2,FALSE()),"")</f>
        <v/>
      </c>
      <c r="D229" s="3"/>
      <c r="E229" s="3"/>
      <c r="F229" s="3"/>
      <c r="J229" s="5"/>
      <c r="K229" s="5"/>
      <c r="L229" s="5"/>
      <c r="M229" s="5" t="str">
        <f t="shared" si="16"/>
        <v/>
      </c>
      <c r="N229" s="5" t="str">
        <f t="shared" si="17"/>
        <v/>
      </c>
      <c r="Q229" t="str">
        <f t="shared" si="18"/>
        <v/>
      </c>
      <c r="R229" s="5" t="str">
        <f>IF(B229="","",SUMIFS(PRESENCES_INDEMNITES!$N$2:$N$501,PRESENCES_INDEMNITES!$B$2:$B$501,B229,PRESENCES_INDEMNITES!$S$2:$S$501,"CONFORME"))</f>
        <v/>
      </c>
      <c r="S229" s="5" t="str">
        <f>IF(B229="","",SUMIFS(REFERENTIEL_BUDGET!$J$2:$J$101,REFERENTIEL_BUDGET!$A$2:$A$101,B229,REFERENTIEL_BUDGET!$E$2:$E$101,"Indemnités participants"))</f>
        <v/>
      </c>
      <c r="T229" t="str">
        <f>IF(B229="","",IF(COUNTIFS(PRESENCES_INDEMNITES!$B$2:$B$501,B229,PRESENCES_INDEMNITES!$S$2:$S$501,"&lt;&gt;CONFORME",PRESENCES_INDEMNITES!$S$2:$S$501,"&lt;&gt;")&gt;0,"Anomalie détectée",IF(R229&gt;S229,"Dépassement budget indemnités","Conforme")))</f>
        <v/>
      </c>
      <c r="V229" t="str">
        <f t="shared" si="19"/>
        <v/>
      </c>
    </row>
    <row r="230" spans="1:22">
      <c r="A230">
        <f t="shared" si="15"/>
        <v>229</v>
      </c>
      <c r="C230" t="str">
        <f>+IFERROR(VLOOKUP(ControlePJTable[[#This Row],[Code activité]],'LISTES ACTIVITES'!$A$1:$B$38,2,FALSE()),"")</f>
        <v/>
      </c>
      <c r="D230" s="3"/>
      <c r="E230" s="3"/>
      <c r="F230" s="3"/>
      <c r="J230" s="5"/>
      <c r="K230" s="5"/>
      <c r="L230" s="5"/>
      <c r="M230" s="5" t="str">
        <f t="shared" si="16"/>
        <v/>
      </c>
      <c r="N230" s="5" t="str">
        <f t="shared" si="17"/>
        <v/>
      </c>
      <c r="Q230" t="str">
        <f t="shared" si="18"/>
        <v/>
      </c>
      <c r="R230" s="5" t="str">
        <f>IF(B230="","",SUMIFS(PRESENCES_INDEMNITES!$N$2:$N$501,PRESENCES_INDEMNITES!$B$2:$B$501,B230,PRESENCES_INDEMNITES!$S$2:$S$501,"CONFORME"))</f>
        <v/>
      </c>
      <c r="S230" s="5" t="str">
        <f>IF(B230="","",SUMIFS(REFERENTIEL_BUDGET!$J$2:$J$101,REFERENTIEL_BUDGET!$A$2:$A$101,B230,REFERENTIEL_BUDGET!$E$2:$E$101,"Indemnités participants"))</f>
        <v/>
      </c>
      <c r="T230" t="str">
        <f>IF(B230="","",IF(COUNTIFS(PRESENCES_INDEMNITES!$B$2:$B$501,B230,PRESENCES_INDEMNITES!$S$2:$S$501,"&lt;&gt;CONFORME",PRESENCES_INDEMNITES!$S$2:$S$501,"&lt;&gt;")&gt;0,"Anomalie détectée",IF(R230&gt;S230,"Dépassement budget indemnités","Conforme")))</f>
        <v/>
      </c>
      <c r="V230" t="str">
        <f t="shared" si="19"/>
        <v/>
      </c>
    </row>
    <row r="231" spans="1:22">
      <c r="A231">
        <f t="shared" si="15"/>
        <v>230</v>
      </c>
      <c r="C231" t="str">
        <f>+IFERROR(VLOOKUP(ControlePJTable[[#This Row],[Code activité]],'LISTES ACTIVITES'!$A$1:$B$38,2,FALSE()),"")</f>
        <v/>
      </c>
      <c r="D231" s="3"/>
      <c r="E231" s="3"/>
      <c r="F231" s="3"/>
      <c r="J231" s="5"/>
      <c r="K231" s="5"/>
      <c r="L231" s="5"/>
      <c r="M231" s="5" t="str">
        <f t="shared" si="16"/>
        <v/>
      </c>
      <c r="N231" s="5" t="str">
        <f t="shared" si="17"/>
        <v/>
      </c>
      <c r="Q231" t="str">
        <f t="shared" si="18"/>
        <v/>
      </c>
      <c r="R231" s="5" t="str">
        <f>IF(B231="","",SUMIFS(PRESENCES_INDEMNITES!$N$2:$N$501,PRESENCES_INDEMNITES!$B$2:$B$501,B231,PRESENCES_INDEMNITES!$S$2:$S$501,"CONFORME"))</f>
        <v/>
      </c>
      <c r="S231" s="5" t="str">
        <f>IF(B231="","",SUMIFS(REFERENTIEL_BUDGET!$J$2:$J$101,REFERENTIEL_BUDGET!$A$2:$A$101,B231,REFERENTIEL_BUDGET!$E$2:$E$101,"Indemnités participants"))</f>
        <v/>
      </c>
      <c r="T231" t="str">
        <f>IF(B231="","",IF(COUNTIFS(PRESENCES_INDEMNITES!$B$2:$B$501,B231,PRESENCES_INDEMNITES!$S$2:$S$501,"&lt;&gt;CONFORME",PRESENCES_INDEMNITES!$S$2:$S$501,"&lt;&gt;")&gt;0,"Anomalie détectée",IF(R231&gt;S231,"Dépassement budget indemnités","Conforme")))</f>
        <v/>
      </c>
      <c r="V231" t="str">
        <f t="shared" si="19"/>
        <v/>
      </c>
    </row>
    <row r="232" spans="1:22">
      <c r="A232">
        <f t="shared" si="15"/>
        <v>231</v>
      </c>
      <c r="C232" t="str">
        <f>+IFERROR(VLOOKUP(ControlePJTable[[#This Row],[Code activité]],'LISTES ACTIVITES'!$A$1:$B$38,2,FALSE()),"")</f>
        <v/>
      </c>
      <c r="D232" s="3"/>
      <c r="E232" s="3"/>
      <c r="F232" s="3"/>
      <c r="J232" s="5"/>
      <c r="K232" s="5"/>
      <c r="L232" s="5"/>
      <c r="M232" s="5" t="str">
        <f t="shared" si="16"/>
        <v/>
      </c>
      <c r="N232" s="5" t="str">
        <f t="shared" si="17"/>
        <v/>
      </c>
      <c r="Q232" t="str">
        <f t="shared" si="18"/>
        <v/>
      </c>
      <c r="R232" s="5" t="str">
        <f>IF(B232="","",SUMIFS(PRESENCES_INDEMNITES!$N$2:$N$501,PRESENCES_INDEMNITES!$B$2:$B$501,B232,PRESENCES_INDEMNITES!$S$2:$S$501,"CONFORME"))</f>
        <v/>
      </c>
      <c r="S232" s="5" t="str">
        <f>IF(B232="","",SUMIFS(REFERENTIEL_BUDGET!$J$2:$J$101,REFERENTIEL_BUDGET!$A$2:$A$101,B232,REFERENTIEL_BUDGET!$E$2:$E$101,"Indemnités participants"))</f>
        <v/>
      </c>
      <c r="T232" t="str">
        <f>IF(B232="","",IF(COUNTIFS(PRESENCES_INDEMNITES!$B$2:$B$501,B232,PRESENCES_INDEMNITES!$S$2:$S$501,"&lt;&gt;CONFORME",PRESENCES_INDEMNITES!$S$2:$S$501,"&lt;&gt;")&gt;0,"Anomalie détectée",IF(R232&gt;S232,"Dépassement budget indemnités","Conforme")))</f>
        <v/>
      </c>
      <c r="V232" t="str">
        <f t="shared" si="19"/>
        <v/>
      </c>
    </row>
    <row r="233" spans="1:22">
      <c r="A233">
        <f t="shared" si="15"/>
        <v>232</v>
      </c>
      <c r="C233" t="str">
        <f>+IFERROR(VLOOKUP(ControlePJTable[[#This Row],[Code activité]],'LISTES ACTIVITES'!$A$1:$B$38,2,FALSE()),"")</f>
        <v/>
      </c>
      <c r="D233" s="3"/>
      <c r="E233" s="3"/>
      <c r="F233" s="3"/>
      <c r="J233" s="5"/>
      <c r="K233" s="5"/>
      <c r="L233" s="5"/>
      <c r="M233" s="5" t="str">
        <f t="shared" si="16"/>
        <v/>
      </c>
      <c r="N233" s="5" t="str">
        <f t="shared" si="17"/>
        <v/>
      </c>
      <c r="Q233" t="str">
        <f t="shared" si="18"/>
        <v/>
      </c>
      <c r="R233" s="5" t="str">
        <f>IF(B233="","",SUMIFS(PRESENCES_INDEMNITES!$N$2:$N$501,PRESENCES_INDEMNITES!$B$2:$B$501,B233,PRESENCES_INDEMNITES!$S$2:$S$501,"CONFORME"))</f>
        <v/>
      </c>
      <c r="S233" s="5" t="str">
        <f>IF(B233="","",SUMIFS(REFERENTIEL_BUDGET!$J$2:$J$101,REFERENTIEL_BUDGET!$A$2:$A$101,B233,REFERENTIEL_BUDGET!$E$2:$E$101,"Indemnités participants"))</f>
        <v/>
      </c>
      <c r="T233" t="str">
        <f>IF(B233="","",IF(COUNTIFS(PRESENCES_INDEMNITES!$B$2:$B$501,B233,PRESENCES_INDEMNITES!$S$2:$S$501,"&lt;&gt;CONFORME",PRESENCES_INDEMNITES!$S$2:$S$501,"&lt;&gt;")&gt;0,"Anomalie détectée",IF(R233&gt;S233,"Dépassement budget indemnités","Conforme")))</f>
        <v/>
      </c>
      <c r="V233" t="str">
        <f t="shared" si="19"/>
        <v/>
      </c>
    </row>
    <row r="234" spans="1:22">
      <c r="A234">
        <f t="shared" si="15"/>
        <v>233</v>
      </c>
      <c r="C234" t="str">
        <f>+IFERROR(VLOOKUP(ControlePJTable[[#This Row],[Code activité]],'LISTES ACTIVITES'!$A$1:$B$38,2,FALSE()),"")</f>
        <v/>
      </c>
      <c r="D234" s="3"/>
      <c r="E234" s="3"/>
      <c r="F234" s="3"/>
      <c r="J234" s="5"/>
      <c r="K234" s="5"/>
      <c r="L234" s="5"/>
      <c r="M234" s="5" t="str">
        <f t="shared" si="16"/>
        <v/>
      </c>
      <c r="N234" s="5" t="str">
        <f t="shared" si="17"/>
        <v/>
      </c>
      <c r="Q234" t="str">
        <f t="shared" si="18"/>
        <v/>
      </c>
      <c r="R234" s="5" t="str">
        <f>IF(B234="","",SUMIFS(PRESENCES_INDEMNITES!$N$2:$N$501,PRESENCES_INDEMNITES!$B$2:$B$501,B234,PRESENCES_INDEMNITES!$S$2:$S$501,"CONFORME"))</f>
        <v/>
      </c>
      <c r="S234" s="5" t="str">
        <f>IF(B234="","",SUMIFS(REFERENTIEL_BUDGET!$J$2:$J$101,REFERENTIEL_BUDGET!$A$2:$A$101,B234,REFERENTIEL_BUDGET!$E$2:$E$101,"Indemnités participants"))</f>
        <v/>
      </c>
      <c r="T234" t="str">
        <f>IF(B234="","",IF(COUNTIFS(PRESENCES_INDEMNITES!$B$2:$B$501,B234,PRESENCES_INDEMNITES!$S$2:$S$501,"&lt;&gt;CONFORME",PRESENCES_INDEMNITES!$S$2:$S$501,"&lt;&gt;")&gt;0,"Anomalie détectée",IF(R234&gt;S234,"Dépassement budget indemnités","Conforme")))</f>
        <v/>
      </c>
      <c r="V234" t="str">
        <f t="shared" si="19"/>
        <v/>
      </c>
    </row>
    <row r="235" spans="1:22">
      <c r="A235">
        <f t="shared" si="15"/>
        <v>234</v>
      </c>
      <c r="C235" t="str">
        <f>+IFERROR(VLOOKUP(ControlePJTable[[#This Row],[Code activité]],'LISTES ACTIVITES'!$A$1:$B$38,2,FALSE()),"")</f>
        <v/>
      </c>
      <c r="D235" s="3"/>
      <c r="E235" s="3"/>
      <c r="F235" s="3"/>
      <c r="J235" s="5"/>
      <c r="K235" s="5"/>
      <c r="L235" s="5"/>
      <c r="M235" s="5" t="str">
        <f t="shared" si="16"/>
        <v/>
      </c>
      <c r="N235" s="5" t="str">
        <f t="shared" si="17"/>
        <v/>
      </c>
      <c r="Q235" t="str">
        <f t="shared" si="18"/>
        <v/>
      </c>
      <c r="R235" s="5" t="str">
        <f>IF(B235="","",SUMIFS(PRESENCES_INDEMNITES!$N$2:$N$501,PRESENCES_INDEMNITES!$B$2:$B$501,B235,PRESENCES_INDEMNITES!$S$2:$S$501,"CONFORME"))</f>
        <v/>
      </c>
      <c r="S235" s="5" t="str">
        <f>IF(B235="","",SUMIFS(REFERENTIEL_BUDGET!$J$2:$J$101,REFERENTIEL_BUDGET!$A$2:$A$101,B235,REFERENTIEL_BUDGET!$E$2:$E$101,"Indemnités participants"))</f>
        <v/>
      </c>
      <c r="T235" t="str">
        <f>IF(B235="","",IF(COUNTIFS(PRESENCES_INDEMNITES!$B$2:$B$501,B235,PRESENCES_INDEMNITES!$S$2:$S$501,"&lt;&gt;CONFORME",PRESENCES_INDEMNITES!$S$2:$S$501,"&lt;&gt;")&gt;0,"Anomalie détectée",IF(R235&gt;S235,"Dépassement budget indemnités","Conforme")))</f>
        <v/>
      </c>
      <c r="V235" t="str">
        <f t="shared" si="19"/>
        <v/>
      </c>
    </row>
    <row r="236" spans="1:22">
      <c r="A236">
        <f t="shared" si="15"/>
        <v>235</v>
      </c>
      <c r="C236" t="str">
        <f>+IFERROR(VLOOKUP(ControlePJTable[[#This Row],[Code activité]],'LISTES ACTIVITES'!$A$1:$B$38,2,FALSE()),"")</f>
        <v/>
      </c>
      <c r="D236" s="3"/>
      <c r="E236" s="3"/>
      <c r="F236" s="3"/>
      <c r="J236" s="5"/>
      <c r="K236" s="5"/>
      <c r="L236" s="5"/>
      <c r="M236" s="5" t="str">
        <f t="shared" si="16"/>
        <v/>
      </c>
      <c r="N236" s="5" t="str">
        <f t="shared" si="17"/>
        <v/>
      </c>
      <c r="Q236" t="str">
        <f t="shared" si="18"/>
        <v/>
      </c>
      <c r="R236" s="5" t="str">
        <f>IF(B236="","",SUMIFS(PRESENCES_INDEMNITES!$N$2:$N$501,PRESENCES_INDEMNITES!$B$2:$B$501,B236,PRESENCES_INDEMNITES!$S$2:$S$501,"CONFORME"))</f>
        <v/>
      </c>
      <c r="S236" s="5" t="str">
        <f>IF(B236="","",SUMIFS(REFERENTIEL_BUDGET!$J$2:$J$101,REFERENTIEL_BUDGET!$A$2:$A$101,B236,REFERENTIEL_BUDGET!$E$2:$E$101,"Indemnités participants"))</f>
        <v/>
      </c>
      <c r="T236" t="str">
        <f>IF(B236="","",IF(COUNTIFS(PRESENCES_INDEMNITES!$B$2:$B$501,B236,PRESENCES_INDEMNITES!$S$2:$S$501,"&lt;&gt;CONFORME",PRESENCES_INDEMNITES!$S$2:$S$501,"&lt;&gt;")&gt;0,"Anomalie détectée",IF(R236&gt;S236,"Dépassement budget indemnités","Conforme")))</f>
        <v/>
      </c>
      <c r="V236" t="str">
        <f t="shared" si="19"/>
        <v/>
      </c>
    </row>
    <row r="237" spans="1:22">
      <c r="A237">
        <f t="shared" si="15"/>
        <v>236</v>
      </c>
      <c r="C237" t="str">
        <f>+IFERROR(VLOOKUP(ControlePJTable[[#This Row],[Code activité]],'LISTES ACTIVITES'!$A$1:$B$38,2,FALSE()),"")</f>
        <v/>
      </c>
      <c r="D237" s="3"/>
      <c r="E237" s="3"/>
      <c r="F237" s="3"/>
      <c r="J237" s="5"/>
      <c r="K237" s="5"/>
      <c r="L237" s="5"/>
      <c r="M237" s="5" t="str">
        <f t="shared" si="16"/>
        <v/>
      </c>
      <c r="N237" s="5" t="str">
        <f t="shared" si="17"/>
        <v/>
      </c>
      <c r="Q237" t="str">
        <f t="shared" si="18"/>
        <v/>
      </c>
      <c r="R237" s="5" t="str">
        <f>IF(B237="","",SUMIFS(PRESENCES_INDEMNITES!$N$2:$N$501,PRESENCES_INDEMNITES!$B$2:$B$501,B237,PRESENCES_INDEMNITES!$S$2:$S$501,"CONFORME"))</f>
        <v/>
      </c>
      <c r="S237" s="5" t="str">
        <f>IF(B237="","",SUMIFS(REFERENTIEL_BUDGET!$J$2:$J$101,REFERENTIEL_BUDGET!$A$2:$A$101,B237,REFERENTIEL_BUDGET!$E$2:$E$101,"Indemnités participants"))</f>
        <v/>
      </c>
      <c r="T237" t="str">
        <f>IF(B237="","",IF(COUNTIFS(PRESENCES_INDEMNITES!$B$2:$B$501,B237,PRESENCES_INDEMNITES!$S$2:$S$501,"&lt;&gt;CONFORME",PRESENCES_INDEMNITES!$S$2:$S$501,"&lt;&gt;")&gt;0,"Anomalie détectée",IF(R237&gt;S237,"Dépassement budget indemnités","Conforme")))</f>
        <v/>
      </c>
      <c r="V237" t="str">
        <f t="shared" si="19"/>
        <v/>
      </c>
    </row>
    <row r="238" spans="1:22">
      <c r="A238">
        <f t="shared" si="15"/>
        <v>237</v>
      </c>
      <c r="C238" t="str">
        <f>+IFERROR(VLOOKUP(ControlePJTable[[#This Row],[Code activité]],'LISTES ACTIVITES'!$A$1:$B$38,2,FALSE()),"")</f>
        <v/>
      </c>
      <c r="D238" s="3"/>
      <c r="E238" s="3"/>
      <c r="F238" s="3"/>
      <c r="J238" s="5"/>
      <c r="K238" s="5"/>
      <c r="L238" s="5"/>
      <c r="M238" s="5" t="str">
        <f t="shared" si="16"/>
        <v/>
      </c>
      <c r="N238" s="5" t="str">
        <f t="shared" si="17"/>
        <v/>
      </c>
      <c r="Q238" t="str">
        <f t="shared" si="18"/>
        <v/>
      </c>
      <c r="R238" s="5" t="str">
        <f>IF(B238="","",SUMIFS(PRESENCES_INDEMNITES!$N$2:$N$501,PRESENCES_INDEMNITES!$B$2:$B$501,B238,PRESENCES_INDEMNITES!$S$2:$S$501,"CONFORME"))</f>
        <v/>
      </c>
      <c r="S238" s="5" t="str">
        <f>IF(B238="","",SUMIFS(REFERENTIEL_BUDGET!$J$2:$J$101,REFERENTIEL_BUDGET!$A$2:$A$101,B238,REFERENTIEL_BUDGET!$E$2:$E$101,"Indemnités participants"))</f>
        <v/>
      </c>
      <c r="T238" t="str">
        <f>IF(B238="","",IF(COUNTIFS(PRESENCES_INDEMNITES!$B$2:$B$501,B238,PRESENCES_INDEMNITES!$S$2:$S$501,"&lt;&gt;CONFORME",PRESENCES_INDEMNITES!$S$2:$S$501,"&lt;&gt;")&gt;0,"Anomalie détectée",IF(R238&gt;S238,"Dépassement budget indemnités","Conforme")))</f>
        <v/>
      </c>
      <c r="V238" t="str">
        <f t="shared" si="19"/>
        <v/>
      </c>
    </row>
    <row r="239" spans="1:22">
      <c r="A239">
        <f t="shared" si="15"/>
        <v>238</v>
      </c>
      <c r="C239" t="str">
        <f>+IFERROR(VLOOKUP(ControlePJTable[[#This Row],[Code activité]],'LISTES ACTIVITES'!$A$1:$B$38,2,FALSE()),"")</f>
        <v/>
      </c>
      <c r="D239" s="3"/>
      <c r="E239" s="3"/>
      <c r="F239" s="3"/>
      <c r="J239" s="5"/>
      <c r="K239" s="5"/>
      <c r="L239" s="5"/>
      <c r="M239" s="5" t="str">
        <f t="shared" si="16"/>
        <v/>
      </c>
      <c r="N239" s="5" t="str">
        <f t="shared" si="17"/>
        <v/>
      </c>
      <c r="Q239" t="str">
        <f t="shared" si="18"/>
        <v/>
      </c>
      <c r="R239" s="5" t="str">
        <f>IF(B239="","",SUMIFS(PRESENCES_INDEMNITES!$N$2:$N$501,PRESENCES_INDEMNITES!$B$2:$B$501,B239,PRESENCES_INDEMNITES!$S$2:$S$501,"CONFORME"))</f>
        <v/>
      </c>
      <c r="S239" s="5" t="str">
        <f>IF(B239="","",SUMIFS(REFERENTIEL_BUDGET!$J$2:$J$101,REFERENTIEL_BUDGET!$A$2:$A$101,B239,REFERENTIEL_BUDGET!$E$2:$E$101,"Indemnités participants"))</f>
        <v/>
      </c>
      <c r="T239" t="str">
        <f>IF(B239="","",IF(COUNTIFS(PRESENCES_INDEMNITES!$B$2:$B$501,B239,PRESENCES_INDEMNITES!$S$2:$S$501,"&lt;&gt;CONFORME",PRESENCES_INDEMNITES!$S$2:$S$501,"&lt;&gt;")&gt;0,"Anomalie détectée",IF(R239&gt;S239,"Dépassement budget indemnités","Conforme")))</f>
        <v/>
      </c>
      <c r="V239" t="str">
        <f t="shared" si="19"/>
        <v/>
      </c>
    </row>
    <row r="240" spans="1:22">
      <c r="A240">
        <f t="shared" si="15"/>
        <v>239</v>
      </c>
      <c r="C240" t="str">
        <f>+IFERROR(VLOOKUP(ControlePJTable[[#This Row],[Code activité]],'LISTES ACTIVITES'!$A$1:$B$38,2,FALSE()),"")</f>
        <v/>
      </c>
      <c r="D240" s="3"/>
      <c r="E240" s="3"/>
      <c r="F240" s="3"/>
      <c r="J240" s="5"/>
      <c r="K240" s="5"/>
      <c r="L240" s="5"/>
      <c r="M240" s="5" t="str">
        <f t="shared" si="16"/>
        <v/>
      </c>
      <c r="N240" s="5" t="str">
        <f t="shared" si="17"/>
        <v/>
      </c>
      <c r="Q240" t="str">
        <f t="shared" si="18"/>
        <v/>
      </c>
      <c r="R240" s="5" t="str">
        <f>IF(B240="","",SUMIFS(PRESENCES_INDEMNITES!$N$2:$N$501,PRESENCES_INDEMNITES!$B$2:$B$501,B240,PRESENCES_INDEMNITES!$S$2:$S$501,"CONFORME"))</f>
        <v/>
      </c>
      <c r="S240" s="5" t="str">
        <f>IF(B240="","",SUMIFS(REFERENTIEL_BUDGET!$J$2:$J$101,REFERENTIEL_BUDGET!$A$2:$A$101,B240,REFERENTIEL_BUDGET!$E$2:$E$101,"Indemnités participants"))</f>
        <v/>
      </c>
      <c r="T240" t="str">
        <f>IF(B240="","",IF(COUNTIFS(PRESENCES_INDEMNITES!$B$2:$B$501,B240,PRESENCES_INDEMNITES!$S$2:$S$501,"&lt;&gt;CONFORME",PRESENCES_INDEMNITES!$S$2:$S$501,"&lt;&gt;")&gt;0,"Anomalie détectée",IF(R240&gt;S240,"Dépassement budget indemnités","Conforme")))</f>
        <v/>
      </c>
      <c r="V240" t="str">
        <f t="shared" si="19"/>
        <v/>
      </c>
    </row>
    <row r="241" spans="1:22">
      <c r="A241">
        <f t="shared" si="15"/>
        <v>240</v>
      </c>
      <c r="C241" t="str">
        <f>+IFERROR(VLOOKUP(ControlePJTable[[#This Row],[Code activité]],'LISTES ACTIVITES'!$A$1:$B$38,2,FALSE()),"")</f>
        <v/>
      </c>
      <c r="D241" s="3"/>
      <c r="E241" s="3"/>
      <c r="F241" s="3"/>
      <c r="J241" s="5"/>
      <c r="K241" s="5"/>
      <c r="L241" s="5"/>
      <c r="M241" s="5" t="str">
        <f t="shared" si="16"/>
        <v/>
      </c>
      <c r="N241" s="5" t="str">
        <f t="shared" si="17"/>
        <v/>
      </c>
      <c r="Q241" t="str">
        <f t="shared" si="18"/>
        <v/>
      </c>
      <c r="R241" s="5" t="str">
        <f>IF(B241="","",SUMIFS(PRESENCES_INDEMNITES!$N$2:$N$501,PRESENCES_INDEMNITES!$B$2:$B$501,B241,PRESENCES_INDEMNITES!$S$2:$S$501,"CONFORME"))</f>
        <v/>
      </c>
      <c r="S241" s="5" t="str">
        <f>IF(B241="","",SUMIFS(REFERENTIEL_BUDGET!$J$2:$J$101,REFERENTIEL_BUDGET!$A$2:$A$101,B241,REFERENTIEL_BUDGET!$E$2:$E$101,"Indemnités participants"))</f>
        <v/>
      </c>
      <c r="T241" t="str">
        <f>IF(B241="","",IF(COUNTIFS(PRESENCES_INDEMNITES!$B$2:$B$501,B241,PRESENCES_INDEMNITES!$S$2:$S$501,"&lt;&gt;CONFORME",PRESENCES_INDEMNITES!$S$2:$S$501,"&lt;&gt;")&gt;0,"Anomalie détectée",IF(R241&gt;S241,"Dépassement budget indemnités","Conforme")))</f>
        <v/>
      </c>
      <c r="V241" t="str">
        <f t="shared" si="19"/>
        <v/>
      </c>
    </row>
    <row r="242" spans="1:22">
      <c r="A242">
        <f t="shared" si="15"/>
        <v>241</v>
      </c>
      <c r="C242" t="str">
        <f>+IFERROR(VLOOKUP(ControlePJTable[[#This Row],[Code activité]],'LISTES ACTIVITES'!$A$1:$B$38,2,FALSE()),"")</f>
        <v/>
      </c>
      <c r="D242" s="3"/>
      <c r="E242" s="3"/>
      <c r="F242" s="3"/>
      <c r="J242" s="5"/>
      <c r="K242" s="5"/>
      <c r="L242" s="5"/>
      <c r="M242" s="5" t="str">
        <f t="shared" si="16"/>
        <v/>
      </c>
      <c r="N242" s="5" t="str">
        <f t="shared" si="17"/>
        <v/>
      </c>
      <c r="Q242" t="str">
        <f t="shared" si="18"/>
        <v/>
      </c>
      <c r="R242" s="5" t="str">
        <f>IF(B242="","",SUMIFS(PRESENCES_INDEMNITES!$N$2:$N$501,PRESENCES_INDEMNITES!$B$2:$B$501,B242,PRESENCES_INDEMNITES!$S$2:$S$501,"CONFORME"))</f>
        <v/>
      </c>
      <c r="S242" s="5" t="str">
        <f>IF(B242="","",SUMIFS(REFERENTIEL_BUDGET!$J$2:$J$101,REFERENTIEL_BUDGET!$A$2:$A$101,B242,REFERENTIEL_BUDGET!$E$2:$E$101,"Indemnités participants"))</f>
        <v/>
      </c>
      <c r="T242" t="str">
        <f>IF(B242="","",IF(COUNTIFS(PRESENCES_INDEMNITES!$B$2:$B$501,B242,PRESENCES_INDEMNITES!$S$2:$S$501,"&lt;&gt;CONFORME",PRESENCES_INDEMNITES!$S$2:$S$501,"&lt;&gt;")&gt;0,"Anomalie détectée",IF(R242&gt;S242,"Dépassement budget indemnités","Conforme")))</f>
        <v/>
      </c>
      <c r="V242" t="str">
        <f t="shared" si="19"/>
        <v/>
      </c>
    </row>
    <row r="243" spans="1:22">
      <c r="A243">
        <f t="shared" si="15"/>
        <v>242</v>
      </c>
      <c r="C243" t="str">
        <f>+IFERROR(VLOOKUP(ControlePJTable[[#This Row],[Code activité]],'LISTES ACTIVITES'!$A$1:$B$38,2,FALSE()),"")</f>
        <v/>
      </c>
      <c r="D243" s="3"/>
      <c r="E243" s="3"/>
      <c r="F243" s="3"/>
      <c r="J243" s="5"/>
      <c r="K243" s="5"/>
      <c r="L243" s="5"/>
      <c r="M243" s="5" t="str">
        <f t="shared" si="16"/>
        <v/>
      </c>
      <c r="N243" s="5" t="str">
        <f t="shared" si="17"/>
        <v/>
      </c>
      <c r="Q243" t="str">
        <f t="shared" si="18"/>
        <v/>
      </c>
      <c r="R243" s="5" t="str">
        <f>IF(B243="","",SUMIFS(PRESENCES_INDEMNITES!$N$2:$N$501,PRESENCES_INDEMNITES!$B$2:$B$501,B243,PRESENCES_INDEMNITES!$S$2:$S$501,"CONFORME"))</f>
        <v/>
      </c>
      <c r="S243" s="5" t="str">
        <f>IF(B243="","",SUMIFS(REFERENTIEL_BUDGET!$J$2:$J$101,REFERENTIEL_BUDGET!$A$2:$A$101,B243,REFERENTIEL_BUDGET!$E$2:$E$101,"Indemnités participants"))</f>
        <v/>
      </c>
      <c r="T243" t="str">
        <f>IF(B243="","",IF(COUNTIFS(PRESENCES_INDEMNITES!$B$2:$B$501,B243,PRESENCES_INDEMNITES!$S$2:$S$501,"&lt;&gt;CONFORME",PRESENCES_INDEMNITES!$S$2:$S$501,"&lt;&gt;")&gt;0,"Anomalie détectée",IF(R243&gt;S243,"Dépassement budget indemnités","Conforme")))</f>
        <v/>
      </c>
      <c r="V243" t="str">
        <f t="shared" si="19"/>
        <v/>
      </c>
    </row>
    <row r="244" spans="1:22">
      <c r="A244">
        <f t="shared" si="15"/>
        <v>243</v>
      </c>
      <c r="C244" t="str">
        <f>+IFERROR(VLOOKUP(ControlePJTable[[#This Row],[Code activité]],'LISTES ACTIVITES'!$A$1:$B$38,2,FALSE()),"")</f>
        <v/>
      </c>
      <c r="D244" s="3"/>
      <c r="E244" s="3"/>
      <c r="F244" s="3"/>
      <c r="J244" s="5"/>
      <c r="K244" s="5"/>
      <c r="L244" s="5"/>
      <c r="M244" s="5" t="str">
        <f t="shared" si="16"/>
        <v/>
      </c>
      <c r="N244" s="5" t="str">
        <f t="shared" si="17"/>
        <v/>
      </c>
      <c r="Q244" t="str">
        <f t="shared" si="18"/>
        <v/>
      </c>
      <c r="R244" s="5" t="str">
        <f>IF(B244="","",SUMIFS(PRESENCES_INDEMNITES!$N$2:$N$501,PRESENCES_INDEMNITES!$B$2:$B$501,B244,PRESENCES_INDEMNITES!$S$2:$S$501,"CONFORME"))</f>
        <v/>
      </c>
      <c r="S244" s="5" t="str">
        <f>IF(B244="","",SUMIFS(REFERENTIEL_BUDGET!$J$2:$J$101,REFERENTIEL_BUDGET!$A$2:$A$101,B244,REFERENTIEL_BUDGET!$E$2:$E$101,"Indemnités participants"))</f>
        <v/>
      </c>
      <c r="T244" t="str">
        <f>IF(B244="","",IF(COUNTIFS(PRESENCES_INDEMNITES!$B$2:$B$501,B244,PRESENCES_INDEMNITES!$S$2:$S$501,"&lt;&gt;CONFORME",PRESENCES_INDEMNITES!$S$2:$S$501,"&lt;&gt;")&gt;0,"Anomalie détectée",IF(R244&gt;S244,"Dépassement budget indemnités","Conforme")))</f>
        <v/>
      </c>
      <c r="V244" t="str">
        <f t="shared" si="19"/>
        <v/>
      </c>
    </row>
    <row r="245" spans="1:22">
      <c r="A245">
        <f t="shared" si="15"/>
        <v>244</v>
      </c>
      <c r="C245" t="str">
        <f>+IFERROR(VLOOKUP(ControlePJTable[[#This Row],[Code activité]],'LISTES ACTIVITES'!$A$1:$B$38,2,FALSE()),"")</f>
        <v/>
      </c>
      <c r="D245" s="3"/>
      <c r="E245" s="3"/>
      <c r="F245" s="3"/>
      <c r="J245" s="5"/>
      <c r="K245" s="5"/>
      <c r="L245" s="5"/>
      <c r="M245" s="5" t="str">
        <f t="shared" si="16"/>
        <v/>
      </c>
      <c r="N245" s="5" t="str">
        <f t="shared" si="17"/>
        <v/>
      </c>
      <c r="Q245" t="str">
        <f t="shared" si="18"/>
        <v/>
      </c>
      <c r="R245" s="5" t="str">
        <f>IF(B245="","",SUMIFS(PRESENCES_INDEMNITES!$N$2:$N$501,PRESENCES_INDEMNITES!$B$2:$B$501,B245,PRESENCES_INDEMNITES!$S$2:$S$501,"CONFORME"))</f>
        <v/>
      </c>
      <c r="S245" s="5" t="str">
        <f>IF(B245="","",SUMIFS(REFERENTIEL_BUDGET!$J$2:$J$101,REFERENTIEL_BUDGET!$A$2:$A$101,B245,REFERENTIEL_BUDGET!$E$2:$E$101,"Indemnités participants"))</f>
        <v/>
      </c>
      <c r="T245" t="str">
        <f>IF(B245="","",IF(COUNTIFS(PRESENCES_INDEMNITES!$B$2:$B$501,B245,PRESENCES_INDEMNITES!$S$2:$S$501,"&lt;&gt;CONFORME",PRESENCES_INDEMNITES!$S$2:$S$501,"&lt;&gt;")&gt;0,"Anomalie détectée",IF(R245&gt;S245,"Dépassement budget indemnités","Conforme")))</f>
        <v/>
      </c>
      <c r="V245" t="str">
        <f t="shared" si="19"/>
        <v/>
      </c>
    </row>
    <row r="246" spans="1:22">
      <c r="A246">
        <f t="shared" si="15"/>
        <v>245</v>
      </c>
      <c r="C246" t="str">
        <f>+IFERROR(VLOOKUP(ControlePJTable[[#This Row],[Code activité]],'LISTES ACTIVITES'!$A$1:$B$38,2,FALSE()),"")</f>
        <v/>
      </c>
      <c r="D246" s="3"/>
      <c r="E246" s="3"/>
      <c r="F246" s="3"/>
      <c r="J246" s="5"/>
      <c r="K246" s="5"/>
      <c r="L246" s="5"/>
      <c r="M246" s="5" t="str">
        <f t="shared" si="16"/>
        <v/>
      </c>
      <c r="N246" s="5" t="str">
        <f t="shared" si="17"/>
        <v/>
      </c>
      <c r="Q246" t="str">
        <f t="shared" si="18"/>
        <v/>
      </c>
      <c r="R246" s="5" t="str">
        <f>IF(B246="","",SUMIFS(PRESENCES_INDEMNITES!$N$2:$N$501,PRESENCES_INDEMNITES!$B$2:$B$501,B246,PRESENCES_INDEMNITES!$S$2:$S$501,"CONFORME"))</f>
        <v/>
      </c>
      <c r="S246" s="5" t="str">
        <f>IF(B246="","",SUMIFS(REFERENTIEL_BUDGET!$J$2:$J$101,REFERENTIEL_BUDGET!$A$2:$A$101,B246,REFERENTIEL_BUDGET!$E$2:$E$101,"Indemnités participants"))</f>
        <v/>
      </c>
      <c r="T246" t="str">
        <f>IF(B246="","",IF(COUNTIFS(PRESENCES_INDEMNITES!$B$2:$B$501,B246,PRESENCES_INDEMNITES!$S$2:$S$501,"&lt;&gt;CONFORME",PRESENCES_INDEMNITES!$S$2:$S$501,"&lt;&gt;")&gt;0,"Anomalie détectée",IF(R246&gt;S246,"Dépassement budget indemnités","Conforme")))</f>
        <v/>
      </c>
      <c r="V246" t="str">
        <f t="shared" si="19"/>
        <v/>
      </c>
    </row>
    <row r="247" spans="1:22">
      <c r="A247">
        <f t="shared" si="15"/>
        <v>246</v>
      </c>
      <c r="C247" t="str">
        <f>+IFERROR(VLOOKUP(ControlePJTable[[#This Row],[Code activité]],'LISTES ACTIVITES'!$A$1:$B$38,2,FALSE()),"")</f>
        <v/>
      </c>
      <c r="D247" s="3"/>
      <c r="E247" s="3"/>
      <c r="F247" s="3"/>
      <c r="J247" s="5"/>
      <c r="K247" s="5"/>
      <c r="L247" s="5"/>
      <c r="M247" s="5" t="str">
        <f t="shared" si="16"/>
        <v/>
      </c>
      <c r="N247" s="5" t="str">
        <f t="shared" si="17"/>
        <v/>
      </c>
      <c r="Q247" t="str">
        <f t="shared" si="18"/>
        <v/>
      </c>
      <c r="R247" s="5" t="str">
        <f>IF(B247="","",SUMIFS(PRESENCES_INDEMNITES!$N$2:$N$501,PRESENCES_INDEMNITES!$B$2:$B$501,B247,PRESENCES_INDEMNITES!$S$2:$S$501,"CONFORME"))</f>
        <v/>
      </c>
      <c r="S247" s="5" t="str">
        <f>IF(B247="","",SUMIFS(REFERENTIEL_BUDGET!$J$2:$J$101,REFERENTIEL_BUDGET!$A$2:$A$101,B247,REFERENTIEL_BUDGET!$E$2:$E$101,"Indemnités participants"))</f>
        <v/>
      </c>
      <c r="T247" t="str">
        <f>IF(B247="","",IF(COUNTIFS(PRESENCES_INDEMNITES!$B$2:$B$501,B247,PRESENCES_INDEMNITES!$S$2:$S$501,"&lt;&gt;CONFORME",PRESENCES_INDEMNITES!$S$2:$S$501,"&lt;&gt;")&gt;0,"Anomalie détectée",IF(R247&gt;S247,"Dépassement budget indemnités","Conforme")))</f>
        <v/>
      </c>
      <c r="V247" t="str">
        <f t="shared" si="19"/>
        <v/>
      </c>
    </row>
    <row r="248" spans="1:22">
      <c r="A248">
        <f t="shared" si="15"/>
        <v>247</v>
      </c>
      <c r="C248" t="str">
        <f>+IFERROR(VLOOKUP(ControlePJTable[[#This Row],[Code activité]],'LISTES ACTIVITES'!$A$1:$B$38,2,FALSE()),"")</f>
        <v/>
      </c>
      <c r="D248" s="3"/>
      <c r="E248" s="3"/>
      <c r="F248" s="3"/>
      <c r="J248" s="5"/>
      <c r="K248" s="5"/>
      <c r="L248" s="5"/>
      <c r="M248" s="5" t="str">
        <f t="shared" si="16"/>
        <v/>
      </c>
      <c r="N248" s="5" t="str">
        <f t="shared" si="17"/>
        <v/>
      </c>
      <c r="Q248" t="str">
        <f t="shared" si="18"/>
        <v/>
      </c>
      <c r="R248" s="5" t="str">
        <f>IF(B248="","",SUMIFS(PRESENCES_INDEMNITES!$N$2:$N$501,PRESENCES_INDEMNITES!$B$2:$B$501,B248,PRESENCES_INDEMNITES!$S$2:$S$501,"CONFORME"))</f>
        <v/>
      </c>
      <c r="S248" s="5" t="str">
        <f>IF(B248="","",SUMIFS(REFERENTIEL_BUDGET!$J$2:$J$101,REFERENTIEL_BUDGET!$A$2:$A$101,B248,REFERENTIEL_BUDGET!$E$2:$E$101,"Indemnités participants"))</f>
        <v/>
      </c>
      <c r="T248" t="str">
        <f>IF(B248="","",IF(COUNTIFS(PRESENCES_INDEMNITES!$B$2:$B$501,B248,PRESENCES_INDEMNITES!$S$2:$S$501,"&lt;&gt;CONFORME",PRESENCES_INDEMNITES!$S$2:$S$501,"&lt;&gt;")&gt;0,"Anomalie détectée",IF(R248&gt;S248,"Dépassement budget indemnités","Conforme")))</f>
        <v/>
      </c>
      <c r="V248" t="str">
        <f t="shared" si="19"/>
        <v/>
      </c>
    </row>
    <row r="249" spans="1:22">
      <c r="A249">
        <f t="shared" si="15"/>
        <v>248</v>
      </c>
      <c r="C249" t="str">
        <f>+IFERROR(VLOOKUP(ControlePJTable[[#This Row],[Code activité]],'LISTES ACTIVITES'!$A$1:$B$38,2,FALSE()),"")</f>
        <v/>
      </c>
      <c r="D249" s="3"/>
      <c r="E249" s="3"/>
      <c r="F249" s="3"/>
      <c r="J249" s="5"/>
      <c r="K249" s="5"/>
      <c r="L249" s="5"/>
      <c r="M249" s="5" t="str">
        <f t="shared" si="16"/>
        <v/>
      </c>
      <c r="N249" s="5" t="str">
        <f t="shared" si="17"/>
        <v/>
      </c>
      <c r="Q249" t="str">
        <f t="shared" si="18"/>
        <v/>
      </c>
      <c r="R249" s="5" t="str">
        <f>IF(B249="","",SUMIFS(PRESENCES_INDEMNITES!$N$2:$N$501,PRESENCES_INDEMNITES!$B$2:$B$501,B249,PRESENCES_INDEMNITES!$S$2:$S$501,"CONFORME"))</f>
        <v/>
      </c>
      <c r="S249" s="5" t="str">
        <f>IF(B249="","",SUMIFS(REFERENTIEL_BUDGET!$J$2:$J$101,REFERENTIEL_BUDGET!$A$2:$A$101,B249,REFERENTIEL_BUDGET!$E$2:$E$101,"Indemnités participants"))</f>
        <v/>
      </c>
      <c r="T249" t="str">
        <f>IF(B249="","",IF(COUNTIFS(PRESENCES_INDEMNITES!$B$2:$B$501,B249,PRESENCES_INDEMNITES!$S$2:$S$501,"&lt;&gt;CONFORME",PRESENCES_INDEMNITES!$S$2:$S$501,"&lt;&gt;")&gt;0,"Anomalie détectée",IF(R249&gt;S249,"Dépassement budget indemnités","Conforme")))</f>
        <v/>
      </c>
      <c r="V249" t="str">
        <f t="shared" si="19"/>
        <v/>
      </c>
    </row>
    <row r="250" spans="1:22">
      <c r="A250">
        <f t="shared" si="15"/>
        <v>249</v>
      </c>
      <c r="C250" t="str">
        <f>+IFERROR(VLOOKUP(ControlePJTable[[#This Row],[Code activité]],'LISTES ACTIVITES'!$A$1:$B$38,2,FALSE()),"")</f>
        <v/>
      </c>
      <c r="D250" s="3"/>
      <c r="E250" s="3"/>
      <c r="F250" s="3"/>
      <c r="J250" s="5"/>
      <c r="K250" s="5"/>
      <c r="L250" s="5"/>
      <c r="M250" s="5" t="str">
        <f t="shared" si="16"/>
        <v/>
      </c>
      <c r="N250" s="5" t="str">
        <f t="shared" si="17"/>
        <v/>
      </c>
      <c r="Q250" t="str">
        <f t="shared" si="18"/>
        <v/>
      </c>
      <c r="R250" s="5" t="str">
        <f>IF(B250="","",SUMIFS(PRESENCES_INDEMNITES!$N$2:$N$501,PRESENCES_INDEMNITES!$B$2:$B$501,B250,PRESENCES_INDEMNITES!$S$2:$S$501,"CONFORME"))</f>
        <v/>
      </c>
      <c r="S250" s="5" t="str">
        <f>IF(B250="","",SUMIFS(REFERENTIEL_BUDGET!$J$2:$J$101,REFERENTIEL_BUDGET!$A$2:$A$101,B250,REFERENTIEL_BUDGET!$E$2:$E$101,"Indemnités participants"))</f>
        <v/>
      </c>
      <c r="T250" t="str">
        <f>IF(B250="","",IF(COUNTIFS(PRESENCES_INDEMNITES!$B$2:$B$501,B250,PRESENCES_INDEMNITES!$S$2:$S$501,"&lt;&gt;CONFORME",PRESENCES_INDEMNITES!$S$2:$S$501,"&lt;&gt;")&gt;0,"Anomalie détectée",IF(R250&gt;S250,"Dépassement budget indemnités","Conforme")))</f>
        <v/>
      </c>
      <c r="V250" t="str">
        <f t="shared" si="19"/>
        <v/>
      </c>
    </row>
    <row r="251" spans="1:22">
      <c r="A251">
        <f t="shared" si="15"/>
        <v>250</v>
      </c>
      <c r="C251" t="str">
        <f>+IFERROR(VLOOKUP(ControlePJTable[[#This Row],[Code activité]],'LISTES ACTIVITES'!$A$1:$B$38,2,FALSE()),"")</f>
        <v/>
      </c>
      <c r="D251" s="3"/>
      <c r="E251" s="3"/>
      <c r="F251" s="3"/>
      <c r="J251" s="5"/>
      <c r="K251" s="5"/>
      <c r="L251" s="5"/>
      <c r="M251" s="5" t="str">
        <f t="shared" si="16"/>
        <v/>
      </c>
      <c r="N251" s="5" t="str">
        <f t="shared" si="17"/>
        <v/>
      </c>
      <c r="Q251" t="str">
        <f t="shared" si="18"/>
        <v/>
      </c>
      <c r="R251" s="5" t="str">
        <f>IF(B251="","",SUMIFS(PRESENCES_INDEMNITES!$N$2:$N$501,PRESENCES_INDEMNITES!$B$2:$B$501,B251,PRESENCES_INDEMNITES!$S$2:$S$501,"CONFORME"))</f>
        <v/>
      </c>
      <c r="S251" s="5" t="str">
        <f>IF(B251="","",SUMIFS(REFERENTIEL_BUDGET!$J$2:$J$101,REFERENTIEL_BUDGET!$A$2:$A$101,B251,REFERENTIEL_BUDGET!$E$2:$E$101,"Indemnités participants"))</f>
        <v/>
      </c>
      <c r="T251" t="str">
        <f>IF(B251="","",IF(COUNTIFS(PRESENCES_INDEMNITES!$B$2:$B$501,B251,PRESENCES_INDEMNITES!$S$2:$S$501,"&lt;&gt;CONFORME",PRESENCES_INDEMNITES!$S$2:$S$501,"&lt;&gt;")&gt;0,"Anomalie détectée",IF(R251&gt;S251,"Dépassement budget indemnités","Conforme")))</f>
        <v/>
      </c>
      <c r="V251" t="str">
        <f t="shared" si="19"/>
        <v/>
      </c>
    </row>
    <row r="252" spans="1:22">
      <c r="A252">
        <f t="shared" si="15"/>
        <v>251</v>
      </c>
      <c r="C252" t="str">
        <f>+IFERROR(VLOOKUP(ControlePJTable[[#This Row],[Code activité]],'LISTES ACTIVITES'!$A$1:$B$38,2,FALSE()),"")</f>
        <v/>
      </c>
      <c r="D252" s="3"/>
      <c r="E252" s="3"/>
      <c r="F252" s="3"/>
      <c r="J252" s="5"/>
      <c r="K252" s="5"/>
      <c r="L252" s="5"/>
      <c r="M252" s="5" t="str">
        <f t="shared" si="16"/>
        <v/>
      </c>
      <c r="N252" s="5" t="str">
        <f t="shared" si="17"/>
        <v/>
      </c>
      <c r="Q252" t="str">
        <f t="shared" si="18"/>
        <v/>
      </c>
      <c r="R252" s="5" t="str">
        <f>IF(B252="","",SUMIFS(PRESENCES_INDEMNITES!$N$2:$N$501,PRESENCES_INDEMNITES!$B$2:$B$501,B252,PRESENCES_INDEMNITES!$S$2:$S$501,"CONFORME"))</f>
        <v/>
      </c>
      <c r="S252" s="5" t="str">
        <f>IF(B252="","",SUMIFS(REFERENTIEL_BUDGET!$J$2:$J$101,REFERENTIEL_BUDGET!$A$2:$A$101,B252,REFERENTIEL_BUDGET!$E$2:$E$101,"Indemnités participants"))</f>
        <v/>
      </c>
      <c r="T252" t="str">
        <f>IF(B252="","",IF(COUNTIFS(PRESENCES_INDEMNITES!$B$2:$B$501,B252,PRESENCES_INDEMNITES!$S$2:$S$501,"&lt;&gt;CONFORME",PRESENCES_INDEMNITES!$S$2:$S$501,"&lt;&gt;")&gt;0,"Anomalie détectée",IF(R252&gt;S252,"Dépassement budget indemnités","Conforme")))</f>
        <v/>
      </c>
      <c r="V252" t="str">
        <f t="shared" si="19"/>
        <v/>
      </c>
    </row>
    <row r="253" spans="1:22">
      <c r="A253">
        <f t="shared" si="15"/>
        <v>252</v>
      </c>
      <c r="C253" t="str">
        <f>+IFERROR(VLOOKUP(ControlePJTable[[#This Row],[Code activité]],'LISTES ACTIVITES'!$A$1:$B$38,2,FALSE()),"")</f>
        <v/>
      </c>
      <c r="D253" s="3"/>
      <c r="E253" s="3"/>
      <c r="F253" s="3"/>
      <c r="J253" s="5"/>
      <c r="K253" s="5"/>
      <c r="L253" s="5"/>
      <c r="M253" s="5" t="str">
        <f t="shared" si="16"/>
        <v/>
      </c>
      <c r="N253" s="5" t="str">
        <f t="shared" si="17"/>
        <v/>
      </c>
      <c r="Q253" t="str">
        <f t="shared" si="18"/>
        <v/>
      </c>
      <c r="R253" s="5" t="str">
        <f>IF(B253="","",SUMIFS(PRESENCES_INDEMNITES!$N$2:$N$501,PRESENCES_INDEMNITES!$B$2:$B$501,B253,PRESENCES_INDEMNITES!$S$2:$S$501,"CONFORME"))</f>
        <v/>
      </c>
      <c r="S253" s="5" t="str">
        <f>IF(B253="","",SUMIFS(REFERENTIEL_BUDGET!$J$2:$J$101,REFERENTIEL_BUDGET!$A$2:$A$101,B253,REFERENTIEL_BUDGET!$E$2:$E$101,"Indemnités participants"))</f>
        <v/>
      </c>
      <c r="T253" t="str">
        <f>IF(B253="","",IF(COUNTIFS(PRESENCES_INDEMNITES!$B$2:$B$501,B253,PRESENCES_INDEMNITES!$S$2:$S$501,"&lt;&gt;CONFORME",PRESENCES_INDEMNITES!$S$2:$S$501,"&lt;&gt;")&gt;0,"Anomalie détectée",IF(R253&gt;S253,"Dépassement budget indemnités","Conforme")))</f>
        <v/>
      </c>
      <c r="V253" t="str">
        <f t="shared" si="19"/>
        <v/>
      </c>
    </row>
    <row r="254" spans="1:22">
      <c r="A254">
        <f t="shared" si="15"/>
        <v>253</v>
      </c>
      <c r="C254" t="str">
        <f>+IFERROR(VLOOKUP(ControlePJTable[[#This Row],[Code activité]],'LISTES ACTIVITES'!$A$1:$B$38,2,FALSE()),"")</f>
        <v/>
      </c>
      <c r="D254" s="3"/>
      <c r="E254" s="3"/>
      <c r="F254" s="3"/>
      <c r="J254" s="5"/>
      <c r="K254" s="5"/>
      <c r="L254" s="5"/>
      <c r="M254" s="5" t="str">
        <f t="shared" si="16"/>
        <v/>
      </c>
      <c r="N254" s="5" t="str">
        <f t="shared" si="17"/>
        <v/>
      </c>
      <c r="Q254" t="str">
        <f t="shared" si="18"/>
        <v/>
      </c>
      <c r="R254" s="5" t="str">
        <f>IF(B254="","",SUMIFS(PRESENCES_INDEMNITES!$N$2:$N$501,PRESENCES_INDEMNITES!$B$2:$B$501,B254,PRESENCES_INDEMNITES!$S$2:$S$501,"CONFORME"))</f>
        <v/>
      </c>
      <c r="S254" s="5" t="str">
        <f>IF(B254="","",SUMIFS(REFERENTIEL_BUDGET!$J$2:$J$101,REFERENTIEL_BUDGET!$A$2:$A$101,B254,REFERENTIEL_BUDGET!$E$2:$E$101,"Indemnités participants"))</f>
        <v/>
      </c>
      <c r="T254" t="str">
        <f>IF(B254="","",IF(COUNTIFS(PRESENCES_INDEMNITES!$B$2:$B$501,B254,PRESENCES_INDEMNITES!$S$2:$S$501,"&lt;&gt;CONFORME",PRESENCES_INDEMNITES!$S$2:$S$501,"&lt;&gt;")&gt;0,"Anomalie détectée",IF(R254&gt;S254,"Dépassement budget indemnités","Conforme")))</f>
        <v/>
      </c>
      <c r="V254" t="str">
        <f t="shared" si="19"/>
        <v/>
      </c>
    </row>
    <row r="255" spans="1:22">
      <c r="A255">
        <f t="shared" si="15"/>
        <v>254</v>
      </c>
      <c r="C255" t="str">
        <f>+IFERROR(VLOOKUP(ControlePJTable[[#This Row],[Code activité]],'LISTES ACTIVITES'!$A$1:$B$38,2,FALSE()),"")</f>
        <v/>
      </c>
      <c r="D255" s="3"/>
      <c r="E255" s="3"/>
      <c r="F255" s="3"/>
      <c r="J255" s="5"/>
      <c r="K255" s="5"/>
      <c r="L255" s="5"/>
      <c r="M255" s="5" t="str">
        <f t="shared" si="16"/>
        <v/>
      </c>
      <c r="N255" s="5" t="str">
        <f t="shared" si="17"/>
        <v/>
      </c>
      <c r="Q255" t="str">
        <f t="shared" si="18"/>
        <v/>
      </c>
      <c r="R255" s="5" t="str">
        <f>IF(B255="","",SUMIFS(PRESENCES_INDEMNITES!$N$2:$N$501,PRESENCES_INDEMNITES!$B$2:$B$501,B255,PRESENCES_INDEMNITES!$S$2:$S$501,"CONFORME"))</f>
        <v/>
      </c>
      <c r="S255" s="5" t="str">
        <f>IF(B255="","",SUMIFS(REFERENTIEL_BUDGET!$J$2:$J$101,REFERENTIEL_BUDGET!$A$2:$A$101,B255,REFERENTIEL_BUDGET!$E$2:$E$101,"Indemnités participants"))</f>
        <v/>
      </c>
      <c r="T255" t="str">
        <f>IF(B255="","",IF(COUNTIFS(PRESENCES_INDEMNITES!$B$2:$B$501,B255,PRESENCES_INDEMNITES!$S$2:$S$501,"&lt;&gt;CONFORME",PRESENCES_INDEMNITES!$S$2:$S$501,"&lt;&gt;")&gt;0,"Anomalie détectée",IF(R255&gt;S255,"Dépassement budget indemnités","Conforme")))</f>
        <v/>
      </c>
      <c r="V255" t="str">
        <f t="shared" si="19"/>
        <v/>
      </c>
    </row>
    <row r="256" spans="1:22">
      <c r="A256">
        <f t="shared" si="15"/>
        <v>255</v>
      </c>
      <c r="C256" t="str">
        <f>+IFERROR(VLOOKUP(ControlePJTable[[#This Row],[Code activité]],'LISTES ACTIVITES'!$A$1:$B$38,2,FALSE()),"")</f>
        <v/>
      </c>
      <c r="D256" s="3"/>
      <c r="E256" s="3"/>
      <c r="F256" s="3"/>
      <c r="J256" s="5"/>
      <c r="K256" s="5"/>
      <c r="L256" s="5"/>
      <c r="M256" s="5" t="str">
        <f t="shared" si="16"/>
        <v/>
      </c>
      <c r="N256" s="5" t="str">
        <f t="shared" si="17"/>
        <v/>
      </c>
      <c r="Q256" t="str">
        <f t="shared" si="18"/>
        <v/>
      </c>
      <c r="R256" s="5" t="str">
        <f>IF(B256="","",SUMIFS(PRESENCES_INDEMNITES!$N$2:$N$501,PRESENCES_INDEMNITES!$B$2:$B$501,B256,PRESENCES_INDEMNITES!$S$2:$S$501,"CONFORME"))</f>
        <v/>
      </c>
      <c r="S256" s="5" t="str">
        <f>IF(B256="","",SUMIFS(REFERENTIEL_BUDGET!$J$2:$J$101,REFERENTIEL_BUDGET!$A$2:$A$101,B256,REFERENTIEL_BUDGET!$E$2:$E$101,"Indemnités participants"))</f>
        <v/>
      </c>
      <c r="T256" t="str">
        <f>IF(B256="","",IF(COUNTIFS(PRESENCES_INDEMNITES!$B$2:$B$501,B256,PRESENCES_INDEMNITES!$S$2:$S$501,"&lt;&gt;CONFORME",PRESENCES_INDEMNITES!$S$2:$S$501,"&lt;&gt;")&gt;0,"Anomalie détectée",IF(R256&gt;S256,"Dépassement budget indemnités","Conforme")))</f>
        <v/>
      </c>
      <c r="V256" t="str">
        <f t="shared" si="19"/>
        <v/>
      </c>
    </row>
    <row r="257" spans="1:22">
      <c r="A257">
        <f t="shared" si="15"/>
        <v>256</v>
      </c>
      <c r="C257" t="str">
        <f>+IFERROR(VLOOKUP(ControlePJTable[[#This Row],[Code activité]],'LISTES ACTIVITES'!$A$1:$B$38,2,FALSE()),"")</f>
        <v/>
      </c>
      <c r="D257" s="3"/>
      <c r="E257" s="3"/>
      <c r="F257" s="3"/>
      <c r="J257" s="5"/>
      <c r="K257" s="5"/>
      <c r="L257" s="5"/>
      <c r="M257" s="5" t="str">
        <f t="shared" si="16"/>
        <v/>
      </c>
      <c r="N257" s="5" t="str">
        <f t="shared" si="17"/>
        <v/>
      </c>
      <c r="Q257" t="str">
        <f t="shared" si="18"/>
        <v/>
      </c>
      <c r="R257" s="5" t="str">
        <f>IF(B257="","",SUMIFS(PRESENCES_INDEMNITES!$N$2:$N$501,PRESENCES_INDEMNITES!$B$2:$B$501,B257,PRESENCES_INDEMNITES!$S$2:$S$501,"CONFORME"))</f>
        <v/>
      </c>
      <c r="S257" s="5" t="str">
        <f>IF(B257="","",SUMIFS(REFERENTIEL_BUDGET!$J$2:$J$101,REFERENTIEL_BUDGET!$A$2:$A$101,B257,REFERENTIEL_BUDGET!$E$2:$E$101,"Indemnités participants"))</f>
        <v/>
      </c>
      <c r="T257" t="str">
        <f>IF(B257="","",IF(COUNTIFS(PRESENCES_INDEMNITES!$B$2:$B$501,B257,PRESENCES_INDEMNITES!$S$2:$S$501,"&lt;&gt;CONFORME",PRESENCES_INDEMNITES!$S$2:$S$501,"&lt;&gt;")&gt;0,"Anomalie détectée",IF(R257&gt;S257,"Dépassement budget indemnités","Conforme")))</f>
        <v/>
      </c>
      <c r="V257" t="str">
        <f t="shared" si="19"/>
        <v/>
      </c>
    </row>
    <row r="258" spans="1:22">
      <c r="A258">
        <f t="shared" ref="A258:A301" si="20">ROW()-1</f>
        <v>257</v>
      </c>
      <c r="C258" t="str">
        <f>+IFERROR(VLOOKUP(ControlePJTable[[#This Row],[Code activité]],'LISTES ACTIVITES'!$A$1:$B$38,2,FALSE()),"")</f>
        <v/>
      </c>
      <c r="D258" s="3"/>
      <c r="E258" s="3"/>
      <c r="F258" s="3"/>
      <c r="J258" s="5"/>
      <c r="K258" s="5"/>
      <c r="L258" s="5"/>
      <c r="M258" s="5" t="str">
        <f t="shared" ref="M258:M301" si="21">IF(OR(J258="",K258=""),"",K258-J258)</f>
        <v/>
      </c>
      <c r="N258" s="5" t="str">
        <f t="shared" ref="N258:N301" si="22">IF(OR(K258="",L258=""),"",L258-K258)</f>
        <v/>
      </c>
      <c r="Q258" t="str">
        <f t="shared" si="18"/>
        <v/>
      </c>
      <c r="R258" s="5" t="str">
        <f>IF(B258="","",SUMIFS(PRESENCES_INDEMNITES!$N$2:$N$501,PRESENCES_INDEMNITES!$B$2:$B$501,B258,PRESENCES_INDEMNITES!$S$2:$S$501,"CONFORME"))</f>
        <v/>
      </c>
      <c r="S258" s="5" t="str">
        <f>IF(B258="","",SUMIFS(REFERENTIEL_BUDGET!$J$2:$J$101,REFERENTIEL_BUDGET!$A$2:$A$101,B258,REFERENTIEL_BUDGET!$E$2:$E$101,"Indemnités participants"))</f>
        <v/>
      </c>
      <c r="T258" t="str">
        <f>IF(B258="","",IF(COUNTIFS(PRESENCES_INDEMNITES!$B$2:$B$501,B258,PRESENCES_INDEMNITES!$S$2:$S$501,"&lt;&gt;CONFORME",PRESENCES_INDEMNITES!$S$2:$S$501,"&lt;&gt;")&gt;0,"Anomalie détectée",IF(R258&gt;S258,"Dépassement budget indemnités","Conforme")))</f>
        <v/>
      </c>
      <c r="V258" t="str">
        <f t="shared" ref="V258:V301" si="23">IF(O258="Non","PJ non reçue",IF(O258="","",IF(Q258="Non","Date PJ non conforme",IF(OR(M258&gt;0,N258&lt;&gt;0,P258="Non",T258="Anomalie détectée",T258="Dépassement budget indemnités"),"Non conforme",IF(P258="À vérifier","À vérifier","Conforme")))))</f>
        <v/>
      </c>
    </row>
    <row r="259" spans="1:22">
      <c r="A259">
        <f t="shared" si="20"/>
        <v>258</v>
      </c>
      <c r="C259" t="str">
        <f>+IFERROR(VLOOKUP(ControlePJTable[[#This Row],[Code activité]],'LISTES ACTIVITES'!$A$1:$B$38,2,FALSE()),"")</f>
        <v/>
      </c>
      <c r="D259" s="3"/>
      <c r="E259" s="3"/>
      <c r="F259" s="3"/>
      <c r="J259" s="5"/>
      <c r="K259" s="5"/>
      <c r="L259" s="5"/>
      <c r="M259" s="5" t="str">
        <f t="shared" si="21"/>
        <v/>
      </c>
      <c r="N259" s="5" t="str">
        <f t="shared" si="22"/>
        <v/>
      </c>
      <c r="Q259" t="str">
        <f t="shared" ref="Q259:Q301" si="24">IF(OR(D259="",E259="",F259=""),"",IF(AND(F259&gt;=D259,E259&lt;=F259),"Oui","Non"))</f>
        <v/>
      </c>
      <c r="R259" s="5" t="str">
        <f>IF(B259="","",SUMIFS(PRESENCES_INDEMNITES!$N$2:$N$501,PRESENCES_INDEMNITES!$B$2:$B$501,B259,PRESENCES_INDEMNITES!$S$2:$S$501,"CONFORME"))</f>
        <v/>
      </c>
      <c r="S259" s="5" t="str">
        <f>IF(B259="","",SUMIFS(REFERENTIEL_BUDGET!$J$2:$J$101,REFERENTIEL_BUDGET!$A$2:$A$101,B259,REFERENTIEL_BUDGET!$E$2:$E$101,"Indemnités participants"))</f>
        <v/>
      </c>
      <c r="T259" t="str">
        <f>IF(B259="","",IF(COUNTIFS(PRESENCES_INDEMNITES!$B$2:$B$501,B259,PRESENCES_INDEMNITES!$S$2:$S$501,"&lt;&gt;CONFORME",PRESENCES_INDEMNITES!$S$2:$S$501,"&lt;&gt;")&gt;0,"Anomalie détectée",IF(R259&gt;S259,"Dépassement budget indemnités","Conforme")))</f>
        <v/>
      </c>
      <c r="V259" t="str">
        <f t="shared" si="23"/>
        <v/>
      </c>
    </row>
    <row r="260" spans="1:22">
      <c r="A260">
        <f t="shared" si="20"/>
        <v>259</v>
      </c>
      <c r="C260" t="str">
        <f>+IFERROR(VLOOKUP(ControlePJTable[[#This Row],[Code activité]],'LISTES ACTIVITES'!$A$1:$B$38,2,FALSE()),"")</f>
        <v/>
      </c>
      <c r="D260" s="3"/>
      <c r="E260" s="3"/>
      <c r="F260" s="3"/>
      <c r="J260" s="5"/>
      <c r="K260" s="5"/>
      <c r="L260" s="5"/>
      <c r="M260" s="5" t="str">
        <f t="shared" si="21"/>
        <v/>
      </c>
      <c r="N260" s="5" t="str">
        <f t="shared" si="22"/>
        <v/>
      </c>
      <c r="Q260" t="str">
        <f t="shared" si="24"/>
        <v/>
      </c>
      <c r="R260" s="5" t="str">
        <f>IF(B260="","",SUMIFS(PRESENCES_INDEMNITES!$N$2:$N$501,PRESENCES_INDEMNITES!$B$2:$B$501,B260,PRESENCES_INDEMNITES!$S$2:$S$501,"CONFORME"))</f>
        <v/>
      </c>
      <c r="S260" s="5" t="str">
        <f>IF(B260="","",SUMIFS(REFERENTIEL_BUDGET!$J$2:$J$101,REFERENTIEL_BUDGET!$A$2:$A$101,B260,REFERENTIEL_BUDGET!$E$2:$E$101,"Indemnités participants"))</f>
        <v/>
      </c>
      <c r="T260" t="str">
        <f>IF(B260="","",IF(COUNTIFS(PRESENCES_INDEMNITES!$B$2:$B$501,B260,PRESENCES_INDEMNITES!$S$2:$S$501,"&lt;&gt;CONFORME",PRESENCES_INDEMNITES!$S$2:$S$501,"&lt;&gt;")&gt;0,"Anomalie détectée",IF(R260&gt;S260,"Dépassement budget indemnités","Conforme")))</f>
        <v/>
      </c>
      <c r="V260" t="str">
        <f t="shared" si="23"/>
        <v/>
      </c>
    </row>
    <row r="261" spans="1:22">
      <c r="A261">
        <f t="shared" si="20"/>
        <v>260</v>
      </c>
      <c r="C261" t="str">
        <f>+IFERROR(VLOOKUP(ControlePJTable[[#This Row],[Code activité]],'LISTES ACTIVITES'!$A$1:$B$38,2,FALSE()),"")</f>
        <v/>
      </c>
      <c r="D261" s="3"/>
      <c r="E261" s="3"/>
      <c r="F261" s="3"/>
      <c r="J261" s="5"/>
      <c r="K261" s="5"/>
      <c r="L261" s="5"/>
      <c r="M261" s="5" t="str">
        <f t="shared" si="21"/>
        <v/>
      </c>
      <c r="N261" s="5" t="str">
        <f t="shared" si="22"/>
        <v/>
      </c>
      <c r="Q261" t="str">
        <f t="shared" si="24"/>
        <v/>
      </c>
      <c r="R261" s="5" t="str">
        <f>IF(B261="","",SUMIFS(PRESENCES_INDEMNITES!$N$2:$N$501,PRESENCES_INDEMNITES!$B$2:$B$501,B261,PRESENCES_INDEMNITES!$S$2:$S$501,"CONFORME"))</f>
        <v/>
      </c>
      <c r="S261" s="5" t="str">
        <f>IF(B261="","",SUMIFS(REFERENTIEL_BUDGET!$J$2:$J$101,REFERENTIEL_BUDGET!$A$2:$A$101,B261,REFERENTIEL_BUDGET!$E$2:$E$101,"Indemnités participants"))</f>
        <v/>
      </c>
      <c r="T261" t="str">
        <f>IF(B261="","",IF(COUNTIFS(PRESENCES_INDEMNITES!$B$2:$B$501,B261,PRESENCES_INDEMNITES!$S$2:$S$501,"&lt;&gt;CONFORME",PRESENCES_INDEMNITES!$S$2:$S$501,"&lt;&gt;")&gt;0,"Anomalie détectée",IF(R261&gt;S261,"Dépassement budget indemnités","Conforme")))</f>
        <v/>
      </c>
      <c r="V261" t="str">
        <f t="shared" si="23"/>
        <v/>
      </c>
    </row>
    <row r="262" spans="1:22">
      <c r="A262">
        <f t="shared" si="20"/>
        <v>261</v>
      </c>
      <c r="C262" t="str">
        <f>+IFERROR(VLOOKUP(ControlePJTable[[#This Row],[Code activité]],'LISTES ACTIVITES'!$A$1:$B$38,2,FALSE()),"")</f>
        <v/>
      </c>
      <c r="D262" s="3"/>
      <c r="E262" s="3"/>
      <c r="F262" s="3"/>
      <c r="J262" s="5"/>
      <c r="K262" s="5"/>
      <c r="L262" s="5"/>
      <c r="M262" s="5" t="str">
        <f t="shared" si="21"/>
        <v/>
      </c>
      <c r="N262" s="5" t="str">
        <f t="shared" si="22"/>
        <v/>
      </c>
      <c r="Q262" t="str">
        <f t="shared" si="24"/>
        <v/>
      </c>
      <c r="R262" s="5" t="str">
        <f>IF(B262="","",SUMIFS(PRESENCES_INDEMNITES!$N$2:$N$501,PRESENCES_INDEMNITES!$B$2:$B$501,B262,PRESENCES_INDEMNITES!$S$2:$S$501,"CONFORME"))</f>
        <v/>
      </c>
      <c r="S262" s="5" t="str">
        <f>IF(B262="","",SUMIFS(REFERENTIEL_BUDGET!$J$2:$J$101,REFERENTIEL_BUDGET!$A$2:$A$101,B262,REFERENTIEL_BUDGET!$E$2:$E$101,"Indemnités participants"))</f>
        <v/>
      </c>
      <c r="T262" t="str">
        <f>IF(B262="","",IF(COUNTIFS(PRESENCES_INDEMNITES!$B$2:$B$501,B262,PRESENCES_INDEMNITES!$S$2:$S$501,"&lt;&gt;CONFORME",PRESENCES_INDEMNITES!$S$2:$S$501,"&lt;&gt;")&gt;0,"Anomalie détectée",IF(R262&gt;S262,"Dépassement budget indemnités","Conforme")))</f>
        <v/>
      </c>
      <c r="V262" t="str">
        <f t="shared" si="23"/>
        <v/>
      </c>
    </row>
    <row r="263" spans="1:22">
      <c r="A263">
        <f t="shared" si="20"/>
        <v>262</v>
      </c>
      <c r="C263" t="str">
        <f>+IFERROR(VLOOKUP(ControlePJTable[[#This Row],[Code activité]],'LISTES ACTIVITES'!$A$1:$B$38,2,FALSE()),"")</f>
        <v/>
      </c>
      <c r="D263" s="3"/>
      <c r="E263" s="3"/>
      <c r="F263" s="3"/>
      <c r="J263" s="5"/>
      <c r="K263" s="5"/>
      <c r="L263" s="5"/>
      <c r="M263" s="5" t="str">
        <f t="shared" si="21"/>
        <v/>
      </c>
      <c r="N263" s="5" t="str">
        <f t="shared" si="22"/>
        <v/>
      </c>
      <c r="Q263" t="str">
        <f t="shared" si="24"/>
        <v/>
      </c>
      <c r="R263" s="5" t="str">
        <f>IF(B263="","",SUMIFS(PRESENCES_INDEMNITES!$N$2:$N$501,PRESENCES_INDEMNITES!$B$2:$B$501,B263,PRESENCES_INDEMNITES!$S$2:$S$501,"CONFORME"))</f>
        <v/>
      </c>
      <c r="S263" s="5" t="str">
        <f>IF(B263="","",SUMIFS(REFERENTIEL_BUDGET!$J$2:$J$101,REFERENTIEL_BUDGET!$A$2:$A$101,B263,REFERENTIEL_BUDGET!$E$2:$E$101,"Indemnités participants"))</f>
        <v/>
      </c>
      <c r="T263" t="str">
        <f>IF(B263="","",IF(COUNTIFS(PRESENCES_INDEMNITES!$B$2:$B$501,B263,PRESENCES_INDEMNITES!$S$2:$S$501,"&lt;&gt;CONFORME",PRESENCES_INDEMNITES!$S$2:$S$501,"&lt;&gt;")&gt;0,"Anomalie détectée",IF(R263&gt;S263,"Dépassement budget indemnités","Conforme")))</f>
        <v/>
      </c>
      <c r="V263" t="str">
        <f t="shared" si="23"/>
        <v/>
      </c>
    </row>
    <row r="264" spans="1:22">
      <c r="A264">
        <f t="shared" si="20"/>
        <v>263</v>
      </c>
      <c r="C264" t="str">
        <f>+IFERROR(VLOOKUP(ControlePJTable[[#This Row],[Code activité]],'LISTES ACTIVITES'!$A$1:$B$38,2,FALSE()),"")</f>
        <v/>
      </c>
      <c r="D264" s="3"/>
      <c r="E264" s="3"/>
      <c r="F264" s="3"/>
      <c r="J264" s="5"/>
      <c r="K264" s="5"/>
      <c r="L264" s="5"/>
      <c r="M264" s="5" t="str">
        <f t="shared" si="21"/>
        <v/>
      </c>
      <c r="N264" s="5" t="str">
        <f t="shared" si="22"/>
        <v/>
      </c>
      <c r="Q264" t="str">
        <f t="shared" si="24"/>
        <v/>
      </c>
      <c r="R264" s="5" t="str">
        <f>IF(B264="","",SUMIFS(PRESENCES_INDEMNITES!$N$2:$N$501,PRESENCES_INDEMNITES!$B$2:$B$501,B264,PRESENCES_INDEMNITES!$S$2:$S$501,"CONFORME"))</f>
        <v/>
      </c>
      <c r="S264" s="5" t="str">
        <f>IF(B264="","",SUMIFS(REFERENTIEL_BUDGET!$J$2:$J$101,REFERENTIEL_BUDGET!$A$2:$A$101,B264,REFERENTIEL_BUDGET!$E$2:$E$101,"Indemnités participants"))</f>
        <v/>
      </c>
      <c r="T264" t="str">
        <f>IF(B264="","",IF(COUNTIFS(PRESENCES_INDEMNITES!$B$2:$B$501,B264,PRESENCES_INDEMNITES!$S$2:$S$501,"&lt;&gt;CONFORME",PRESENCES_INDEMNITES!$S$2:$S$501,"&lt;&gt;")&gt;0,"Anomalie détectée",IF(R264&gt;S264,"Dépassement budget indemnités","Conforme")))</f>
        <v/>
      </c>
      <c r="V264" t="str">
        <f t="shared" si="23"/>
        <v/>
      </c>
    </row>
    <row r="265" spans="1:22">
      <c r="A265">
        <f t="shared" si="20"/>
        <v>264</v>
      </c>
      <c r="C265" t="str">
        <f>+IFERROR(VLOOKUP(ControlePJTable[[#This Row],[Code activité]],'LISTES ACTIVITES'!$A$1:$B$38,2,FALSE()),"")</f>
        <v/>
      </c>
      <c r="D265" s="3"/>
      <c r="E265" s="3"/>
      <c r="F265" s="3"/>
      <c r="J265" s="5"/>
      <c r="K265" s="5"/>
      <c r="L265" s="5"/>
      <c r="M265" s="5" t="str">
        <f t="shared" si="21"/>
        <v/>
      </c>
      <c r="N265" s="5" t="str">
        <f t="shared" si="22"/>
        <v/>
      </c>
      <c r="Q265" t="str">
        <f t="shared" si="24"/>
        <v/>
      </c>
      <c r="R265" s="5" t="str">
        <f>IF(B265="","",SUMIFS(PRESENCES_INDEMNITES!$N$2:$N$501,PRESENCES_INDEMNITES!$B$2:$B$501,B265,PRESENCES_INDEMNITES!$S$2:$S$501,"CONFORME"))</f>
        <v/>
      </c>
      <c r="S265" s="5" t="str">
        <f>IF(B265="","",SUMIFS(REFERENTIEL_BUDGET!$J$2:$J$101,REFERENTIEL_BUDGET!$A$2:$A$101,B265,REFERENTIEL_BUDGET!$E$2:$E$101,"Indemnités participants"))</f>
        <v/>
      </c>
      <c r="T265" t="str">
        <f>IF(B265="","",IF(COUNTIFS(PRESENCES_INDEMNITES!$B$2:$B$501,B265,PRESENCES_INDEMNITES!$S$2:$S$501,"&lt;&gt;CONFORME",PRESENCES_INDEMNITES!$S$2:$S$501,"&lt;&gt;")&gt;0,"Anomalie détectée",IF(R265&gt;S265,"Dépassement budget indemnités","Conforme")))</f>
        <v/>
      </c>
      <c r="V265" t="str">
        <f t="shared" si="23"/>
        <v/>
      </c>
    </row>
    <row r="266" spans="1:22">
      <c r="A266">
        <f t="shared" si="20"/>
        <v>265</v>
      </c>
      <c r="C266" t="str">
        <f>+IFERROR(VLOOKUP(ControlePJTable[[#This Row],[Code activité]],'LISTES ACTIVITES'!$A$1:$B$38,2,FALSE()),"")</f>
        <v/>
      </c>
      <c r="D266" s="3"/>
      <c r="E266" s="3"/>
      <c r="F266" s="3"/>
      <c r="J266" s="5"/>
      <c r="K266" s="5"/>
      <c r="L266" s="5"/>
      <c r="M266" s="5" t="str">
        <f t="shared" si="21"/>
        <v/>
      </c>
      <c r="N266" s="5" t="str">
        <f t="shared" si="22"/>
        <v/>
      </c>
      <c r="Q266" t="str">
        <f t="shared" si="24"/>
        <v/>
      </c>
      <c r="R266" s="5" t="str">
        <f>IF(B266="","",SUMIFS(PRESENCES_INDEMNITES!$N$2:$N$501,PRESENCES_INDEMNITES!$B$2:$B$501,B266,PRESENCES_INDEMNITES!$S$2:$S$501,"CONFORME"))</f>
        <v/>
      </c>
      <c r="S266" s="5" t="str">
        <f>IF(B266="","",SUMIFS(REFERENTIEL_BUDGET!$J$2:$J$101,REFERENTIEL_BUDGET!$A$2:$A$101,B266,REFERENTIEL_BUDGET!$E$2:$E$101,"Indemnités participants"))</f>
        <v/>
      </c>
      <c r="T266" t="str">
        <f>IF(B266="","",IF(COUNTIFS(PRESENCES_INDEMNITES!$B$2:$B$501,B266,PRESENCES_INDEMNITES!$S$2:$S$501,"&lt;&gt;CONFORME",PRESENCES_INDEMNITES!$S$2:$S$501,"&lt;&gt;")&gt;0,"Anomalie détectée",IF(R266&gt;S266,"Dépassement budget indemnités","Conforme")))</f>
        <v/>
      </c>
      <c r="V266" t="str">
        <f t="shared" si="23"/>
        <v/>
      </c>
    </row>
    <row r="267" spans="1:22">
      <c r="A267">
        <f t="shared" si="20"/>
        <v>266</v>
      </c>
      <c r="C267" t="str">
        <f>+IFERROR(VLOOKUP(ControlePJTable[[#This Row],[Code activité]],'LISTES ACTIVITES'!$A$1:$B$38,2,FALSE()),"")</f>
        <v/>
      </c>
      <c r="D267" s="3"/>
      <c r="E267" s="3"/>
      <c r="F267" s="3"/>
      <c r="J267" s="5"/>
      <c r="K267" s="5"/>
      <c r="L267" s="5"/>
      <c r="M267" s="5" t="str">
        <f t="shared" si="21"/>
        <v/>
      </c>
      <c r="N267" s="5" t="str">
        <f t="shared" si="22"/>
        <v/>
      </c>
      <c r="Q267" t="str">
        <f t="shared" si="24"/>
        <v/>
      </c>
      <c r="R267" s="5" t="str">
        <f>IF(B267="","",SUMIFS(PRESENCES_INDEMNITES!$N$2:$N$501,PRESENCES_INDEMNITES!$B$2:$B$501,B267,PRESENCES_INDEMNITES!$S$2:$S$501,"CONFORME"))</f>
        <v/>
      </c>
      <c r="S267" s="5" t="str">
        <f>IF(B267="","",SUMIFS(REFERENTIEL_BUDGET!$J$2:$J$101,REFERENTIEL_BUDGET!$A$2:$A$101,B267,REFERENTIEL_BUDGET!$E$2:$E$101,"Indemnités participants"))</f>
        <v/>
      </c>
      <c r="T267" t="str">
        <f>IF(B267="","",IF(COUNTIFS(PRESENCES_INDEMNITES!$B$2:$B$501,B267,PRESENCES_INDEMNITES!$S$2:$S$501,"&lt;&gt;CONFORME",PRESENCES_INDEMNITES!$S$2:$S$501,"&lt;&gt;")&gt;0,"Anomalie détectée",IF(R267&gt;S267,"Dépassement budget indemnités","Conforme")))</f>
        <v/>
      </c>
      <c r="V267" t="str">
        <f t="shared" si="23"/>
        <v/>
      </c>
    </row>
    <row r="268" spans="1:22">
      <c r="A268">
        <f t="shared" si="20"/>
        <v>267</v>
      </c>
      <c r="C268" t="str">
        <f>+IFERROR(VLOOKUP(ControlePJTable[[#This Row],[Code activité]],'LISTES ACTIVITES'!$A$1:$B$38,2,FALSE()),"")</f>
        <v/>
      </c>
      <c r="D268" s="3"/>
      <c r="E268" s="3"/>
      <c r="F268" s="3"/>
      <c r="J268" s="5"/>
      <c r="K268" s="5"/>
      <c r="L268" s="5"/>
      <c r="M268" s="5" t="str">
        <f t="shared" si="21"/>
        <v/>
      </c>
      <c r="N268" s="5" t="str">
        <f t="shared" si="22"/>
        <v/>
      </c>
      <c r="Q268" t="str">
        <f t="shared" si="24"/>
        <v/>
      </c>
      <c r="R268" s="5" t="str">
        <f>IF(B268="","",SUMIFS(PRESENCES_INDEMNITES!$N$2:$N$501,PRESENCES_INDEMNITES!$B$2:$B$501,B268,PRESENCES_INDEMNITES!$S$2:$S$501,"CONFORME"))</f>
        <v/>
      </c>
      <c r="S268" s="5" t="str">
        <f>IF(B268="","",SUMIFS(REFERENTIEL_BUDGET!$J$2:$J$101,REFERENTIEL_BUDGET!$A$2:$A$101,B268,REFERENTIEL_BUDGET!$E$2:$E$101,"Indemnités participants"))</f>
        <v/>
      </c>
      <c r="T268" t="str">
        <f>IF(B268="","",IF(COUNTIFS(PRESENCES_INDEMNITES!$B$2:$B$501,B268,PRESENCES_INDEMNITES!$S$2:$S$501,"&lt;&gt;CONFORME",PRESENCES_INDEMNITES!$S$2:$S$501,"&lt;&gt;")&gt;0,"Anomalie détectée",IF(R268&gt;S268,"Dépassement budget indemnités","Conforme")))</f>
        <v/>
      </c>
      <c r="V268" t="str">
        <f t="shared" si="23"/>
        <v/>
      </c>
    </row>
    <row r="269" spans="1:22">
      <c r="A269">
        <f t="shared" si="20"/>
        <v>268</v>
      </c>
      <c r="C269" t="str">
        <f>+IFERROR(VLOOKUP(ControlePJTable[[#This Row],[Code activité]],'LISTES ACTIVITES'!$A$1:$B$38,2,FALSE()),"")</f>
        <v/>
      </c>
      <c r="D269" s="3"/>
      <c r="E269" s="3"/>
      <c r="F269" s="3"/>
      <c r="J269" s="5"/>
      <c r="K269" s="5"/>
      <c r="L269" s="5"/>
      <c r="M269" s="5" t="str">
        <f t="shared" si="21"/>
        <v/>
      </c>
      <c r="N269" s="5" t="str">
        <f t="shared" si="22"/>
        <v/>
      </c>
      <c r="Q269" t="str">
        <f t="shared" si="24"/>
        <v/>
      </c>
      <c r="R269" s="5" t="str">
        <f>IF(B269="","",SUMIFS(PRESENCES_INDEMNITES!$N$2:$N$501,PRESENCES_INDEMNITES!$B$2:$B$501,B269,PRESENCES_INDEMNITES!$S$2:$S$501,"CONFORME"))</f>
        <v/>
      </c>
      <c r="S269" s="5" t="str">
        <f>IF(B269="","",SUMIFS(REFERENTIEL_BUDGET!$J$2:$J$101,REFERENTIEL_BUDGET!$A$2:$A$101,B269,REFERENTIEL_BUDGET!$E$2:$E$101,"Indemnités participants"))</f>
        <v/>
      </c>
      <c r="T269" t="str">
        <f>IF(B269="","",IF(COUNTIFS(PRESENCES_INDEMNITES!$B$2:$B$501,B269,PRESENCES_INDEMNITES!$S$2:$S$501,"&lt;&gt;CONFORME",PRESENCES_INDEMNITES!$S$2:$S$501,"&lt;&gt;")&gt;0,"Anomalie détectée",IF(R269&gt;S269,"Dépassement budget indemnités","Conforme")))</f>
        <v/>
      </c>
      <c r="V269" t="str">
        <f t="shared" si="23"/>
        <v/>
      </c>
    </row>
    <row r="270" spans="1:22">
      <c r="A270">
        <f t="shared" si="20"/>
        <v>269</v>
      </c>
      <c r="C270" t="str">
        <f>+IFERROR(VLOOKUP(ControlePJTable[[#This Row],[Code activité]],'LISTES ACTIVITES'!$A$1:$B$38,2,FALSE()),"")</f>
        <v/>
      </c>
      <c r="D270" s="3"/>
      <c r="E270" s="3"/>
      <c r="F270" s="3"/>
      <c r="J270" s="5"/>
      <c r="K270" s="5"/>
      <c r="L270" s="5"/>
      <c r="M270" s="5" t="str">
        <f t="shared" si="21"/>
        <v/>
      </c>
      <c r="N270" s="5" t="str">
        <f t="shared" si="22"/>
        <v/>
      </c>
      <c r="Q270" t="str">
        <f t="shared" si="24"/>
        <v/>
      </c>
      <c r="R270" s="5" t="str">
        <f>IF(B270="","",SUMIFS(PRESENCES_INDEMNITES!$N$2:$N$501,PRESENCES_INDEMNITES!$B$2:$B$501,B270,PRESENCES_INDEMNITES!$S$2:$S$501,"CONFORME"))</f>
        <v/>
      </c>
      <c r="S270" s="5" t="str">
        <f>IF(B270="","",SUMIFS(REFERENTIEL_BUDGET!$J$2:$J$101,REFERENTIEL_BUDGET!$A$2:$A$101,B270,REFERENTIEL_BUDGET!$E$2:$E$101,"Indemnités participants"))</f>
        <v/>
      </c>
      <c r="T270" t="str">
        <f>IF(B270="","",IF(COUNTIFS(PRESENCES_INDEMNITES!$B$2:$B$501,B270,PRESENCES_INDEMNITES!$S$2:$S$501,"&lt;&gt;CONFORME",PRESENCES_INDEMNITES!$S$2:$S$501,"&lt;&gt;")&gt;0,"Anomalie détectée",IF(R270&gt;S270,"Dépassement budget indemnités","Conforme")))</f>
        <v/>
      </c>
      <c r="V270" t="str">
        <f t="shared" si="23"/>
        <v/>
      </c>
    </row>
    <row r="271" spans="1:22">
      <c r="A271">
        <f t="shared" si="20"/>
        <v>270</v>
      </c>
      <c r="C271" t="str">
        <f>+IFERROR(VLOOKUP(ControlePJTable[[#This Row],[Code activité]],'LISTES ACTIVITES'!$A$1:$B$38,2,FALSE()),"")</f>
        <v/>
      </c>
      <c r="D271" s="3"/>
      <c r="E271" s="3"/>
      <c r="F271" s="3"/>
      <c r="J271" s="5"/>
      <c r="K271" s="5"/>
      <c r="L271" s="5"/>
      <c r="M271" s="5" t="str">
        <f t="shared" si="21"/>
        <v/>
      </c>
      <c r="N271" s="5" t="str">
        <f t="shared" si="22"/>
        <v/>
      </c>
      <c r="Q271" t="str">
        <f t="shared" si="24"/>
        <v/>
      </c>
      <c r="R271" s="5" t="str">
        <f>IF(B271="","",SUMIFS(PRESENCES_INDEMNITES!$N$2:$N$501,PRESENCES_INDEMNITES!$B$2:$B$501,B271,PRESENCES_INDEMNITES!$S$2:$S$501,"CONFORME"))</f>
        <v/>
      </c>
      <c r="S271" s="5" t="str">
        <f>IF(B271="","",SUMIFS(REFERENTIEL_BUDGET!$J$2:$J$101,REFERENTIEL_BUDGET!$A$2:$A$101,B271,REFERENTIEL_BUDGET!$E$2:$E$101,"Indemnités participants"))</f>
        <v/>
      </c>
      <c r="T271" t="str">
        <f>IF(B271="","",IF(COUNTIFS(PRESENCES_INDEMNITES!$B$2:$B$501,B271,PRESENCES_INDEMNITES!$S$2:$S$501,"&lt;&gt;CONFORME",PRESENCES_INDEMNITES!$S$2:$S$501,"&lt;&gt;")&gt;0,"Anomalie détectée",IF(R271&gt;S271,"Dépassement budget indemnités","Conforme")))</f>
        <v/>
      </c>
      <c r="V271" t="str">
        <f t="shared" si="23"/>
        <v/>
      </c>
    </row>
    <row r="272" spans="1:22">
      <c r="A272">
        <f t="shared" si="20"/>
        <v>271</v>
      </c>
      <c r="C272" t="str">
        <f>+IFERROR(VLOOKUP(ControlePJTable[[#This Row],[Code activité]],'LISTES ACTIVITES'!$A$1:$B$38,2,FALSE()),"")</f>
        <v/>
      </c>
      <c r="D272" s="3"/>
      <c r="E272" s="3"/>
      <c r="F272" s="3"/>
      <c r="J272" s="5"/>
      <c r="K272" s="5"/>
      <c r="L272" s="5"/>
      <c r="M272" s="5" t="str">
        <f t="shared" si="21"/>
        <v/>
      </c>
      <c r="N272" s="5" t="str">
        <f t="shared" si="22"/>
        <v/>
      </c>
      <c r="Q272" t="str">
        <f t="shared" si="24"/>
        <v/>
      </c>
      <c r="R272" s="5" t="str">
        <f>IF(B272="","",SUMIFS(PRESENCES_INDEMNITES!$N$2:$N$501,PRESENCES_INDEMNITES!$B$2:$B$501,B272,PRESENCES_INDEMNITES!$S$2:$S$501,"CONFORME"))</f>
        <v/>
      </c>
      <c r="S272" s="5" t="str">
        <f>IF(B272="","",SUMIFS(REFERENTIEL_BUDGET!$J$2:$J$101,REFERENTIEL_BUDGET!$A$2:$A$101,B272,REFERENTIEL_BUDGET!$E$2:$E$101,"Indemnités participants"))</f>
        <v/>
      </c>
      <c r="T272" t="str">
        <f>IF(B272="","",IF(COUNTIFS(PRESENCES_INDEMNITES!$B$2:$B$501,B272,PRESENCES_INDEMNITES!$S$2:$S$501,"&lt;&gt;CONFORME",PRESENCES_INDEMNITES!$S$2:$S$501,"&lt;&gt;")&gt;0,"Anomalie détectée",IF(R272&gt;S272,"Dépassement budget indemnités","Conforme")))</f>
        <v/>
      </c>
      <c r="V272" t="str">
        <f t="shared" si="23"/>
        <v/>
      </c>
    </row>
    <row r="273" spans="1:22">
      <c r="A273">
        <f t="shared" si="20"/>
        <v>272</v>
      </c>
      <c r="C273" t="str">
        <f>+IFERROR(VLOOKUP(ControlePJTable[[#This Row],[Code activité]],'LISTES ACTIVITES'!$A$1:$B$38,2,FALSE()),"")</f>
        <v/>
      </c>
      <c r="D273" s="3"/>
      <c r="E273" s="3"/>
      <c r="F273" s="3"/>
      <c r="J273" s="5"/>
      <c r="K273" s="5"/>
      <c r="L273" s="5"/>
      <c r="M273" s="5" t="str">
        <f t="shared" si="21"/>
        <v/>
      </c>
      <c r="N273" s="5" t="str">
        <f t="shared" si="22"/>
        <v/>
      </c>
      <c r="Q273" t="str">
        <f t="shared" si="24"/>
        <v/>
      </c>
      <c r="R273" s="5" t="str">
        <f>IF(B273="","",SUMIFS(PRESENCES_INDEMNITES!$N$2:$N$501,PRESENCES_INDEMNITES!$B$2:$B$501,B273,PRESENCES_INDEMNITES!$S$2:$S$501,"CONFORME"))</f>
        <v/>
      </c>
      <c r="S273" s="5" t="str">
        <f>IF(B273="","",SUMIFS(REFERENTIEL_BUDGET!$J$2:$J$101,REFERENTIEL_BUDGET!$A$2:$A$101,B273,REFERENTIEL_BUDGET!$E$2:$E$101,"Indemnités participants"))</f>
        <v/>
      </c>
      <c r="T273" t="str">
        <f>IF(B273="","",IF(COUNTIFS(PRESENCES_INDEMNITES!$B$2:$B$501,B273,PRESENCES_INDEMNITES!$S$2:$S$501,"&lt;&gt;CONFORME",PRESENCES_INDEMNITES!$S$2:$S$501,"&lt;&gt;")&gt;0,"Anomalie détectée",IF(R273&gt;S273,"Dépassement budget indemnités","Conforme")))</f>
        <v/>
      </c>
      <c r="V273" t="str">
        <f t="shared" si="23"/>
        <v/>
      </c>
    </row>
    <row r="274" spans="1:22">
      <c r="A274">
        <f t="shared" si="20"/>
        <v>273</v>
      </c>
      <c r="C274" t="str">
        <f>+IFERROR(VLOOKUP(ControlePJTable[[#This Row],[Code activité]],'LISTES ACTIVITES'!$A$1:$B$38,2,FALSE()),"")</f>
        <v/>
      </c>
      <c r="D274" s="3"/>
      <c r="E274" s="3"/>
      <c r="F274" s="3"/>
      <c r="J274" s="5"/>
      <c r="K274" s="5"/>
      <c r="L274" s="5"/>
      <c r="M274" s="5" t="str">
        <f t="shared" si="21"/>
        <v/>
      </c>
      <c r="N274" s="5" t="str">
        <f t="shared" si="22"/>
        <v/>
      </c>
      <c r="Q274" t="str">
        <f t="shared" si="24"/>
        <v/>
      </c>
      <c r="R274" s="5" t="str">
        <f>IF(B274="","",SUMIFS(PRESENCES_INDEMNITES!$N$2:$N$501,PRESENCES_INDEMNITES!$B$2:$B$501,B274,PRESENCES_INDEMNITES!$S$2:$S$501,"CONFORME"))</f>
        <v/>
      </c>
      <c r="S274" s="5" t="str">
        <f>IF(B274="","",SUMIFS(REFERENTIEL_BUDGET!$J$2:$J$101,REFERENTIEL_BUDGET!$A$2:$A$101,B274,REFERENTIEL_BUDGET!$E$2:$E$101,"Indemnités participants"))</f>
        <v/>
      </c>
      <c r="T274" t="str">
        <f>IF(B274="","",IF(COUNTIFS(PRESENCES_INDEMNITES!$B$2:$B$501,B274,PRESENCES_INDEMNITES!$S$2:$S$501,"&lt;&gt;CONFORME",PRESENCES_INDEMNITES!$S$2:$S$501,"&lt;&gt;")&gt;0,"Anomalie détectée",IF(R274&gt;S274,"Dépassement budget indemnités","Conforme")))</f>
        <v/>
      </c>
      <c r="V274" t="str">
        <f t="shared" si="23"/>
        <v/>
      </c>
    </row>
    <row r="275" spans="1:22">
      <c r="A275">
        <f t="shared" si="20"/>
        <v>274</v>
      </c>
      <c r="C275" t="str">
        <f>+IFERROR(VLOOKUP(ControlePJTable[[#This Row],[Code activité]],'LISTES ACTIVITES'!$A$1:$B$38,2,FALSE()),"")</f>
        <v/>
      </c>
      <c r="D275" s="3"/>
      <c r="E275" s="3"/>
      <c r="F275" s="3"/>
      <c r="J275" s="5"/>
      <c r="K275" s="5"/>
      <c r="L275" s="5"/>
      <c r="M275" s="5" t="str">
        <f t="shared" si="21"/>
        <v/>
      </c>
      <c r="N275" s="5" t="str">
        <f t="shared" si="22"/>
        <v/>
      </c>
      <c r="Q275" t="str">
        <f t="shared" si="24"/>
        <v/>
      </c>
      <c r="R275" s="5" t="str">
        <f>IF(B275="","",SUMIFS(PRESENCES_INDEMNITES!$N$2:$N$501,PRESENCES_INDEMNITES!$B$2:$B$501,B275,PRESENCES_INDEMNITES!$S$2:$S$501,"CONFORME"))</f>
        <v/>
      </c>
      <c r="S275" s="5" t="str">
        <f>IF(B275="","",SUMIFS(REFERENTIEL_BUDGET!$J$2:$J$101,REFERENTIEL_BUDGET!$A$2:$A$101,B275,REFERENTIEL_BUDGET!$E$2:$E$101,"Indemnités participants"))</f>
        <v/>
      </c>
      <c r="T275" t="str">
        <f>IF(B275="","",IF(COUNTIFS(PRESENCES_INDEMNITES!$B$2:$B$501,B275,PRESENCES_INDEMNITES!$S$2:$S$501,"&lt;&gt;CONFORME",PRESENCES_INDEMNITES!$S$2:$S$501,"&lt;&gt;")&gt;0,"Anomalie détectée",IF(R275&gt;S275,"Dépassement budget indemnités","Conforme")))</f>
        <v/>
      </c>
      <c r="V275" t="str">
        <f t="shared" si="23"/>
        <v/>
      </c>
    </row>
    <row r="276" spans="1:22">
      <c r="A276">
        <f t="shared" si="20"/>
        <v>275</v>
      </c>
      <c r="C276" t="str">
        <f>+IFERROR(VLOOKUP(ControlePJTable[[#This Row],[Code activité]],'LISTES ACTIVITES'!$A$1:$B$38,2,FALSE()),"")</f>
        <v/>
      </c>
      <c r="D276" s="3"/>
      <c r="E276" s="3"/>
      <c r="F276" s="3"/>
      <c r="J276" s="5"/>
      <c r="K276" s="5"/>
      <c r="L276" s="5"/>
      <c r="M276" s="5" t="str">
        <f t="shared" si="21"/>
        <v/>
      </c>
      <c r="N276" s="5" t="str">
        <f t="shared" si="22"/>
        <v/>
      </c>
      <c r="Q276" t="str">
        <f t="shared" si="24"/>
        <v/>
      </c>
      <c r="R276" s="5" t="str">
        <f>IF(B276="","",SUMIFS(PRESENCES_INDEMNITES!$N$2:$N$501,PRESENCES_INDEMNITES!$B$2:$B$501,B276,PRESENCES_INDEMNITES!$S$2:$S$501,"CONFORME"))</f>
        <v/>
      </c>
      <c r="S276" s="5" t="str">
        <f>IF(B276="","",SUMIFS(REFERENTIEL_BUDGET!$J$2:$J$101,REFERENTIEL_BUDGET!$A$2:$A$101,B276,REFERENTIEL_BUDGET!$E$2:$E$101,"Indemnités participants"))</f>
        <v/>
      </c>
      <c r="T276" t="str">
        <f>IF(B276="","",IF(COUNTIFS(PRESENCES_INDEMNITES!$B$2:$B$501,B276,PRESENCES_INDEMNITES!$S$2:$S$501,"&lt;&gt;CONFORME",PRESENCES_INDEMNITES!$S$2:$S$501,"&lt;&gt;")&gt;0,"Anomalie détectée",IF(R276&gt;S276,"Dépassement budget indemnités","Conforme")))</f>
        <v/>
      </c>
      <c r="V276" t="str">
        <f t="shared" si="23"/>
        <v/>
      </c>
    </row>
    <row r="277" spans="1:22">
      <c r="A277">
        <f t="shared" si="20"/>
        <v>276</v>
      </c>
      <c r="C277" t="str">
        <f>+IFERROR(VLOOKUP(ControlePJTable[[#This Row],[Code activité]],'LISTES ACTIVITES'!$A$1:$B$38,2,FALSE()),"")</f>
        <v/>
      </c>
      <c r="D277" s="3"/>
      <c r="E277" s="3"/>
      <c r="F277" s="3"/>
      <c r="J277" s="5"/>
      <c r="K277" s="5"/>
      <c r="L277" s="5"/>
      <c r="M277" s="5" t="str">
        <f t="shared" si="21"/>
        <v/>
      </c>
      <c r="N277" s="5" t="str">
        <f t="shared" si="22"/>
        <v/>
      </c>
      <c r="Q277" t="str">
        <f t="shared" si="24"/>
        <v/>
      </c>
      <c r="R277" s="5" t="str">
        <f>IF(B277="","",SUMIFS(PRESENCES_INDEMNITES!$N$2:$N$501,PRESENCES_INDEMNITES!$B$2:$B$501,B277,PRESENCES_INDEMNITES!$S$2:$S$501,"CONFORME"))</f>
        <v/>
      </c>
      <c r="S277" s="5" t="str">
        <f>IF(B277="","",SUMIFS(REFERENTIEL_BUDGET!$J$2:$J$101,REFERENTIEL_BUDGET!$A$2:$A$101,B277,REFERENTIEL_BUDGET!$E$2:$E$101,"Indemnités participants"))</f>
        <v/>
      </c>
      <c r="T277" t="str">
        <f>IF(B277="","",IF(COUNTIFS(PRESENCES_INDEMNITES!$B$2:$B$501,B277,PRESENCES_INDEMNITES!$S$2:$S$501,"&lt;&gt;CONFORME",PRESENCES_INDEMNITES!$S$2:$S$501,"&lt;&gt;")&gt;0,"Anomalie détectée",IF(R277&gt;S277,"Dépassement budget indemnités","Conforme")))</f>
        <v/>
      </c>
      <c r="V277" t="str">
        <f t="shared" si="23"/>
        <v/>
      </c>
    </row>
    <row r="278" spans="1:22">
      <c r="A278">
        <f t="shared" si="20"/>
        <v>277</v>
      </c>
      <c r="C278" t="str">
        <f>+IFERROR(VLOOKUP(ControlePJTable[[#This Row],[Code activité]],'LISTES ACTIVITES'!$A$1:$B$38,2,FALSE()),"")</f>
        <v/>
      </c>
      <c r="D278" s="3"/>
      <c r="E278" s="3"/>
      <c r="F278" s="3"/>
      <c r="J278" s="5"/>
      <c r="K278" s="5"/>
      <c r="L278" s="5"/>
      <c r="M278" s="5" t="str">
        <f t="shared" si="21"/>
        <v/>
      </c>
      <c r="N278" s="5" t="str">
        <f t="shared" si="22"/>
        <v/>
      </c>
      <c r="Q278" t="str">
        <f t="shared" si="24"/>
        <v/>
      </c>
      <c r="R278" s="5" t="str">
        <f>IF(B278="","",SUMIFS(PRESENCES_INDEMNITES!$N$2:$N$501,PRESENCES_INDEMNITES!$B$2:$B$501,B278,PRESENCES_INDEMNITES!$S$2:$S$501,"CONFORME"))</f>
        <v/>
      </c>
      <c r="S278" s="5" t="str">
        <f>IF(B278="","",SUMIFS(REFERENTIEL_BUDGET!$J$2:$J$101,REFERENTIEL_BUDGET!$A$2:$A$101,B278,REFERENTIEL_BUDGET!$E$2:$E$101,"Indemnités participants"))</f>
        <v/>
      </c>
      <c r="T278" t="str">
        <f>IF(B278="","",IF(COUNTIFS(PRESENCES_INDEMNITES!$B$2:$B$501,B278,PRESENCES_INDEMNITES!$S$2:$S$501,"&lt;&gt;CONFORME",PRESENCES_INDEMNITES!$S$2:$S$501,"&lt;&gt;")&gt;0,"Anomalie détectée",IF(R278&gt;S278,"Dépassement budget indemnités","Conforme")))</f>
        <v/>
      </c>
      <c r="V278" t="str">
        <f t="shared" si="23"/>
        <v/>
      </c>
    </row>
    <row r="279" spans="1:22">
      <c r="A279">
        <f t="shared" si="20"/>
        <v>278</v>
      </c>
      <c r="C279" t="str">
        <f>+IFERROR(VLOOKUP(ControlePJTable[[#This Row],[Code activité]],'LISTES ACTIVITES'!$A$1:$B$38,2,FALSE()),"")</f>
        <v/>
      </c>
      <c r="D279" s="3"/>
      <c r="E279" s="3"/>
      <c r="F279" s="3"/>
      <c r="J279" s="5"/>
      <c r="K279" s="5"/>
      <c r="L279" s="5"/>
      <c r="M279" s="5" t="str">
        <f t="shared" si="21"/>
        <v/>
      </c>
      <c r="N279" s="5" t="str">
        <f t="shared" si="22"/>
        <v/>
      </c>
      <c r="Q279" t="str">
        <f t="shared" si="24"/>
        <v/>
      </c>
      <c r="R279" s="5" t="str">
        <f>IF(B279="","",SUMIFS(PRESENCES_INDEMNITES!$N$2:$N$501,PRESENCES_INDEMNITES!$B$2:$B$501,B279,PRESENCES_INDEMNITES!$S$2:$S$501,"CONFORME"))</f>
        <v/>
      </c>
      <c r="S279" s="5" t="str">
        <f>IF(B279="","",SUMIFS(REFERENTIEL_BUDGET!$J$2:$J$101,REFERENTIEL_BUDGET!$A$2:$A$101,B279,REFERENTIEL_BUDGET!$E$2:$E$101,"Indemnités participants"))</f>
        <v/>
      </c>
      <c r="T279" t="str">
        <f>IF(B279="","",IF(COUNTIFS(PRESENCES_INDEMNITES!$B$2:$B$501,B279,PRESENCES_INDEMNITES!$S$2:$S$501,"&lt;&gt;CONFORME",PRESENCES_INDEMNITES!$S$2:$S$501,"&lt;&gt;")&gt;0,"Anomalie détectée",IF(R279&gt;S279,"Dépassement budget indemnités","Conforme")))</f>
        <v/>
      </c>
      <c r="V279" t="str">
        <f t="shared" si="23"/>
        <v/>
      </c>
    </row>
    <row r="280" spans="1:22">
      <c r="A280">
        <f t="shared" si="20"/>
        <v>279</v>
      </c>
      <c r="C280" t="str">
        <f>+IFERROR(VLOOKUP(ControlePJTable[[#This Row],[Code activité]],'LISTES ACTIVITES'!$A$1:$B$38,2,FALSE()),"")</f>
        <v/>
      </c>
      <c r="D280" s="3"/>
      <c r="E280" s="3"/>
      <c r="F280" s="3"/>
      <c r="J280" s="5"/>
      <c r="K280" s="5"/>
      <c r="L280" s="5"/>
      <c r="M280" s="5" t="str">
        <f t="shared" si="21"/>
        <v/>
      </c>
      <c r="N280" s="5" t="str">
        <f t="shared" si="22"/>
        <v/>
      </c>
      <c r="Q280" t="str">
        <f t="shared" si="24"/>
        <v/>
      </c>
      <c r="R280" s="5" t="str">
        <f>IF(B280="","",SUMIFS(PRESENCES_INDEMNITES!$N$2:$N$501,PRESENCES_INDEMNITES!$B$2:$B$501,B280,PRESENCES_INDEMNITES!$S$2:$S$501,"CONFORME"))</f>
        <v/>
      </c>
      <c r="S280" s="5" t="str">
        <f>IF(B280="","",SUMIFS(REFERENTIEL_BUDGET!$J$2:$J$101,REFERENTIEL_BUDGET!$A$2:$A$101,B280,REFERENTIEL_BUDGET!$E$2:$E$101,"Indemnités participants"))</f>
        <v/>
      </c>
      <c r="T280" t="str">
        <f>IF(B280="","",IF(COUNTIFS(PRESENCES_INDEMNITES!$B$2:$B$501,B280,PRESENCES_INDEMNITES!$S$2:$S$501,"&lt;&gt;CONFORME",PRESENCES_INDEMNITES!$S$2:$S$501,"&lt;&gt;")&gt;0,"Anomalie détectée",IF(R280&gt;S280,"Dépassement budget indemnités","Conforme")))</f>
        <v/>
      </c>
      <c r="V280" t="str">
        <f t="shared" si="23"/>
        <v/>
      </c>
    </row>
    <row r="281" spans="1:22">
      <c r="A281">
        <f t="shared" si="20"/>
        <v>280</v>
      </c>
      <c r="C281" t="str">
        <f>+IFERROR(VLOOKUP(ControlePJTable[[#This Row],[Code activité]],'LISTES ACTIVITES'!$A$1:$B$38,2,FALSE()),"")</f>
        <v/>
      </c>
      <c r="D281" s="3"/>
      <c r="E281" s="3"/>
      <c r="F281" s="3"/>
      <c r="J281" s="5"/>
      <c r="K281" s="5"/>
      <c r="L281" s="5"/>
      <c r="M281" s="5" t="str">
        <f t="shared" si="21"/>
        <v/>
      </c>
      <c r="N281" s="5" t="str">
        <f t="shared" si="22"/>
        <v/>
      </c>
      <c r="Q281" t="str">
        <f t="shared" si="24"/>
        <v/>
      </c>
      <c r="R281" s="5" t="str">
        <f>IF(B281="","",SUMIFS(PRESENCES_INDEMNITES!$N$2:$N$501,PRESENCES_INDEMNITES!$B$2:$B$501,B281,PRESENCES_INDEMNITES!$S$2:$S$501,"CONFORME"))</f>
        <v/>
      </c>
      <c r="S281" s="5" t="str">
        <f>IF(B281="","",SUMIFS(REFERENTIEL_BUDGET!$J$2:$J$101,REFERENTIEL_BUDGET!$A$2:$A$101,B281,REFERENTIEL_BUDGET!$E$2:$E$101,"Indemnités participants"))</f>
        <v/>
      </c>
      <c r="T281" t="str">
        <f>IF(B281="","",IF(COUNTIFS(PRESENCES_INDEMNITES!$B$2:$B$501,B281,PRESENCES_INDEMNITES!$S$2:$S$501,"&lt;&gt;CONFORME",PRESENCES_INDEMNITES!$S$2:$S$501,"&lt;&gt;")&gt;0,"Anomalie détectée",IF(R281&gt;S281,"Dépassement budget indemnités","Conforme")))</f>
        <v/>
      </c>
      <c r="V281" t="str">
        <f t="shared" si="23"/>
        <v/>
      </c>
    </row>
    <row r="282" spans="1:22">
      <c r="A282">
        <f t="shared" si="20"/>
        <v>281</v>
      </c>
      <c r="C282" t="str">
        <f>+IFERROR(VLOOKUP(ControlePJTable[[#This Row],[Code activité]],'LISTES ACTIVITES'!$A$1:$B$38,2,FALSE()),"")</f>
        <v/>
      </c>
      <c r="D282" s="3"/>
      <c r="E282" s="3"/>
      <c r="F282" s="3"/>
      <c r="J282" s="5"/>
      <c r="K282" s="5"/>
      <c r="L282" s="5"/>
      <c r="M282" s="5" t="str">
        <f t="shared" si="21"/>
        <v/>
      </c>
      <c r="N282" s="5" t="str">
        <f t="shared" si="22"/>
        <v/>
      </c>
      <c r="Q282" t="str">
        <f t="shared" si="24"/>
        <v/>
      </c>
      <c r="R282" s="5" t="str">
        <f>IF(B282="","",SUMIFS(PRESENCES_INDEMNITES!$N$2:$N$501,PRESENCES_INDEMNITES!$B$2:$B$501,B282,PRESENCES_INDEMNITES!$S$2:$S$501,"CONFORME"))</f>
        <v/>
      </c>
      <c r="S282" s="5" t="str">
        <f>IF(B282="","",SUMIFS(REFERENTIEL_BUDGET!$J$2:$J$101,REFERENTIEL_BUDGET!$A$2:$A$101,B282,REFERENTIEL_BUDGET!$E$2:$E$101,"Indemnités participants"))</f>
        <v/>
      </c>
      <c r="T282" t="str">
        <f>IF(B282="","",IF(COUNTIFS(PRESENCES_INDEMNITES!$B$2:$B$501,B282,PRESENCES_INDEMNITES!$S$2:$S$501,"&lt;&gt;CONFORME",PRESENCES_INDEMNITES!$S$2:$S$501,"&lt;&gt;")&gt;0,"Anomalie détectée",IF(R282&gt;S282,"Dépassement budget indemnités","Conforme")))</f>
        <v/>
      </c>
      <c r="V282" t="str">
        <f t="shared" si="23"/>
        <v/>
      </c>
    </row>
    <row r="283" spans="1:22">
      <c r="A283">
        <f t="shared" si="20"/>
        <v>282</v>
      </c>
      <c r="C283" t="str">
        <f>+IFERROR(VLOOKUP(ControlePJTable[[#This Row],[Code activité]],'LISTES ACTIVITES'!$A$1:$B$38,2,FALSE()),"")</f>
        <v/>
      </c>
      <c r="D283" s="3"/>
      <c r="E283" s="3"/>
      <c r="F283" s="3"/>
      <c r="J283" s="5"/>
      <c r="K283" s="5"/>
      <c r="L283" s="5"/>
      <c r="M283" s="5" t="str">
        <f t="shared" si="21"/>
        <v/>
      </c>
      <c r="N283" s="5" t="str">
        <f t="shared" si="22"/>
        <v/>
      </c>
      <c r="Q283" t="str">
        <f t="shared" si="24"/>
        <v/>
      </c>
      <c r="R283" s="5" t="str">
        <f>IF(B283="","",SUMIFS(PRESENCES_INDEMNITES!$N$2:$N$501,PRESENCES_INDEMNITES!$B$2:$B$501,B283,PRESENCES_INDEMNITES!$S$2:$S$501,"CONFORME"))</f>
        <v/>
      </c>
      <c r="S283" s="5" t="str">
        <f>IF(B283="","",SUMIFS(REFERENTIEL_BUDGET!$J$2:$J$101,REFERENTIEL_BUDGET!$A$2:$A$101,B283,REFERENTIEL_BUDGET!$E$2:$E$101,"Indemnités participants"))</f>
        <v/>
      </c>
      <c r="T283" t="str">
        <f>IF(B283="","",IF(COUNTIFS(PRESENCES_INDEMNITES!$B$2:$B$501,B283,PRESENCES_INDEMNITES!$S$2:$S$501,"&lt;&gt;CONFORME",PRESENCES_INDEMNITES!$S$2:$S$501,"&lt;&gt;")&gt;0,"Anomalie détectée",IF(R283&gt;S283,"Dépassement budget indemnités","Conforme")))</f>
        <v/>
      </c>
      <c r="V283" t="str">
        <f t="shared" si="23"/>
        <v/>
      </c>
    </row>
    <row r="284" spans="1:22">
      <c r="A284">
        <f t="shared" si="20"/>
        <v>283</v>
      </c>
      <c r="C284" t="str">
        <f>+IFERROR(VLOOKUP(ControlePJTable[[#This Row],[Code activité]],'LISTES ACTIVITES'!$A$1:$B$38,2,FALSE()),"")</f>
        <v/>
      </c>
      <c r="D284" s="3"/>
      <c r="E284" s="3"/>
      <c r="F284" s="3"/>
      <c r="J284" s="5"/>
      <c r="K284" s="5"/>
      <c r="L284" s="5"/>
      <c r="M284" s="5" t="str">
        <f t="shared" si="21"/>
        <v/>
      </c>
      <c r="N284" s="5" t="str">
        <f t="shared" si="22"/>
        <v/>
      </c>
      <c r="Q284" t="str">
        <f t="shared" si="24"/>
        <v/>
      </c>
      <c r="R284" s="5" t="str">
        <f>IF(B284="","",SUMIFS(PRESENCES_INDEMNITES!$N$2:$N$501,PRESENCES_INDEMNITES!$B$2:$B$501,B284,PRESENCES_INDEMNITES!$S$2:$S$501,"CONFORME"))</f>
        <v/>
      </c>
      <c r="S284" s="5" t="str">
        <f>IF(B284="","",SUMIFS(REFERENTIEL_BUDGET!$J$2:$J$101,REFERENTIEL_BUDGET!$A$2:$A$101,B284,REFERENTIEL_BUDGET!$E$2:$E$101,"Indemnités participants"))</f>
        <v/>
      </c>
      <c r="T284" t="str">
        <f>IF(B284="","",IF(COUNTIFS(PRESENCES_INDEMNITES!$B$2:$B$501,B284,PRESENCES_INDEMNITES!$S$2:$S$501,"&lt;&gt;CONFORME",PRESENCES_INDEMNITES!$S$2:$S$501,"&lt;&gt;")&gt;0,"Anomalie détectée",IF(R284&gt;S284,"Dépassement budget indemnités","Conforme")))</f>
        <v/>
      </c>
      <c r="V284" t="str">
        <f t="shared" si="23"/>
        <v/>
      </c>
    </row>
    <row r="285" spans="1:22">
      <c r="A285">
        <f t="shared" si="20"/>
        <v>284</v>
      </c>
      <c r="C285" t="str">
        <f>+IFERROR(VLOOKUP(ControlePJTable[[#This Row],[Code activité]],'LISTES ACTIVITES'!$A$1:$B$38,2,FALSE()),"")</f>
        <v/>
      </c>
      <c r="D285" s="3"/>
      <c r="E285" s="3"/>
      <c r="F285" s="3"/>
      <c r="J285" s="5"/>
      <c r="K285" s="5"/>
      <c r="L285" s="5"/>
      <c r="M285" s="5" t="str">
        <f t="shared" si="21"/>
        <v/>
      </c>
      <c r="N285" s="5" t="str">
        <f t="shared" si="22"/>
        <v/>
      </c>
      <c r="Q285" t="str">
        <f t="shared" si="24"/>
        <v/>
      </c>
      <c r="R285" s="5" t="str">
        <f>IF(B285="","",SUMIFS(PRESENCES_INDEMNITES!$N$2:$N$501,PRESENCES_INDEMNITES!$B$2:$B$501,B285,PRESENCES_INDEMNITES!$S$2:$S$501,"CONFORME"))</f>
        <v/>
      </c>
      <c r="S285" s="5" t="str">
        <f>IF(B285="","",SUMIFS(REFERENTIEL_BUDGET!$J$2:$J$101,REFERENTIEL_BUDGET!$A$2:$A$101,B285,REFERENTIEL_BUDGET!$E$2:$E$101,"Indemnités participants"))</f>
        <v/>
      </c>
      <c r="T285" t="str">
        <f>IF(B285="","",IF(COUNTIFS(PRESENCES_INDEMNITES!$B$2:$B$501,B285,PRESENCES_INDEMNITES!$S$2:$S$501,"&lt;&gt;CONFORME",PRESENCES_INDEMNITES!$S$2:$S$501,"&lt;&gt;")&gt;0,"Anomalie détectée",IF(R285&gt;S285,"Dépassement budget indemnités","Conforme")))</f>
        <v/>
      </c>
      <c r="V285" t="str">
        <f t="shared" si="23"/>
        <v/>
      </c>
    </row>
    <row r="286" spans="1:22">
      <c r="A286">
        <f t="shared" si="20"/>
        <v>285</v>
      </c>
      <c r="C286" t="str">
        <f>+IFERROR(VLOOKUP(ControlePJTable[[#This Row],[Code activité]],'LISTES ACTIVITES'!$A$1:$B$38,2,FALSE()),"")</f>
        <v/>
      </c>
      <c r="D286" s="3"/>
      <c r="E286" s="3"/>
      <c r="F286" s="3"/>
      <c r="J286" s="5"/>
      <c r="K286" s="5"/>
      <c r="L286" s="5"/>
      <c r="M286" s="5" t="str">
        <f t="shared" si="21"/>
        <v/>
      </c>
      <c r="N286" s="5" t="str">
        <f t="shared" si="22"/>
        <v/>
      </c>
      <c r="Q286" t="str">
        <f t="shared" si="24"/>
        <v/>
      </c>
      <c r="R286" s="5" t="str">
        <f>IF(B286="","",SUMIFS(PRESENCES_INDEMNITES!$N$2:$N$501,PRESENCES_INDEMNITES!$B$2:$B$501,B286,PRESENCES_INDEMNITES!$S$2:$S$501,"CONFORME"))</f>
        <v/>
      </c>
      <c r="S286" s="5" t="str">
        <f>IF(B286="","",SUMIFS(REFERENTIEL_BUDGET!$J$2:$J$101,REFERENTIEL_BUDGET!$A$2:$A$101,B286,REFERENTIEL_BUDGET!$E$2:$E$101,"Indemnités participants"))</f>
        <v/>
      </c>
      <c r="T286" t="str">
        <f>IF(B286="","",IF(COUNTIFS(PRESENCES_INDEMNITES!$B$2:$B$501,B286,PRESENCES_INDEMNITES!$S$2:$S$501,"&lt;&gt;CONFORME",PRESENCES_INDEMNITES!$S$2:$S$501,"&lt;&gt;")&gt;0,"Anomalie détectée",IF(R286&gt;S286,"Dépassement budget indemnités","Conforme")))</f>
        <v/>
      </c>
      <c r="V286" t="str">
        <f t="shared" si="23"/>
        <v/>
      </c>
    </row>
    <row r="287" spans="1:22">
      <c r="A287">
        <f t="shared" si="20"/>
        <v>286</v>
      </c>
      <c r="C287" t="str">
        <f>+IFERROR(VLOOKUP(ControlePJTable[[#This Row],[Code activité]],'LISTES ACTIVITES'!$A$1:$B$38,2,FALSE()),"")</f>
        <v/>
      </c>
      <c r="D287" s="3"/>
      <c r="E287" s="3"/>
      <c r="F287" s="3"/>
      <c r="J287" s="5"/>
      <c r="K287" s="5"/>
      <c r="L287" s="5"/>
      <c r="M287" s="5" t="str">
        <f t="shared" si="21"/>
        <v/>
      </c>
      <c r="N287" s="5" t="str">
        <f t="shared" si="22"/>
        <v/>
      </c>
      <c r="Q287" t="str">
        <f t="shared" si="24"/>
        <v/>
      </c>
      <c r="R287" s="5" t="str">
        <f>IF(B287="","",SUMIFS(PRESENCES_INDEMNITES!$N$2:$N$501,PRESENCES_INDEMNITES!$B$2:$B$501,B287,PRESENCES_INDEMNITES!$S$2:$S$501,"CONFORME"))</f>
        <v/>
      </c>
      <c r="S287" s="5" t="str">
        <f>IF(B287="","",SUMIFS(REFERENTIEL_BUDGET!$J$2:$J$101,REFERENTIEL_BUDGET!$A$2:$A$101,B287,REFERENTIEL_BUDGET!$E$2:$E$101,"Indemnités participants"))</f>
        <v/>
      </c>
      <c r="T287" t="str">
        <f>IF(B287="","",IF(COUNTIFS(PRESENCES_INDEMNITES!$B$2:$B$501,B287,PRESENCES_INDEMNITES!$S$2:$S$501,"&lt;&gt;CONFORME",PRESENCES_INDEMNITES!$S$2:$S$501,"&lt;&gt;")&gt;0,"Anomalie détectée",IF(R287&gt;S287,"Dépassement budget indemnités","Conforme")))</f>
        <v/>
      </c>
      <c r="V287" t="str">
        <f t="shared" si="23"/>
        <v/>
      </c>
    </row>
    <row r="288" spans="1:22">
      <c r="A288">
        <f t="shared" si="20"/>
        <v>287</v>
      </c>
      <c r="C288" t="str">
        <f>+IFERROR(VLOOKUP(ControlePJTable[[#This Row],[Code activité]],'LISTES ACTIVITES'!$A$1:$B$38,2,FALSE()),"")</f>
        <v/>
      </c>
      <c r="D288" s="3"/>
      <c r="E288" s="3"/>
      <c r="F288" s="3"/>
      <c r="J288" s="5"/>
      <c r="K288" s="5"/>
      <c r="L288" s="5"/>
      <c r="M288" s="5" t="str">
        <f t="shared" si="21"/>
        <v/>
      </c>
      <c r="N288" s="5" t="str">
        <f t="shared" si="22"/>
        <v/>
      </c>
      <c r="Q288" t="str">
        <f t="shared" si="24"/>
        <v/>
      </c>
      <c r="R288" s="5" t="str">
        <f>IF(B288="","",SUMIFS(PRESENCES_INDEMNITES!$N$2:$N$501,PRESENCES_INDEMNITES!$B$2:$B$501,B288,PRESENCES_INDEMNITES!$S$2:$S$501,"CONFORME"))</f>
        <v/>
      </c>
      <c r="S288" s="5" t="str">
        <f>IF(B288="","",SUMIFS(REFERENTIEL_BUDGET!$J$2:$J$101,REFERENTIEL_BUDGET!$A$2:$A$101,B288,REFERENTIEL_BUDGET!$E$2:$E$101,"Indemnités participants"))</f>
        <v/>
      </c>
      <c r="T288" t="str">
        <f>IF(B288="","",IF(COUNTIFS(PRESENCES_INDEMNITES!$B$2:$B$501,B288,PRESENCES_INDEMNITES!$S$2:$S$501,"&lt;&gt;CONFORME",PRESENCES_INDEMNITES!$S$2:$S$501,"&lt;&gt;")&gt;0,"Anomalie détectée",IF(R288&gt;S288,"Dépassement budget indemnités","Conforme")))</f>
        <v/>
      </c>
      <c r="V288" t="str">
        <f t="shared" si="23"/>
        <v/>
      </c>
    </row>
    <row r="289" spans="1:22">
      <c r="A289">
        <f t="shared" si="20"/>
        <v>288</v>
      </c>
      <c r="C289" t="str">
        <f>+IFERROR(VLOOKUP(ControlePJTable[[#This Row],[Code activité]],'LISTES ACTIVITES'!$A$1:$B$38,2,FALSE()),"")</f>
        <v/>
      </c>
      <c r="D289" s="3"/>
      <c r="E289" s="3"/>
      <c r="F289" s="3"/>
      <c r="J289" s="5"/>
      <c r="K289" s="5"/>
      <c r="L289" s="5"/>
      <c r="M289" s="5" t="str">
        <f t="shared" si="21"/>
        <v/>
      </c>
      <c r="N289" s="5" t="str">
        <f t="shared" si="22"/>
        <v/>
      </c>
      <c r="Q289" t="str">
        <f t="shared" si="24"/>
        <v/>
      </c>
      <c r="R289" s="5" t="str">
        <f>IF(B289="","",SUMIFS(PRESENCES_INDEMNITES!$N$2:$N$501,PRESENCES_INDEMNITES!$B$2:$B$501,B289,PRESENCES_INDEMNITES!$S$2:$S$501,"CONFORME"))</f>
        <v/>
      </c>
      <c r="S289" s="5" t="str">
        <f>IF(B289="","",SUMIFS(REFERENTIEL_BUDGET!$J$2:$J$101,REFERENTIEL_BUDGET!$A$2:$A$101,B289,REFERENTIEL_BUDGET!$E$2:$E$101,"Indemnités participants"))</f>
        <v/>
      </c>
      <c r="T289" t="str">
        <f>IF(B289="","",IF(COUNTIFS(PRESENCES_INDEMNITES!$B$2:$B$501,B289,PRESENCES_INDEMNITES!$S$2:$S$501,"&lt;&gt;CONFORME",PRESENCES_INDEMNITES!$S$2:$S$501,"&lt;&gt;")&gt;0,"Anomalie détectée",IF(R289&gt;S289,"Dépassement budget indemnités","Conforme")))</f>
        <v/>
      </c>
      <c r="V289" t="str">
        <f t="shared" si="23"/>
        <v/>
      </c>
    </row>
    <row r="290" spans="1:22">
      <c r="A290">
        <f t="shared" si="20"/>
        <v>289</v>
      </c>
      <c r="C290" t="str">
        <f>+IFERROR(VLOOKUP(ControlePJTable[[#This Row],[Code activité]],'LISTES ACTIVITES'!$A$1:$B$38,2,FALSE()),"")</f>
        <v/>
      </c>
      <c r="D290" s="3"/>
      <c r="E290" s="3"/>
      <c r="F290" s="3"/>
      <c r="J290" s="5"/>
      <c r="K290" s="5"/>
      <c r="L290" s="5"/>
      <c r="M290" s="5" t="str">
        <f t="shared" si="21"/>
        <v/>
      </c>
      <c r="N290" s="5" t="str">
        <f t="shared" si="22"/>
        <v/>
      </c>
      <c r="Q290" t="str">
        <f t="shared" si="24"/>
        <v/>
      </c>
      <c r="R290" s="5" t="str">
        <f>IF(B290="","",SUMIFS(PRESENCES_INDEMNITES!$N$2:$N$501,PRESENCES_INDEMNITES!$B$2:$B$501,B290,PRESENCES_INDEMNITES!$S$2:$S$501,"CONFORME"))</f>
        <v/>
      </c>
      <c r="S290" s="5" t="str">
        <f>IF(B290="","",SUMIFS(REFERENTIEL_BUDGET!$J$2:$J$101,REFERENTIEL_BUDGET!$A$2:$A$101,B290,REFERENTIEL_BUDGET!$E$2:$E$101,"Indemnités participants"))</f>
        <v/>
      </c>
      <c r="T290" t="str">
        <f>IF(B290="","",IF(COUNTIFS(PRESENCES_INDEMNITES!$B$2:$B$501,B290,PRESENCES_INDEMNITES!$S$2:$S$501,"&lt;&gt;CONFORME",PRESENCES_INDEMNITES!$S$2:$S$501,"&lt;&gt;")&gt;0,"Anomalie détectée",IF(R290&gt;S290,"Dépassement budget indemnités","Conforme")))</f>
        <v/>
      </c>
      <c r="V290" t="str">
        <f t="shared" si="23"/>
        <v/>
      </c>
    </row>
    <row r="291" spans="1:22">
      <c r="A291">
        <f t="shared" si="20"/>
        <v>290</v>
      </c>
      <c r="C291" t="str">
        <f>+IFERROR(VLOOKUP(ControlePJTable[[#This Row],[Code activité]],'LISTES ACTIVITES'!$A$1:$B$38,2,FALSE()),"")</f>
        <v/>
      </c>
      <c r="D291" s="3"/>
      <c r="E291" s="3"/>
      <c r="F291" s="3"/>
      <c r="J291" s="5"/>
      <c r="K291" s="5"/>
      <c r="L291" s="5"/>
      <c r="M291" s="5" t="str">
        <f t="shared" si="21"/>
        <v/>
      </c>
      <c r="N291" s="5" t="str">
        <f t="shared" si="22"/>
        <v/>
      </c>
      <c r="Q291" t="str">
        <f t="shared" si="24"/>
        <v/>
      </c>
      <c r="R291" s="5" t="str">
        <f>IF(B291="","",SUMIFS(PRESENCES_INDEMNITES!$N$2:$N$501,PRESENCES_INDEMNITES!$B$2:$B$501,B291,PRESENCES_INDEMNITES!$S$2:$S$501,"CONFORME"))</f>
        <v/>
      </c>
      <c r="S291" s="5" t="str">
        <f>IF(B291="","",SUMIFS(REFERENTIEL_BUDGET!$J$2:$J$101,REFERENTIEL_BUDGET!$A$2:$A$101,B291,REFERENTIEL_BUDGET!$E$2:$E$101,"Indemnités participants"))</f>
        <v/>
      </c>
      <c r="T291" t="str">
        <f>IF(B291="","",IF(COUNTIFS(PRESENCES_INDEMNITES!$B$2:$B$501,B291,PRESENCES_INDEMNITES!$S$2:$S$501,"&lt;&gt;CONFORME",PRESENCES_INDEMNITES!$S$2:$S$501,"&lt;&gt;")&gt;0,"Anomalie détectée",IF(R291&gt;S291,"Dépassement budget indemnités","Conforme")))</f>
        <v/>
      </c>
      <c r="V291" t="str">
        <f t="shared" si="23"/>
        <v/>
      </c>
    </row>
    <row r="292" spans="1:22">
      <c r="A292">
        <f t="shared" si="20"/>
        <v>291</v>
      </c>
      <c r="C292" t="str">
        <f>+IFERROR(VLOOKUP(ControlePJTable[[#This Row],[Code activité]],'LISTES ACTIVITES'!$A$1:$B$38,2,FALSE()),"")</f>
        <v/>
      </c>
      <c r="D292" s="3"/>
      <c r="E292" s="3"/>
      <c r="F292" s="3"/>
      <c r="J292" s="5"/>
      <c r="K292" s="5"/>
      <c r="L292" s="5"/>
      <c r="M292" s="5" t="str">
        <f t="shared" si="21"/>
        <v/>
      </c>
      <c r="N292" s="5" t="str">
        <f t="shared" si="22"/>
        <v/>
      </c>
      <c r="Q292" t="str">
        <f t="shared" si="24"/>
        <v/>
      </c>
      <c r="R292" s="5" t="str">
        <f>IF(B292="","",SUMIFS(PRESENCES_INDEMNITES!$N$2:$N$501,PRESENCES_INDEMNITES!$B$2:$B$501,B292,PRESENCES_INDEMNITES!$S$2:$S$501,"CONFORME"))</f>
        <v/>
      </c>
      <c r="S292" s="5" t="str">
        <f>IF(B292="","",SUMIFS(REFERENTIEL_BUDGET!$J$2:$J$101,REFERENTIEL_BUDGET!$A$2:$A$101,B292,REFERENTIEL_BUDGET!$E$2:$E$101,"Indemnités participants"))</f>
        <v/>
      </c>
      <c r="T292" t="str">
        <f>IF(B292="","",IF(COUNTIFS(PRESENCES_INDEMNITES!$B$2:$B$501,B292,PRESENCES_INDEMNITES!$S$2:$S$501,"&lt;&gt;CONFORME",PRESENCES_INDEMNITES!$S$2:$S$501,"&lt;&gt;")&gt;0,"Anomalie détectée",IF(R292&gt;S292,"Dépassement budget indemnités","Conforme")))</f>
        <v/>
      </c>
      <c r="V292" t="str">
        <f t="shared" si="23"/>
        <v/>
      </c>
    </row>
    <row r="293" spans="1:22">
      <c r="A293">
        <f t="shared" si="20"/>
        <v>292</v>
      </c>
      <c r="C293" t="str">
        <f>+IFERROR(VLOOKUP(ControlePJTable[[#This Row],[Code activité]],'LISTES ACTIVITES'!$A$1:$B$38,2,FALSE()),"")</f>
        <v/>
      </c>
      <c r="D293" s="3"/>
      <c r="E293" s="3"/>
      <c r="F293" s="3"/>
      <c r="J293" s="5"/>
      <c r="K293" s="5"/>
      <c r="L293" s="5"/>
      <c r="M293" s="5" t="str">
        <f t="shared" si="21"/>
        <v/>
      </c>
      <c r="N293" s="5" t="str">
        <f t="shared" si="22"/>
        <v/>
      </c>
      <c r="Q293" t="str">
        <f t="shared" si="24"/>
        <v/>
      </c>
      <c r="R293" s="5" t="str">
        <f>IF(B293="","",SUMIFS(PRESENCES_INDEMNITES!$N$2:$N$501,PRESENCES_INDEMNITES!$B$2:$B$501,B293,PRESENCES_INDEMNITES!$S$2:$S$501,"CONFORME"))</f>
        <v/>
      </c>
      <c r="S293" s="5" t="str">
        <f>IF(B293="","",SUMIFS(REFERENTIEL_BUDGET!$J$2:$J$101,REFERENTIEL_BUDGET!$A$2:$A$101,B293,REFERENTIEL_BUDGET!$E$2:$E$101,"Indemnités participants"))</f>
        <v/>
      </c>
      <c r="T293" t="str">
        <f>IF(B293="","",IF(COUNTIFS(PRESENCES_INDEMNITES!$B$2:$B$501,B293,PRESENCES_INDEMNITES!$S$2:$S$501,"&lt;&gt;CONFORME",PRESENCES_INDEMNITES!$S$2:$S$501,"&lt;&gt;")&gt;0,"Anomalie détectée",IF(R293&gt;S293,"Dépassement budget indemnités","Conforme")))</f>
        <v/>
      </c>
      <c r="V293" t="str">
        <f t="shared" si="23"/>
        <v/>
      </c>
    </row>
    <row r="294" spans="1:22">
      <c r="A294">
        <f t="shared" si="20"/>
        <v>293</v>
      </c>
      <c r="C294" t="str">
        <f>+IFERROR(VLOOKUP(ControlePJTable[[#This Row],[Code activité]],'LISTES ACTIVITES'!$A$1:$B$38,2,FALSE()),"")</f>
        <v/>
      </c>
      <c r="D294" s="3"/>
      <c r="E294" s="3"/>
      <c r="F294" s="3"/>
      <c r="J294" s="5"/>
      <c r="K294" s="5"/>
      <c r="L294" s="5"/>
      <c r="M294" s="5" t="str">
        <f t="shared" si="21"/>
        <v/>
      </c>
      <c r="N294" s="5" t="str">
        <f t="shared" si="22"/>
        <v/>
      </c>
      <c r="Q294" t="str">
        <f t="shared" si="24"/>
        <v/>
      </c>
      <c r="R294" s="5" t="str">
        <f>IF(B294="","",SUMIFS(PRESENCES_INDEMNITES!$N$2:$N$501,PRESENCES_INDEMNITES!$B$2:$B$501,B294,PRESENCES_INDEMNITES!$S$2:$S$501,"CONFORME"))</f>
        <v/>
      </c>
      <c r="S294" s="5" t="str">
        <f>IF(B294="","",SUMIFS(REFERENTIEL_BUDGET!$J$2:$J$101,REFERENTIEL_BUDGET!$A$2:$A$101,B294,REFERENTIEL_BUDGET!$E$2:$E$101,"Indemnités participants"))</f>
        <v/>
      </c>
      <c r="T294" t="str">
        <f>IF(B294="","",IF(COUNTIFS(PRESENCES_INDEMNITES!$B$2:$B$501,B294,PRESENCES_INDEMNITES!$S$2:$S$501,"&lt;&gt;CONFORME",PRESENCES_INDEMNITES!$S$2:$S$501,"&lt;&gt;")&gt;0,"Anomalie détectée",IF(R294&gt;S294,"Dépassement budget indemnités","Conforme")))</f>
        <v/>
      </c>
      <c r="V294" t="str">
        <f t="shared" si="23"/>
        <v/>
      </c>
    </row>
    <row r="295" spans="1:22">
      <c r="A295">
        <f t="shared" si="20"/>
        <v>294</v>
      </c>
      <c r="C295" t="str">
        <f>+IFERROR(VLOOKUP(ControlePJTable[[#This Row],[Code activité]],'LISTES ACTIVITES'!$A$1:$B$38,2,FALSE()),"")</f>
        <v/>
      </c>
      <c r="D295" s="3"/>
      <c r="E295" s="3"/>
      <c r="F295" s="3"/>
      <c r="J295" s="5"/>
      <c r="K295" s="5"/>
      <c r="L295" s="5"/>
      <c r="M295" s="5" t="str">
        <f t="shared" si="21"/>
        <v/>
      </c>
      <c r="N295" s="5" t="str">
        <f t="shared" si="22"/>
        <v/>
      </c>
      <c r="Q295" t="str">
        <f t="shared" si="24"/>
        <v/>
      </c>
      <c r="R295" s="5" t="str">
        <f>IF(B295="","",SUMIFS(PRESENCES_INDEMNITES!$N$2:$N$501,PRESENCES_INDEMNITES!$B$2:$B$501,B295,PRESENCES_INDEMNITES!$S$2:$S$501,"CONFORME"))</f>
        <v/>
      </c>
      <c r="S295" s="5" t="str">
        <f>IF(B295="","",SUMIFS(REFERENTIEL_BUDGET!$J$2:$J$101,REFERENTIEL_BUDGET!$A$2:$A$101,B295,REFERENTIEL_BUDGET!$E$2:$E$101,"Indemnités participants"))</f>
        <v/>
      </c>
      <c r="T295" t="str">
        <f>IF(B295="","",IF(COUNTIFS(PRESENCES_INDEMNITES!$B$2:$B$501,B295,PRESENCES_INDEMNITES!$S$2:$S$501,"&lt;&gt;CONFORME",PRESENCES_INDEMNITES!$S$2:$S$501,"&lt;&gt;")&gt;0,"Anomalie détectée",IF(R295&gt;S295,"Dépassement budget indemnités","Conforme")))</f>
        <v/>
      </c>
      <c r="V295" t="str">
        <f t="shared" si="23"/>
        <v/>
      </c>
    </row>
    <row r="296" spans="1:22">
      <c r="A296">
        <f t="shared" si="20"/>
        <v>295</v>
      </c>
      <c r="C296" t="str">
        <f>+IFERROR(VLOOKUP(ControlePJTable[[#This Row],[Code activité]],'LISTES ACTIVITES'!$A$1:$B$38,2,FALSE()),"")</f>
        <v/>
      </c>
      <c r="D296" s="3"/>
      <c r="E296" s="3"/>
      <c r="F296" s="3"/>
      <c r="J296" s="5"/>
      <c r="K296" s="5"/>
      <c r="L296" s="5"/>
      <c r="M296" s="5" t="str">
        <f t="shared" si="21"/>
        <v/>
      </c>
      <c r="N296" s="5" t="str">
        <f t="shared" si="22"/>
        <v/>
      </c>
      <c r="Q296" t="str">
        <f t="shared" si="24"/>
        <v/>
      </c>
      <c r="R296" s="5" t="str">
        <f>IF(B296="","",SUMIFS(PRESENCES_INDEMNITES!$N$2:$N$501,PRESENCES_INDEMNITES!$B$2:$B$501,B296,PRESENCES_INDEMNITES!$S$2:$S$501,"CONFORME"))</f>
        <v/>
      </c>
      <c r="S296" s="5" t="str">
        <f>IF(B296="","",SUMIFS(REFERENTIEL_BUDGET!$J$2:$J$101,REFERENTIEL_BUDGET!$A$2:$A$101,B296,REFERENTIEL_BUDGET!$E$2:$E$101,"Indemnités participants"))</f>
        <v/>
      </c>
      <c r="T296" t="str">
        <f>IF(B296="","",IF(COUNTIFS(PRESENCES_INDEMNITES!$B$2:$B$501,B296,PRESENCES_INDEMNITES!$S$2:$S$501,"&lt;&gt;CONFORME",PRESENCES_INDEMNITES!$S$2:$S$501,"&lt;&gt;")&gt;0,"Anomalie détectée",IF(R296&gt;S296,"Dépassement budget indemnités","Conforme")))</f>
        <v/>
      </c>
      <c r="V296" t="str">
        <f t="shared" si="23"/>
        <v/>
      </c>
    </row>
    <row r="297" spans="1:22">
      <c r="A297">
        <f t="shared" si="20"/>
        <v>296</v>
      </c>
      <c r="C297" t="str">
        <f>+IFERROR(VLOOKUP(ControlePJTable[[#This Row],[Code activité]],'LISTES ACTIVITES'!$A$1:$B$38,2,FALSE()),"")</f>
        <v/>
      </c>
      <c r="D297" s="3"/>
      <c r="E297" s="3"/>
      <c r="F297" s="3"/>
      <c r="J297" s="5"/>
      <c r="K297" s="5"/>
      <c r="L297" s="5"/>
      <c r="M297" s="5" t="str">
        <f t="shared" si="21"/>
        <v/>
      </c>
      <c r="N297" s="5" t="str">
        <f t="shared" si="22"/>
        <v/>
      </c>
      <c r="Q297" t="str">
        <f t="shared" si="24"/>
        <v/>
      </c>
      <c r="R297" s="5" t="str">
        <f>IF(B297="","",SUMIFS(PRESENCES_INDEMNITES!$N$2:$N$501,PRESENCES_INDEMNITES!$B$2:$B$501,B297,PRESENCES_INDEMNITES!$S$2:$S$501,"CONFORME"))</f>
        <v/>
      </c>
      <c r="S297" s="5" t="str">
        <f>IF(B297="","",SUMIFS(REFERENTIEL_BUDGET!$J$2:$J$101,REFERENTIEL_BUDGET!$A$2:$A$101,B297,REFERENTIEL_BUDGET!$E$2:$E$101,"Indemnités participants"))</f>
        <v/>
      </c>
      <c r="T297" t="str">
        <f>IF(B297="","",IF(COUNTIFS(PRESENCES_INDEMNITES!$B$2:$B$501,B297,PRESENCES_INDEMNITES!$S$2:$S$501,"&lt;&gt;CONFORME",PRESENCES_INDEMNITES!$S$2:$S$501,"&lt;&gt;")&gt;0,"Anomalie détectée",IF(R297&gt;S297,"Dépassement budget indemnités","Conforme")))</f>
        <v/>
      </c>
      <c r="V297" t="str">
        <f t="shared" si="23"/>
        <v/>
      </c>
    </row>
    <row r="298" spans="1:22">
      <c r="A298">
        <f t="shared" si="20"/>
        <v>297</v>
      </c>
      <c r="C298" t="str">
        <f>+IFERROR(VLOOKUP(ControlePJTable[[#This Row],[Code activité]],'LISTES ACTIVITES'!$A$1:$B$38,2,FALSE()),"")</f>
        <v/>
      </c>
      <c r="D298" s="3"/>
      <c r="E298" s="3"/>
      <c r="F298" s="3"/>
      <c r="J298" s="5"/>
      <c r="K298" s="5"/>
      <c r="L298" s="5"/>
      <c r="M298" s="5" t="str">
        <f t="shared" si="21"/>
        <v/>
      </c>
      <c r="N298" s="5" t="str">
        <f t="shared" si="22"/>
        <v/>
      </c>
      <c r="Q298" t="str">
        <f t="shared" si="24"/>
        <v/>
      </c>
      <c r="R298" s="5" t="str">
        <f>IF(B298="","",SUMIFS(PRESENCES_INDEMNITES!$N$2:$N$501,PRESENCES_INDEMNITES!$B$2:$B$501,B298,PRESENCES_INDEMNITES!$S$2:$S$501,"CONFORME"))</f>
        <v/>
      </c>
      <c r="S298" s="5" t="str">
        <f>IF(B298="","",SUMIFS(REFERENTIEL_BUDGET!$J$2:$J$101,REFERENTIEL_BUDGET!$A$2:$A$101,B298,REFERENTIEL_BUDGET!$E$2:$E$101,"Indemnités participants"))</f>
        <v/>
      </c>
      <c r="T298" t="str">
        <f>IF(B298="","",IF(COUNTIFS(PRESENCES_INDEMNITES!$B$2:$B$501,B298,PRESENCES_INDEMNITES!$S$2:$S$501,"&lt;&gt;CONFORME",PRESENCES_INDEMNITES!$S$2:$S$501,"&lt;&gt;")&gt;0,"Anomalie détectée",IF(R298&gt;S298,"Dépassement budget indemnités","Conforme")))</f>
        <v/>
      </c>
      <c r="V298" t="str">
        <f t="shared" si="23"/>
        <v/>
      </c>
    </row>
    <row r="299" spans="1:22">
      <c r="A299">
        <f t="shared" si="20"/>
        <v>298</v>
      </c>
      <c r="C299" t="str">
        <f>+IFERROR(VLOOKUP(ControlePJTable[[#This Row],[Code activité]],'LISTES ACTIVITES'!$A$1:$B$38,2,FALSE()),"")</f>
        <v/>
      </c>
      <c r="D299" s="3"/>
      <c r="E299" s="3"/>
      <c r="F299" s="3"/>
      <c r="J299" s="5"/>
      <c r="K299" s="5"/>
      <c r="L299" s="5"/>
      <c r="M299" s="5" t="str">
        <f t="shared" si="21"/>
        <v/>
      </c>
      <c r="N299" s="5" t="str">
        <f t="shared" si="22"/>
        <v/>
      </c>
      <c r="Q299" t="str">
        <f t="shared" si="24"/>
        <v/>
      </c>
      <c r="R299" s="5" t="str">
        <f>IF(B299="","",SUMIFS(PRESENCES_INDEMNITES!$N$2:$N$501,PRESENCES_INDEMNITES!$B$2:$B$501,B299,PRESENCES_INDEMNITES!$S$2:$S$501,"CONFORME"))</f>
        <v/>
      </c>
      <c r="S299" s="5" t="str">
        <f>IF(B299="","",SUMIFS(REFERENTIEL_BUDGET!$J$2:$J$101,REFERENTIEL_BUDGET!$A$2:$A$101,B299,REFERENTIEL_BUDGET!$E$2:$E$101,"Indemnités participants"))</f>
        <v/>
      </c>
      <c r="T299" t="str">
        <f>IF(B299="","",IF(COUNTIFS(PRESENCES_INDEMNITES!$B$2:$B$501,B299,PRESENCES_INDEMNITES!$S$2:$S$501,"&lt;&gt;CONFORME",PRESENCES_INDEMNITES!$S$2:$S$501,"&lt;&gt;")&gt;0,"Anomalie détectée",IF(R299&gt;S299,"Dépassement budget indemnités","Conforme")))</f>
        <v/>
      </c>
      <c r="V299" t="str">
        <f t="shared" si="23"/>
        <v/>
      </c>
    </row>
    <row r="300" spans="1:22">
      <c r="A300">
        <f t="shared" si="20"/>
        <v>299</v>
      </c>
      <c r="C300" t="str">
        <f>+IFERROR(VLOOKUP(ControlePJTable[[#This Row],[Code activité]],'LISTES ACTIVITES'!$A$1:$B$38,2,FALSE()),"")</f>
        <v/>
      </c>
      <c r="D300" s="3"/>
      <c r="E300" s="3"/>
      <c r="F300" s="3"/>
      <c r="J300" s="5"/>
      <c r="K300" s="5"/>
      <c r="L300" s="5"/>
      <c r="M300" s="5" t="str">
        <f t="shared" si="21"/>
        <v/>
      </c>
      <c r="N300" s="5" t="str">
        <f t="shared" si="22"/>
        <v/>
      </c>
      <c r="Q300" t="str">
        <f t="shared" si="24"/>
        <v/>
      </c>
      <c r="R300" s="5" t="str">
        <f>IF(B300="","",SUMIFS(PRESENCES_INDEMNITES!$N$2:$N$501,PRESENCES_INDEMNITES!$B$2:$B$501,B300,PRESENCES_INDEMNITES!$S$2:$S$501,"CONFORME"))</f>
        <v/>
      </c>
      <c r="S300" s="5" t="str">
        <f>IF(B300="","",SUMIFS(REFERENTIEL_BUDGET!$J$2:$J$101,REFERENTIEL_BUDGET!$A$2:$A$101,B300,REFERENTIEL_BUDGET!$E$2:$E$101,"Indemnités participants"))</f>
        <v/>
      </c>
      <c r="T300" t="str">
        <f>IF(B300="","",IF(COUNTIFS(PRESENCES_INDEMNITES!$B$2:$B$501,B300,PRESENCES_INDEMNITES!$S$2:$S$501,"&lt;&gt;CONFORME",PRESENCES_INDEMNITES!$S$2:$S$501,"&lt;&gt;")&gt;0,"Anomalie détectée",IF(R300&gt;S300,"Dépassement budget indemnités","Conforme")))</f>
        <v/>
      </c>
      <c r="V300" t="str">
        <f t="shared" si="23"/>
        <v/>
      </c>
    </row>
    <row r="301" spans="1:22">
      <c r="A301">
        <f t="shared" si="20"/>
        <v>300</v>
      </c>
      <c r="C301" t="str">
        <f>+IFERROR(VLOOKUP(ControlePJTable[[#This Row],[Code activité]],'LISTES ACTIVITES'!$A$1:$B$38,2,FALSE()),"")</f>
        <v/>
      </c>
      <c r="D301" s="3"/>
      <c r="E301" s="3"/>
      <c r="F301" s="3"/>
      <c r="J301" s="5"/>
      <c r="K301" s="5"/>
      <c r="L301" s="5"/>
      <c r="M301" s="5" t="str">
        <f t="shared" si="21"/>
        <v/>
      </c>
      <c r="N301" s="5" t="str">
        <f t="shared" si="22"/>
        <v/>
      </c>
      <c r="Q301" t="str">
        <f t="shared" si="24"/>
        <v/>
      </c>
      <c r="R301" s="5" t="str">
        <f>IF(B301="","",SUMIFS(PRESENCES_INDEMNITES!$N$2:$N$501,PRESENCES_INDEMNITES!$B$2:$B$501,B301,PRESENCES_INDEMNITES!$S$2:$S$501,"CONFORME"))</f>
        <v/>
      </c>
      <c r="S301" s="5" t="str">
        <f>IF(B301="","",SUMIFS(REFERENTIEL_BUDGET!$J$2:$J$101,REFERENTIEL_BUDGET!$A$2:$A$101,B301,REFERENTIEL_BUDGET!$E$2:$E$101,"Indemnités participants"))</f>
        <v/>
      </c>
      <c r="T301" t="str">
        <f>IF(B301="","",IF(COUNTIFS(PRESENCES_INDEMNITES!$B$2:$B$501,B301,PRESENCES_INDEMNITES!$S$2:$S$501,"&lt;&gt;CONFORME",PRESENCES_INDEMNITES!$S$2:$S$501,"&lt;&gt;")&gt;0,"Anomalie détectée",IF(R301&gt;S301,"Dépassement budget indemnités","Conforme")))</f>
        <v/>
      </c>
      <c r="V301" t="str">
        <f t="shared" si="23"/>
        <v/>
      </c>
    </row>
  </sheetData>
  <conditionalFormatting sqref="V2:V301">
    <cfRule type="expression" dxfId="9" priority="1">
      <formula>V2="Conforme"</formula>
    </cfRule>
    <cfRule type="expression" dxfId="8" priority="2">
      <formula>V2="Non conforme"</formula>
    </cfRule>
    <cfRule type="expression" dxfId="7" priority="3">
      <formula>V2="PJ non reçue"</formula>
    </cfRule>
    <cfRule type="expression" dxfId="6" priority="4">
      <formula>V2="Date PJ non conforme"</formula>
    </cfRule>
    <cfRule type="expression" dxfId="5" priority="5">
      <formula>V2="À vérifier"</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xr:uid="{00000000-0002-0000-0000-000000000000}">
          <x14:formula1>
            <xm:f>LISTES!$I$2:$I$14</xm:f>
          </x14:formula1>
          <xm:sqref>I2:I301</xm:sqref>
        </x14:dataValidation>
        <x14:dataValidation type="list" allowBlank="1" showInputMessage="1" showErrorMessage="1" xr:uid="{641CC9E2-074A-42C7-B5FC-AC742B5CB67A}">
          <x14:formula1>
            <xm:f>LISTES!$C$2:$C$15</xm:f>
          </x14:formula1>
          <xm:sqref>G2:G301</xm:sqref>
        </x14:dataValidation>
        <x14:dataValidation type="list" xr:uid="{00000000-0002-0000-0000-000001000000}">
          <x14:formula1>
            <xm:f>LISTES!$G$2:$G$4</xm:f>
          </x14:formula1>
          <xm:sqref>O2:O301</xm:sqref>
        </x14:dataValidation>
        <x14:dataValidation type="list" xr:uid="{00000000-0002-0000-0000-000002000000}">
          <x14:formula1>
            <xm:f>LISTES!$H$2:$H$4</xm:f>
          </x14:formula1>
          <xm:sqref>P2:P301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01"/>
  <sheetViews>
    <sheetView topLeftCell="P1" workbookViewId="0">
      <selection activeCell="N2" sqref="N2:N16"/>
    </sheetView>
  </sheetViews>
  <sheetFormatPr baseColWidth="10" defaultColWidth="8.796875" defaultRowHeight="13.8"/>
  <cols>
    <col min="1" max="1" width="6" customWidth="1"/>
    <col min="2" max="2" width="14" customWidth="1"/>
    <col min="3" max="4" width="24" customWidth="1"/>
    <col min="5" max="9" width="14" customWidth="1"/>
    <col min="10" max="10" width="12" customWidth="1"/>
    <col min="11" max="13" width="22" customWidth="1"/>
    <col min="14" max="14" width="20" customWidth="1"/>
    <col min="15" max="16" width="18" customWidth="1"/>
    <col min="17" max="17" width="24" customWidth="1"/>
    <col min="18" max="18" width="18" customWidth="1"/>
    <col min="19" max="19" width="24" customWidth="1"/>
    <col min="20" max="20" width="34" customWidth="1"/>
  </cols>
  <sheetData>
    <row r="1" spans="1:20" ht="27.6">
      <c r="A1" s="1" t="s">
        <v>0</v>
      </c>
      <c r="B1" s="1" t="s">
        <v>1</v>
      </c>
      <c r="C1" s="1" t="s">
        <v>21</v>
      </c>
      <c r="D1" s="1" t="s">
        <v>22</v>
      </c>
      <c r="E1" s="1" t="s">
        <v>23</v>
      </c>
      <c r="F1" s="1" t="s">
        <v>24</v>
      </c>
      <c r="G1" s="1" t="s">
        <v>105</v>
      </c>
      <c r="H1" s="1" t="s">
        <v>106</v>
      </c>
      <c r="I1" s="1" t="s">
        <v>107</v>
      </c>
      <c r="J1" s="1" t="s">
        <v>108</v>
      </c>
      <c r="K1" s="1" t="s">
        <v>25</v>
      </c>
      <c r="L1" s="1" t="s">
        <v>26</v>
      </c>
      <c r="M1" s="1" t="s">
        <v>27</v>
      </c>
      <c r="N1" s="1" t="s">
        <v>28</v>
      </c>
      <c r="O1" s="1" t="s">
        <v>29</v>
      </c>
      <c r="P1" s="1" t="s">
        <v>30</v>
      </c>
      <c r="Q1" s="1" t="s">
        <v>31</v>
      </c>
      <c r="R1" s="1" t="s">
        <v>32</v>
      </c>
      <c r="S1" s="1" t="s">
        <v>33</v>
      </c>
      <c r="T1" s="1" t="s">
        <v>19</v>
      </c>
    </row>
    <row r="2" spans="1:20" ht="14.4">
      <c r="A2">
        <f t="shared" ref="A2:A65" si="0">ROW()-1</f>
        <v>1</v>
      </c>
      <c r="B2" s="6" t="s">
        <v>91</v>
      </c>
      <c r="C2" t="s">
        <v>118</v>
      </c>
      <c r="E2" s="3">
        <v>46153</v>
      </c>
      <c r="F2" t="s">
        <v>45</v>
      </c>
      <c r="G2" t="s">
        <v>45</v>
      </c>
      <c r="H2" t="s">
        <v>45</v>
      </c>
      <c r="I2" t="s">
        <v>45</v>
      </c>
      <c r="J2" t="s">
        <v>45</v>
      </c>
      <c r="K2" t="s">
        <v>109</v>
      </c>
      <c r="L2" s="5">
        <v>150000</v>
      </c>
      <c r="M2" s="5">
        <f>+COUNTIF(F2:J2,"Présent")*L2</f>
        <v>750000</v>
      </c>
      <c r="N2" s="5">
        <v>750000</v>
      </c>
      <c r="O2" s="5">
        <f>IF(OR(M2="",N2=""),"",N2-M2)</f>
        <v>0</v>
      </c>
      <c r="P2" t="str">
        <f>IF(OR(B2="",E2=""),"",IF(AND(E2&gt;=IFERROR(INDEX(REFERENTIEL_BUDGET!$C$2:$C$101,MATCH(B2,REFERENTIEL_BUDGET!$A$2:$A$101,0)),""),E2&lt;=IFERROR(INDEX(REFERENTIEL_BUDGET!$D$2:$D$101,MATCH(B2,REFERENTIEL_BUDGET!$A$2:$A$101,0)),"")),"Oui","Non"))</f>
        <v>Oui</v>
      </c>
      <c r="Q2" t="str">
        <f>IF(J2="","",IF(AND(J2="Présent",K2&lt;&gt;""),"Oui",IF(J2="Absent","Non","À vérifier")))</f>
        <v>Oui</v>
      </c>
      <c r="R2" t="str">
        <f t="shared" ref="R2:R65" si="1">IF(OR(M2="",N2=""),"",IF(O2=0,"Oui","Non"))</f>
        <v>Oui</v>
      </c>
      <c r="S2" t="str">
        <f t="shared" ref="S2:S65" si="2">IF(B2="","",IF(P2="Non","DATE HORS PÉRIODE",IF(Q2="Non","PAIEMENT SANS PRÉSENCE",IF(Q2="À vérifier","PRÉSENCE À VÉRIFIER",IF(R2="Non","MONTANT NON CONFORME","CONFORME")))))</f>
        <v>CONFORME</v>
      </c>
    </row>
    <row r="3" spans="1:20" ht="14.4">
      <c r="A3">
        <f t="shared" si="0"/>
        <v>2</v>
      </c>
      <c r="B3" s="6" t="s">
        <v>91</v>
      </c>
      <c r="C3" t="s">
        <v>119</v>
      </c>
      <c r="E3" s="3">
        <v>46153</v>
      </c>
      <c r="F3" t="s">
        <v>45</v>
      </c>
      <c r="G3" t="s">
        <v>45</v>
      </c>
      <c r="H3" t="s">
        <v>45</v>
      </c>
      <c r="I3" t="s">
        <v>45</v>
      </c>
      <c r="J3" t="s">
        <v>45</v>
      </c>
      <c r="K3" t="s">
        <v>46</v>
      </c>
      <c r="L3" s="5">
        <v>150000</v>
      </c>
      <c r="M3" s="5">
        <f t="shared" ref="M3:M66" si="3">+COUNTIF(F3:J3,"Présent")*L3</f>
        <v>750000</v>
      </c>
      <c r="N3" s="5">
        <v>750000</v>
      </c>
      <c r="O3" s="5">
        <f t="shared" ref="O3:O65" si="4">IF(OR(M3="",N3=""),"",N3-M3)</f>
        <v>0</v>
      </c>
      <c r="P3" t="str">
        <f>IF(OR(B3="",E3=""),"",IF(AND(E3&gt;=IFERROR(INDEX(REFERENTIEL_BUDGET!$C$2:$C$101,MATCH(B3,REFERENTIEL_BUDGET!$A$2:$A$101,0)),""),E3&lt;=IFERROR(INDEX(REFERENTIEL_BUDGET!$D$2:$D$101,MATCH(B3,REFERENTIEL_BUDGET!$A$2:$A$101,0)),"")),"Oui","Non"))</f>
        <v>Oui</v>
      </c>
      <c r="Q3" t="str">
        <f t="shared" ref="Q3:Q65" si="5">IF(J3="","",IF(AND(J3="Présent",K3&lt;&gt;""),"Oui",IF(J3="Absent","Non","À vérifier")))</f>
        <v>Oui</v>
      </c>
      <c r="R3" t="str">
        <f t="shared" si="1"/>
        <v>Oui</v>
      </c>
      <c r="S3" t="str">
        <f t="shared" si="2"/>
        <v>CONFORME</v>
      </c>
    </row>
    <row r="4" spans="1:20" ht="14.4">
      <c r="A4">
        <f t="shared" si="0"/>
        <v>3</v>
      </c>
      <c r="B4" s="6" t="s">
        <v>91</v>
      </c>
      <c r="C4" t="s">
        <v>120</v>
      </c>
      <c r="E4" s="3">
        <v>46153</v>
      </c>
      <c r="F4" t="s">
        <v>45</v>
      </c>
      <c r="G4" t="s">
        <v>45</v>
      </c>
      <c r="H4" t="s">
        <v>45</v>
      </c>
      <c r="I4" t="s">
        <v>45</v>
      </c>
      <c r="J4" t="s">
        <v>45</v>
      </c>
      <c r="K4" t="s">
        <v>109</v>
      </c>
      <c r="L4" s="5">
        <v>150000</v>
      </c>
      <c r="M4" s="5">
        <f t="shared" si="3"/>
        <v>750000</v>
      </c>
      <c r="N4" s="5">
        <v>750000</v>
      </c>
      <c r="O4" s="5">
        <f t="shared" si="4"/>
        <v>0</v>
      </c>
      <c r="P4" t="str">
        <f>IF(OR(B4="",E4=""),"",IF(AND(E4&gt;=IFERROR(INDEX(REFERENTIEL_BUDGET!$C$2:$C$101,MATCH(B4,REFERENTIEL_BUDGET!$A$2:$A$101,0)),""),E4&lt;=IFERROR(INDEX(REFERENTIEL_BUDGET!$D$2:$D$101,MATCH(B4,REFERENTIEL_BUDGET!$A$2:$A$101,0)),"")),"Oui","Non"))</f>
        <v>Oui</v>
      </c>
      <c r="Q4" t="str">
        <f t="shared" si="5"/>
        <v>Oui</v>
      </c>
      <c r="R4" t="str">
        <f t="shared" si="1"/>
        <v>Oui</v>
      </c>
      <c r="S4" t="str">
        <f t="shared" si="2"/>
        <v>CONFORME</v>
      </c>
    </row>
    <row r="5" spans="1:20" ht="14.4">
      <c r="A5">
        <f t="shared" si="0"/>
        <v>4</v>
      </c>
      <c r="B5" s="6" t="s">
        <v>91</v>
      </c>
      <c r="C5" t="s">
        <v>121</v>
      </c>
      <c r="E5" s="3">
        <v>46153</v>
      </c>
      <c r="F5" t="s">
        <v>45</v>
      </c>
      <c r="G5" t="s">
        <v>45</v>
      </c>
      <c r="H5" t="s">
        <v>45</v>
      </c>
      <c r="I5" t="s">
        <v>45</v>
      </c>
      <c r="J5" t="s">
        <v>45</v>
      </c>
      <c r="K5" t="s">
        <v>109</v>
      </c>
      <c r="L5" s="5">
        <v>150000</v>
      </c>
      <c r="M5" s="5">
        <f t="shared" si="3"/>
        <v>750000</v>
      </c>
      <c r="N5" s="5">
        <v>750000</v>
      </c>
      <c r="O5" s="5">
        <f t="shared" si="4"/>
        <v>0</v>
      </c>
      <c r="P5" t="str">
        <f>IF(OR(B5="",E5=""),"",IF(AND(E5&gt;=IFERROR(INDEX(REFERENTIEL_BUDGET!$C$2:$C$101,MATCH(B5,REFERENTIEL_BUDGET!$A$2:$A$101,0)),""),E5&lt;=IFERROR(INDEX(REFERENTIEL_BUDGET!$D$2:$D$101,MATCH(B5,REFERENTIEL_BUDGET!$A$2:$A$101,0)),"")),"Oui","Non"))</f>
        <v>Oui</v>
      </c>
      <c r="Q5" t="str">
        <f t="shared" si="5"/>
        <v>Oui</v>
      </c>
      <c r="R5" t="str">
        <f t="shared" si="1"/>
        <v>Oui</v>
      </c>
      <c r="S5" t="str">
        <f t="shared" si="2"/>
        <v>CONFORME</v>
      </c>
    </row>
    <row r="6" spans="1:20" ht="14.4">
      <c r="A6">
        <f t="shared" si="0"/>
        <v>5</v>
      </c>
      <c r="B6" s="6" t="s">
        <v>91</v>
      </c>
      <c r="C6" t="s">
        <v>122</v>
      </c>
      <c r="E6" s="3">
        <v>46153</v>
      </c>
      <c r="F6" t="s">
        <v>45</v>
      </c>
      <c r="G6" t="s">
        <v>45</v>
      </c>
      <c r="H6" t="s">
        <v>45</v>
      </c>
      <c r="I6" t="s">
        <v>45</v>
      </c>
      <c r="J6" t="s">
        <v>45</v>
      </c>
      <c r="K6" t="s">
        <v>109</v>
      </c>
      <c r="L6" s="5">
        <v>150000</v>
      </c>
      <c r="M6" s="5">
        <f t="shared" si="3"/>
        <v>750000</v>
      </c>
      <c r="N6" s="5">
        <v>750000</v>
      </c>
      <c r="O6" s="5">
        <f t="shared" si="4"/>
        <v>0</v>
      </c>
      <c r="P6" t="str">
        <f>IF(OR(B6="",E6=""),"",IF(AND(E6&gt;=IFERROR(INDEX(REFERENTIEL_BUDGET!$C$2:$C$101,MATCH(B6,REFERENTIEL_BUDGET!$A$2:$A$101,0)),""),E6&lt;=IFERROR(INDEX(REFERENTIEL_BUDGET!$D$2:$D$101,MATCH(B6,REFERENTIEL_BUDGET!$A$2:$A$101,0)),"")),"Oui","Non"))</f>
        <v>Oui</v>
      </c>
      <c r="Q6" t="str">
        <f t="shared" si="5"/>
        <v>Oui</v>
      </c>
      <c r="R6" t="str">
        <f t="shared" si="1"/>
        <v>Oui</v>
      </c>
      <c r="S6" t="str">
        <f t="shared" si="2"/>
        <v>CONFORME</v>
      </c>
    </row>
    <row r="7" spans="1:20" ht="14.4">
      <c r="A7">
        <f t="shared" si="0"/>
        <v>6</v>
      </c>
      <c r="B7" s="6" t="s">
        <v>91</v>
      </c>
      <c r="C7" t="s">
        <v>123</v>
      </c>
      <c r="E7" s="3">
        <v>46153</v>
      </c>
      <c r="F7" t="s">
        <v>45</v>
      </c>
      <c r="G7" t="s">
        <v>45</v>
      </c>
      <c r="H7" t="s">
        <v>45</v>
      </c>
      <c r="I7" t="s">
        <v>45</v>
      </c>
      <c r="J7" t="s">
        <v>45</v>
      </c>
      <c r="K7" t="s">
        <v>109</v>
      </c>
      <c r="L7" s="5">
        <v>150000</v>
      </c>
      <c r="M7" s="5">
        <f t="shared" si="3"/>
        <v>750000</v>
      </c>
      <c r="N7" s="5">
        <v>750000</v>
      </c>
      <c r="O7" s="5">
        <f t="shared" si="4"/>
        <v>0</v>
      </c>
      <c r="P7" t="str">
        <f>IF(OR(B7="",E7=""),"",IF(AND(E7&gt;=IFERROR(INDEX(REFERENTIEL_BUDGET!$C$2:$C$101,MATCH(B7,REFERENTIEL_BUDGET!$A$2:$A$101,0)),""),E7&lt;=IFERROR(INDEX(REFERENTIEL_BUDGET!$D$2:$D$101,MATCH(B7,REFERENTIEL_BUDGET!$A$2:$A$101,0)),"")),"Oui","Non"))</f>
        <v>Oui</v>
      </c>
      <c r="Q7" t="str">
        <f t="shared" si="5"/>
        <v>Oui</v>
      </c>
      <c r="R7" t="str">
        <f t="shared" si="1"/>
        <v>Oui</v>
      </c>
      <c r="S7" t="str">
        <f t="shared" si="2"/>
        <v>CONFORME</v>
      </c>
    </row>
    <row r="8" spans="1:20" ht="14.4">
      <c r="A8">
        <f t="shared" si="0"/>
        <v>7</v>
      </c>
      <c r="B8" s="6" t="s">
        <v>91</v>
      </c>
      <c r="C8" t="s">
        <v>124</v>
      </c>
      <c r="E8" s="3">
        <v>46153</v>
      </c>
      <c r="F8" t="s">
        <v>45</v>
      </c>
      <c r="G8" t="s">
        <v>45</v>
      </c>
      <c r="H8" t="s">
        <v>45</v>
      </c>
      <c r="I8" t="s">
        <v>45</v>
      </c>
      <c r="J8" t="s">
        <v>45</v>
      </c>
      <c r="K8" t="s">
        <v>109</v>
      </c>
      <c r="L8" s="5">
        <v>150000</v>
      </c>
      <c r="M8" s="5">
        <f t="shared" si="3"/>
        <v>750000</v>
      </c>
      <c r="N8" s="5">
        <v>750000</v>
      </c>
      <c r="O8" s="5">
        <f t="shared" si="4"/>
        <v>0</v>
      </c>
      <c r="P8" t="str">
        <f>IF(OR(B8="",E8=""),"",IF(AND(E8&gt;=IFERROR(INDEX(REFERENTIEL_BUDGET!$C$2:$C$101,MATCH(B8,REFERENTIEL_BUDGET!$A$2:$A$101,0)),""),E8&lt;=IFERROR(INDEX(REFERENTIEL_BUDGET!$D$2:$D$101,MATCH(B8,REFERENTIEL_BUDGET!$A$2:$A$101,0)),"")),"Oui","Non"))</f>
        <v>Oui</v>
      </c>
      <c r="Q8" t="str">
        <f t="shared" si="5"/>
        <v>Oui</v>
      </c>
      <c r="R8" t="str">
        <f t="shared" si="1"/>
        <v>Oui</v>
      </c>
      <c r="S8" t="str">
        <f t="shared" si="2"/>
        <v>CONFORME</v>
      </c>
    </row>
    <row r="9" spans="1:20" ht="14.4">
      <c r="A9">
        <f t="shared" si="0"/>
        <v>8</v>
      </c>
      <c r="B9" s="6" t="s">
        <v>91</v>
      </c>
      <c r="C9" t="s">
        <v>121</v>
      </c>
      <c r="E9" s="3">
        <v>46153</v>
      </c>
      <c r="F9" t="s">
        <v>45</v>
      </c>
      <c r="G9" t="s">
        <v>47</v>
      </c>
      <c r="H9" t="s">
        <v>45</v>
      </c>
      <c r="I9" t="s">
        <v>45</v>
      </c>
      <c r="J9" t="s">
        <v>45</v>
      </c>
      <c r="K9" t="s">
        <v>109</v>
      </c>
      <c r="L9" s="5">
        <v>150000</v>
      </c>
      <c r="M9" s="5">
        <f t="shared" si="3"/>
        <v>600000</v>
      </c>
      <c r="N9" s="5">
        <v>600000</v>
      </c>
      <c r="O9" s="5">
        <f t="shared" si="4"/>
        <v>0</v>
      </c>
      <c r="P9" t="str">
        <f>IF(OR(B9="",E9=""),"",IF(AND(E9&gt;=IFERROR(INDEX(REFERENTIEL_BUDGET!$C$2:$C$101,MATCH(B9,REFERENTIEL_BUDGET!$A$2:$A$101,0)),""),E9&lt;=IFERROR(INDEX(REFERENTIEL_BUDGET!$D$2:$D$101,MATCH(B9,REFERENTIEL_BUDGET!$A$2:$A$101,0)),"")),"Oui","Non"))</f>
        <v>Oui</v>
      </c>
      <c r="Q9" t="str">
        <f t="shared" si="5"/>
        <v>Oui</v>
      </c>
      <c r="R9" t="str">
        <f t="shared" si="1"/>
        <v>Oui</v>
      </c>
      <c r="S9" t="str">
        <f t="shared" si="2"/>
        <v>CONFORME</v>
      </c>
    </row>
    <row r="10" spans="1:20" ht="14.4">
      <c r="A10">
        <f t="shared" si="0"/>
        <v>9</v>
      </c>
      <c r="B10" s="6" t="s">
        <v>91</v>
      </c>
      <c r="C10" t="s">
        <v>122</v>
      </c>
      <c r="E10" s="3">
        <v>46153</v>
      </c>
      <c r="F10" t="s">
        <v>45</v>
      </c>
      <c r="G10" t="s">
        <v>47</v>
      </c>
      <c r="H10" t="s">
        <v>45</v>
      </c>
      <c r="I10" t="s">
        <v>45</v>
      </c>
      <c r="J10" t="s">
        <v>45</v>
      </c>
      <c r="K10" t="s">
        <v>109</v>
      </c>
      <c r="L10" s="5">
        <v>150000</v>
      </c>
      <c r="M10" s="5">
        <f t="shared" si="3"/>
        <v>600000</v>
      </c>
      <c r="N10" s="5">
        <v>600000</v>
      </c>
      <c r="O10" s="5">
        <f t="shared" si="4"/>
        <v>0</v>
      </c>
      <c r="P10" t="str">
        <f>IF(OR(B10="",E10=""),"",IF(AND(E10&gt;=IFERROR(INDEX(REFERENTIEL_BUDGET!$C$2:$C$101,MATCH(B10,REFERENTIEL_BUDGET!$A$2:$A$101,0)),""),E10&lt;=IFERROR(INDEX(REFERENTIEL_BUDGET!$D$2:$D$101,MATCH(B10,REFERENTIEL_BUDGET!$A$2:$A$101,0)),"")),"Oui","Non"))</f>
        <v>Oui</v>
      </c>
      <c r="Q10" t="str">
        <f t="shared" si="5"/>
        <v>Oui</v>
      </c>
      <c r="R10" t="str">
        <f t="shared" si="1"/>
        <v>Oui</v>
      </c>
      <c r="S10" t="str">
        <f t="shared" si="2"/>
        <v>CONFORME</v>
      </c>
    </row>
    <row r="11" spans="1:20" ht="14.4">
      <c r="A11">
        <f t="shared" si="0"/>
        <v>10</v>
      </c>
      <c r="B11" s="6" t="s">
        <v>91</v>
      </c>
      <c r="C11" t="s">
        <v>123</v>
      </c>
      <c r="E11" s="3">
        <v>46153</v>
      </c>
      <c r="F11" t="s">
        <v>45</v>
      </c>
      <c r="G11" t="s">
        <v>45</v>
      </c>
      <c r="H11" t="s">
        <v>45</v>
      </c>
      <c r="I11" t="s">
        <v>45</v>
      </c>
      <c r="J11" t="s">
        <v>45</v>
      </c>
      <c r="K11" t="s">
        <v>109</v>
      </c>
      <c r="L11" s="5">
        <v>150000</v>
      </c>
      <c r="M11" s="5">
        <f t="shared" si="3"/>
        <v>750000</v>
      </c>
      <c r="N11" s="5">
        <v>750000</v>
      </c>
      <c r="O11" s="5">
        <f t="shared" si="4"/>
        <v>0</v>
      </c>
      <c r="P11" t="str">
        <f>IF(OR(B11="",E11=""),"",IF(AND(E11&gt;=IFERROR(INDEX(REFERENTIEL_BUDGET!$C$2:$C$101,MATCH(B11,REFERENTIEL_BUDGET!$A$2:$A$101,0)),""),E11&lt;=IFERROR(INDEX(REFERENTIEL_BUDGET!$D$2:$D$101,MATCH(B11,REFERENTIEL_BUDGET!$A$2:$A$101,0)),"")),"Oui","Non"))</f>
        <v>Oui</v>
      </c>
      <c r="Q11" t="str">
        <f t="shared" si="5"/>
        <v>Oui</v>
      </c>
      <c r="R11" t="str">
        <f t="shared" si="1"/>
        <v>Oui</v>
      </c>
      <c r="S11" t="str">
        <f t="shared" si="2"/>
        <v>CONFORME</v>
      </c>
    </row>
    <row r="12" spans="1:20" ht="14.4">
      <c r="A12">
        <f t="shared" si="0"/>
        <v>11</v>
      </c>
      <c r="B12" s="6" t="s">
        <v>91</v>
      </c>
      <c r="C12" t="s">
        <v>124</v>
      </c>
      <c r="E12" s="3">
        <v>46153</v>
      </c>
      <c r="F12" t="s">
        <v>45</v>
      </c>
      <c r="G12" t="s">
        <v>45</v>
      </c>
      <c r="H12" t="s">
        <v>45</v>
      </c>
      <c r="I12" t="s">
        <v>45</v>
      </c>
      <c r="J12" t="s">
        <v>45</v>
      </c>
      <c r="K12" t="s">
        <v>109</v>
      </c>
      <c r="L12" s="5">
        <v>150000</v>
      </c>
      <c r="M12" s="5">
        <f t="shared" si="3"/>
        <v>750000</v>
      </c>
      <c r="N12" s="5">
        <v>750000</v>
      </c>
      <c r="O12" s="5">
        <f t="shared" si="4"/>
        <v>0</v>
      </c>
      <c r="P12" t="str">
        <f>IF(OR(B12="",E12=""),"",IF(AND(E12&gt;=IFERROR(INDEX(REFERENTIEL_BUDGET!$C$2:$C$101,MATCH(B12,REFERENTIEL_BUDGET!$A$2:$A$101,0)),""),E12&lt;=IFERROR(INDEX(REFERENTIEL_BUDGET!$D$2:$D$101,MATCH(B12,REFERENTIEL_BUDGET!$A$2:$A$101,0)),"")),"Oui","Non"))</f>
        <v>Oui</v>
      </c>
      <c r="Q12" t="str">
        <f t="shared" si="5"/>
        <v>Oui</v>
      </c>
      <c r="R12" t="str">
        <f t="shared" si="1"/>
        <v>Oui</v>
      </c>
      <c r="S12" t="str">
        <f t="shared" si="2"/>
        <v>CONFORME</v>
      </c>
    </row>
    <row r="13" spans="1:20" ht="14.4">
      <c r="A13">
        <f t="shared" si="0"/>
        <v>12</v>
      </c>
      <c r="B13" s="6" t="s">
        <v>91</v>
      </c>
      <c r="C13" t="s">
        <v>121</v>
      </c>
      <c r="E13" s="3">
        <v>46153</v>
      </c>
      <c r="F13" t="s">
        <v>45</v>
      </c>
      <c r="G13" t="s">
        <v>45</v>
      </c>
      <c r="H13" t="s">
        <v>45</v>
      </c>
      <c r="I13" t="s">
        <v>45</v>
      </c>
      <c r="J13" t="s">
        <v>45</v>
      </c>
      <c r="K13" t="s">
        <v>109</v>
      </c>
      <c r="L13" s="5">
        <v>150000</v>
      </c>
      <c r="M13" s="5">
        <f t="shared" si="3"/>
        <v>750000</v>
      </c>
      <c r="N13" s="5">
        <v>750000</v>
      </c>
      <c r="O13" s="5">
        <f t="shared" si="4"/>
        <v>0</v>
      </c>
      <c r="P13" t="str">
        <f>IF(OR(B13="",E13=""),"",IF(AND(E13&gt;=IFERROR(INDEX(REFERENTIEL_BUDGET!$C$2:$C$101,MATCH(B13,REFERENTIEL_BUDGET!$A$2:$A$101,0)),""),E13&lt;=IFERROR(INDEX(REFERENTIEL_BUDGET!$D$2:$D$101,MATCH(B13,REFERENTIEL_BUDGET!$A$2:$A$101,0)),"")),"Oui","Non"))</f>
        <v>Oui</v>
      </c>
      <c r="Q13" t="str">
        <f t="shared" si="5"/>
        <v>Oui</v>
      </c>
      <c r="R13" t="str">
        <f t="shared" si="1"/>
        <v>Oui</v>
      </c>
      <c r="S13" t="str">
        <f t="shared" si="2"/>
        <v>CONFORME</v>
      </c>
    </row>
    <row r="14" spans="1:20" ht="14.4">
      <c r="A14">
        <f t="shared" si="0"/>
        <v>13</v>
      </c>
      <c r="B14" s="6" t="s">
        <v>91</v>
      </c>
      <c r="C14" t="s">
        <v>122</v>
      </c>
      <c r="E14" s="3">
        <v>46153</v>
      </c>
      <c r="F14" t="s">
        <v>45</v>
      </c>
      <c r="G14" t="s">
        <v>45</v>
      </c>
      <c r="H14" t="s">
        <v>45</v>
      </c>
      <c r="I14" t="s">
        <v>45</v>
      </c>
      <c r="J14" t="s">
        <v>45</v>
      </c>
      <c r="K14" t="s">
        <v>109</v>
      </c>
      <c r="L14" s="5">
        <v>150000</v>
      </c>
      <c r="M14" s="5">
        <f t="shared" si="3"/>
        <v>750000</v>
      </c>
      <c r="N14" s="5">
        <v>750000</v>
      </c>
      <c r="O14" s="5">
        <f t="shared" si="4"/>
        <v>0</v>
      </c>
      <c r="P14" t="str">
        <f>IF(OR(B14="",E14=""),"",IF(AND(E14&gt;=IFERROR(INDEX(REFERENTIEL_BUDGET!$C$2:$C$101,MATCH(B14,REFERENTIEL_BUDGET!$A$2:$A$101,0)),""),E14&lt;=IFERROR(INDEX(REFERENTIEL_BUDGET!$D$2:$D$101,MATCH(B14,REFERENTIEL_BUDGET!$A$2:$A$101,0)),"")),"Oui","Non"))</f>
        <v>Oui</v>
      </c>
      <c r="Q14" t="str">
        <f t="shared" si="5"/>
        <v>Oui</v>
      </c>
      <c r="R14" t="str">
        <f t="shared" si="1"/>
        <v>Oui</v>
      </c>
      <c r="S14" t="str">
        <f t="shared" si="2"/>
        <v>CONFORME</v>
      </c>
    </row>
    <row r="15" spans="1:20" ht="14.4">
      <c r="A15">
        <f t="shared" si="0"/>
        <v>14</v>
      </c>
      <c r="B15" s="6" t="s">
        <v>91</v>
      </c>
      <c r="C15" t="s">
        <v>123</v>
      </c>
      <c r="E15" s="3">
        <v>46153</v>
      </c>
      <c r="F15" t="s">
        <v>45</v>
      </c>
      <c r="G15" t="s">
        <v>45</v>
      </c>
      <c r="H15" t="s">
        <v>45</v>
      </c>
      <c r="I15" t="s">
        <v>45</v>
      </c>
      <c r="J15" t="s">
        <v>45</v>
      </c>
      <c r="K15" t="s">
        <v>109</v>
      </c>
      <c r="L15" s="5">
        <v>150000</v>
      </c>
      <c r="M15" s="5">
        <f t="shared" si="3"/>
        <v>750000</v>
      </c>
      <c r="N15" s="5">
        <v>750000</v>
      </c>
      <c r="O15" s="5">
        <f t="shared" si="4"/>
        <v>0</v>
      </c>
      <c r="P15" t="str">
        <f>IF(OR(B15="",E15=""),"",IF(AND(E15&gt;=IFERROR(INDEX(REFERENTIEL_BUDGET!$C$2:$C$101,MATCH(B15,REFERENTIEL_BUDGET!$A$2:$A$101,0)),""),E15&lt;=IFERROR(INDEX(REFERENTIEL_BUDGET!$D$2:$D$101,MATCH(B15,REFERENTIEL_BUDGET!$A$2:$A$101,0)),"")),"Oui","Non"))</f>
        <v>Oui</v>
      </c>
      <c r="Q15" t="str">
        <f t="shared" si="5"/>
        <v>Oui</v>
      </c>
      <c r="R15" t="str">
        <f t="shared" si="1"/>
        <v>Oui</v>
      </c>
      <c r="S15" t="str">
        <f t="shared" si="2"/>
        <v>CONFORME</v>
      </c>
    </row>
    <row r="16" spans="1:20" ht="14.4">
      <c r="A16">
        <f t="shared" si="0"/>
        <v>15</v>
      </c>
      <c r="B16" s="6" t="s">
        <v>91</v>
      </c>
      <c r="C16" t="s">
        <v>124</v>
      </c>
      <c r="E16" s="3">
        <v>46154</v>
      </c>
      <c r="F16" t="s">
        <v>45</v>
      </c>
      <c r="G16" t="s">
        <v>47</v>
      </c>
      <c r="H16" t="s">
        <v>45</v>
      </c>
      <c r="I16" t="s">
        <v>45</v>
      </c>
      <c r="J16" t="s">
        <v>45</v>
      </c>
      <c r="K16" t="s">
        <v>109</v>
      </c>
      <c r="L16" s="5">
        <v>150000</v>
      </c>
      <c r="M16" s="5">
        <f t="shared" si="3"/>
        <v>600000</v>
      </c>
      <c r="N16" s="5">
        <v>600000</v>
      </c>
      <c r="O16" s="5">
        <f t="shared" si="4"/>
        <v>0</v>
      </c>
      <c r="P16" t="str">
        <f>IF(OR(B16="",E16=""),"",IF(AND(E16&gt;=IFERROR(INDEX(REFERENTIEL_BUDGET!$C$2:$C$101,MATCH(B16,REFERENTIEL_BUDGET!$A$2:$A$101,0)),""),E16&lt;=IFERROR(INDEX(REFERENTIEL_BUDGET!$D$2:$D$101,MATCH(B16,REFERENTIEL_BUDGET!$A$2:$A$101,0)),"")),"Oui","Non"))</f>
        <v>Oui</v>
      </c>
      <c r="Q16" t="str">
        <f t="shared" si="5"/>
        <v>Oui</v>
      </c>
      <c r="R16" t="str">
        <f t="shared" si="1"/>
        <v>Oui</v>
      </c>
      <c r="S16" t="str">
        <f t="shared" si="2"/>
        <v>CONFORME</v>
      </c>
    </row>
    <row r="17" spans="1:19">
      <c r="A17">
        <f t="shared" si="0"/>
        <v>16</v>
      </c>
      <c r="E17" s="3"/>
      <c r="L17" s="5"/>
      <c r="M17" s="5">
        <f t="shared" si="3"/>
        <v>0</v>
      </c>
      <c r="N17" s="5"/>
      <c r="O17" s="5" t="str">
        <f t="shared" si="4"/>
        <v/>
      </c>
      <c r="P17" t="str">
        <f>IF(OR(B17="",E17=""),"",IF(AND(E17&gt;=IFERROR(INDEX(REFERENTIEL_BUDGET!$C$2:$C$101,MATCH(B17,REFERENTIEL_BUDGET!$A$2:$A$101,0)),""),E17&lt;=IFERROR(INDEX(REFERENTIEL_BUDGET!$D$2:$D$101,MATCH(B17,REFERENTIEL_BUDGET!$A$2:$A$101,0)),"")),"Oui","Non"))</f>
        <v/>
      </c>
      <c r="Q17" t="str">
        <f t="shared" si="5"/>
        <v/>
      </c>
      <c r="R17" t="str">
        <f t="shared" si="1"/>
        <v/>
      </c>
      <c r="S17" t="str">
        <f t="shared" si="2"/>
        <v/>
      </c>
    </row>
    <row r="18" spans="1:19">
      <c r="A18">
        <f t="shared" si="0"/>
        <v>17</v>
      </c>
      <c r="E18" s="3"/>
      <c r="L18" s="5"/>
      <c r="M18" s="5">
        <f t="shared" si="3"/>
        <v>0</v>
      </c>
      <c r="N18" s="5"/>
      <c r="O18" s="5" t="str">
        <f t="shared" si="4"/>
        <v/>
      </c>
      <c r="P18" t="str">
        <f>IF(OR(B18="",E18=""),"",IF(AND(E18&gt;=IFERROR(INDEX(REFERENTIEL_BUDGET!$C$2:$C$101,MATCH(B18,REFERENTIEL_BUDGET!$A$2:$A$101,0)),""),E18&lt;=IFERROR(INDEX(REFERENTIEL_BUDGET!$D$2:$D$101,MATCH(B18,REFERENTIEL_BUDGET!$A$2:$A$101,0)),"")),"Oui","Non"))</f>
        <v/>
      </c>
      <c r="Q18" t="str">
        <f t="shared" si="5"/>
        <v/>
      </c>
      <c r="R18" t="str">
        <f t="shared" si="1"/>
        <v/>
      </c>
      <c r="S18" t="str">
        <f t="shared" si="2"/>
        <v/>
      </c>
    </row>
    <row r="19" spans="1:19">
      <c r="A19">
        <f t="shared" si="0"/>
        <v>18</v>
      </c>
      <c r="E19" s="3"/>
      <c r="L19" s="5"/>
      <c r="M19" s="5">
        <f t="shared" si="3"/>
        <v>0</v>
      </c>
      <c r="N19" s="5"/>
      <c r="O19" s="5" t="str">
        <f t="shared" si="4"/>
        <v/>
      </c>
      <c r="P19" t="str">
        <f>IF(OR(B19="",E19=""),"",IF(AND(E19&gt;=IFERROR(INDEX(REFERENTIEL_BUDGET!$C$2:$C$101,MATCH(B19,REFERENTIEL_BUDGET!$A$2:$A$101,0)),""),E19&lt;=IFERROR(INDEX(REFERENTIEL_BUDGET!$D$2:$D$101,MATCH(B19,REFERENTIEL_BUDGET!$A$2:$A$101,0)),"")),"Oui","Non"))</f>
        <v/>
      </c>
      <c r="Q19" t="str">
        <f t="shared" si="5"/>
        <v/>
      </c>
      <c r="R19" t="str">
        <f t="shared" si="1"/>
        <v/>
      </c>
      <c r="S19" t="str">
        <f t="shared" si="2"/>
        <v/>
      </c>
    </row>
    <row r="20" spans="1:19">
      <c r="A20">
        <f t="shared" si="0"/>
        <v>19</v>
      </c>
      <c r="E20" s="3"/>
      <c r="L20" s="5"/>
      <c r="M20" s="5">
        <f t="shared" si="3"/>
        <v>0</v>
      </c>
      <c r="N20" s="5"/>
      <c r="O20" s="5" t="str">
        <f t="shared" si="4"/>
        <v/>
      </c>
      <c r="P20" t="str">
        <f>IF(OR(B20="",E20=""),"",IF(AND(E20&gt;=IFERROR(INDEX(REFERENTIEL_BUDGET!$C$2:$C$101,MATCH(B20,REFERENTIEL_BUDGET!$A$2:$A$101,0)),""),E20&lt;=IFERROR(INDEX(REFERENTIEL_BUDGET!$D$2:$D$101,MATCH(B20,REFERENTIEL_BUDGET!$A$2:$A$101,0)),"")),"Oui","Non"))</f>
        <v/>
      </c>
      <c r="Q20" t="str">
        <f t="shared" si="5"/>
        <v/>
      </c>
      <c r="R20" t="str">
        <f t="shared" si="1"/>
        <v/>
      </c>
      <c r="S20" t="str">
        <f t="shared" si="2"/>
        <v/>
      </c>
    </row>
    <row r="21" spans="1:19">
      <c r="A21">
        <f t="shared" si="0"/>
        <v>20</v>
      </c>
      <c r="E21" s="3"/>
      <c r="L21" s="5"/>
      <c r="M21" s="5">
        <f t="shared" si="3"/>
        <v>0</v>
      </c>
      <c r="N21" s="5"/>
      <c r="O21" s="5" t="str">
        <f t="shared" si="4"/>
        <v/>
      </c>
      <c r="P21" t="str">
        <f>IF(OR(B21="",E21=""),"",IF(AND(E21&gt;=IFERROR(INDEX(REFERENTIEL_BUDGET!$C$2:$C$101,MATCH(B21,REFERENTIEL_BUDGET!$A$2:$A$101,0)),""),E21&lt;=IFERROR(INDEX(REFERENTIEL_BUDGET!$D$2:$D$101,MATCH(B21,REFERENTIEL_BUDGET!$A$2:$A$101,0)),"")),"Oui","Non"))</f>
        <v/>
      </c>
      <c r="Q21" t="str">
        <f t="shared" si="5"/>
        <v/>
      </c>
      <c r="R21" t="str">
        <f t="shared" si="1"/>
        <v/>
      </c>
      <c r="S21" t="str">
        <f t="shared" si="2"/>
        <v/>
      </c>
    </row>
    <row r="22" spans="1:19">
      <c r="A22">
        <f t="shared" si="0"/>
        <v>21</v>
      </c>
      <c r="E22" s="3"/>
      <c r="L22" s="5"/>
      <c r="M22" s="5">
        <f t="shared" si="3"/>
        <v>0</v>
      </c>
      <c r="N22" s="5"/>
      <c r="O22" s="5" t="str">
        <f t="shared" si="4"/>
        <v/>
      </c>
      <c r="P22" t="str">
        <f>IF(OR(B22="",E22=""),"",IF(AND(E22&gt;=IFERROR(INDEX(REFERENTIEL_BUDGET!$C$2:$C$101,MATCH(B22,REFERENTIEL_BUDGET!$A$2:$A$101,0)),""),E22&lt;=IFERROR(INDEX(REFERENTIEL_BUDGET!$D$2:$D$101,MATCH(B22,REFERENTIEL_BUDGET!$A$2:$A$101,0)),"")),"Oui","Non"))</f>
        <v/>
      </c>
      <c r="Q22" t="str">
        <f t="shared" si="5"/>
        <v/>
      </c>
      <c r="R22" t="str">
        <f t="shared" si="1"/>
        <v/>
      </c>
      <c r="S22" t="str">
        <f t="shared" si="2"/>
        <v/>
      </c>
    </row>
    <row r="23" spans="1:19">
      <c r="A23">
        <f t="shared" si="0"/>
        <v>22</v>
      </c>
      <c r="E23" s="3"/>
      <c r="L23" s="5"/>
      <c r="M23" s="5">
        <f t="shared" si="3"/>
        <v>0</v>
      </c>
      <c r="N23" s="5"/>
      <c r="O23" s="5" t="str">
        <f t="shared" si="4"/>
        <v/>
      </c>
      <c r="P23" t="str">
        <f>IF(OR(B23="",E23=""),"",IF(AND(E23&gt;=IFERROR(INDEX(REFERENTIEL_BUDGET!$C$2:$C$101,MATCH(B23,REFERENTIEL_BUDGET!$A$2:$A$101,0)),""),E23&lt;=IFERROR(INDEX(REFERENTIEL_BUDGET!$D$2:$D$101,MATCH(B23,REFERENTIEL_BUDGET!$A$2:$A$101,0)),"")),"Oui","Non"))</f>
        <v/>
      </c>
      <c r="Q23" t="str">
        <f t="shared" si="5"/>
        <v/>
      </c>
      <c r="R23" t="str">
        <f t="shared" si="1"/>
        <v/>
      </c>
      <c r="S23" t="str">
        <f t="shared" si="2"/>
        <v/>
      </c>
    </row>
    <row r="24" spans="1:19">
      <c r="A24">
        <f t="shared" si="0"/>
        <v>23</v>
      </c>
      <c r="E24" s="3"/>
      <c r="L24" s="5"/>
      <c r="M24" s="5">
        <f t="shared" si="3"/>
        <v>0</v>
      </c>
      <c r="N24" s="5"/>
      <c r="O24" s="5" t="str">
        <f t="shared" si="4"/>
        <v/>
      </c>
      <c r="P24" t="str">
        <f>IF(OR(B24="",E24=""),"",IF(AND(E24&gt;=IFERROR(INDEX(REFERENTIEL_BUDGET!$C$2:$C$101,MATCH(B24,REFERENTIEL_BUDGET!$A$2:$A$101,0)),""),E24&lt;=IFERROR(INDEX(REFERENTIEL_BUDGET!$D$2:$D$101,MATCH(B24,REFERENTIEL_BUDGET!$A$2:$A$101,0)),"")),"Oui","Non"))</f>
        <v/>
      </c>
      <c r="Q24" t="str">
        <f t="shared" si="5"/>
        <v/>
      </c>
      <c r="R24" t="str">
        <f t="shared" si="1"/>
        <v/>
      </c>
      <c r="S24" t="str">
        <f t="shared" si="2"/>
        <v/>
      </c>
    </row>
    <row r="25" spans="1:19">
      <c r="A25">
        <f t="shared" si="0"/>
        <v>24</v>
      </c>
      <c r="E25" s="3"/>
      <c r="L25" s="5"/>
      <c r="M25" s="5">
        <f t="shared" si="3"/>
        <v>0</v>
      </c>
      <c r="N25" s="5"/>
      <c r="O25" s="5" t="str">
        <f t="shared" si="4"/>
        <v/>
      </c>
      <c r="P25" t="str">
        <f>IF(OR(B25="",E25=""),"",IF(AND(E25&gt;=IFERROR(INDEX(REFERENTIEL_BUDGET!$C$2:$C$101,MATCH(B25,REFERENTIEL_BUDGET!$A$2:$A$101,0)),""),E25&lt;=IFERROR(INDEX(REFERENTIEL_BUDGET!$D$2:$D$101,MATCH(B25,REFERENTIEL_BUDGET!$A$2:$A$101,0)),"")),"Oui","Non"))</f>
        <v/>
      </c>
      <c r="Q25" t="str">
        <f t="shared" si="5"/>
        <v/>
      </c>
      <c r="R25" t="str">
        <f t="shared" si="1"/>
        <v/>
      </c>
      <c r="S25" t="str">
        <f t="shared" si="2"/>
        <v/>
      </c>
    </row>
    <row r="26" spans="1:19">
      <c r="A26">
        <f t="shared" si="0"/>
        <v>25</v>
      </c>
      <c r="E26" s="3"/>
      <c r="L26" s="5"/>
      <c r="M26" s="5">
        <f t="shared" si="3"/>
        <v>0</v>
      </c>
      <c r="N26" s="5"/>
      <c r="O26" s="5" t="str">
        <f t="shared" si="4"/>
        <v/>
      </c>
      <c r="P26" t="str">
        <f>IF(OR(B26="",E26=""),"",IF(AND(E26&gt;=IFERROR(INDEX(REFERENTIEL_BUDGET!$C$2:$C$101,MATCH(B26,REFERENTIEL_BUDGET!$A$2:$A$101,0)),""),E26&lt;=IFERROR(INDEX(REFERENTIEL_BUDGET!$D$2:$D$101,MATCH(B26,REFERENTIEL_BUDGET!$A$2:$A$101,0)),"")),"Oui","Non"))</f>
        <v/>
      </c>
      <c r="Q26" t="str">
        <f t="shared" si="5"/>
        <v/>
      </c>
      <c r="R26" t="str">
        <f t="shared" si="1"/>
        <v/>
      </c>
      <c r="S26" t="str">
        <f t="shared" si="2"/>
        <v/>
      </c>
    </row>
    <row r="27" spans="1:19">
      <c r="A27">
        <f t="shared" si="0"/>
        <v>26</v>
      </c>
      <c r="E27" s="3"/>
      <c r="L27" s="5"/>
      <c r="M27" s="5">
        <f t="shared" si="3"/>
        <v>0</v>
      </c>
      <c r="N27" s="5"/>
      <c r="O27" s="5" t="str">
        <f t="shared" si="4"/>
        <v/>
      </c>
      <c r="P27" t="str">
        <f>IF(OR(B27="",E27=""),"",IF(AND(E27&gt;=IFERROR(INDEX(REFERENTIEL_BUDGET!$C$2:$C$101,MATCH(B27,REFERENTIEL_BUDGET!$A$2:$A$101,0)),""),E27&lt;=IFERROR(INDEX(REFERENTIEL_BUDGET!$D$2:$D$101,MATCH(B27,REFERENTIEL_BUDGET!$A$2:$A$101,0)),"")),"Oui","Non"))</f>
        <v/>
      </c>
      <c r="Q27" t="str">
        <f t="shared" si="5"/>
        <v/>
      </c>
      <c r="R27" t="str">
        <f t="shared" si="1"/>
        <v/>
      </c>
      <c r="S27" t="str">
        <f t="shared" si="2"/>
        <v/>
      </c>
    </row>
    <row r="28" spans="1:19">
      <c r="A28">
        <f t="shared" si="0"/>
        <v>27</v>
      </c>
      <c r="E28" s="3"/>
      <c r="L28" s="5"/>
      <c r="M28" s="5">
        <f t="shared" si="3"/>
        <v>0</v>
      </c>
      <c r="N28" s="5"/>
      <c r="O28" s="5" t="str">
        <f t="shared" si="4"/>
        <v/>
      </c>
      <c r="P28" t="str">
        <f>IF(OR(B28="",E28=""),"",IF(AND(E28&gt;=IFERROR(INDEX(REFERENTIEL_BUDGET!$C$2:$C$101,MATCH(B28,REFERENTIEL_BUDGET!$A$2:$A$101,0)),""),E28&lt;=IFERROR(INDEX(REFERENTIEL_BUDGET!$D$2:$D$101,MATCH(B28,REFERENTIEL_BUDGET!$A$2:$A$101,0)),"")),"Oui","Non"))</f>
        <v/>
      </c>
      <c r="Q28" t="str">
        <f t="shared" si="5"/>
        <v/>
      </c>
      <c r="R28" t="str">
        <f t="shared" si="1"/>
        <v/>
      </c>
      <c r="S28" t="str">
        <f t="shared" si="2"/>
        <v/>
      </c>
    </row>
    <row r="29" spans="1:19">
      <c r="A29">
        <f t="shared" si="0"/>
        <v>28</v>
      </c>
      <c r="E29" s="3"/>
      <c r="L29" s="5"/>
      <c r="M29" s="5">
        <f t="shared" si="3"/>
        <v>0</v>
      </c>
      <c r="N29" s="5"/>
      <c r="O29" s="5" t="str">
        <f t="shared" si="4"/>
        <v/>
      </c>
      <c r="P29" t="str">
        <f>IF(OR(B29="",E29=""),"",IF(AND(E29&gt;=IFERROR(INDEX(REFERENTIEL_BUDGET!$C$2:$C$101,MATCH(B29,REFERENTIEL_BUDGET!$A$2:$A$101,0)),""),E29&lt;=IFERROR(INDEX(REFERENTIEL_BUDGET!$D$2:$D$101,MATCH(B29,REFERENTIEL_BUDGET!$A$2:$A$101,0)),"")),"Oui","Non"))</f>
        <v/>
      </c>
      <c r="Q29" t="str">
        <f t="shared" si="5"/>
        <v/>
      </c>
      <c r="R29" t="str">
        <f t="shared" si="1"/>
        <v/>
      </c>
      <c r="S29" t="str">
        <f t="shared" si="2"/>
        <v/>
      </c>
    </row>
    <row r="30" spans="1:19">
      <c r="A30">
        <f t="shared" si="0"/>
        <v>29</v>
      </c>
      <c r="E30" s="3"/>
      <c r="L30" s="5"/>
      <c r="M30" s="5">
        <f t="shared" si="3"/>
        <v>0</v>
      </c>
      <c r="N30" s="5"/>
      <c r="O30" s="5" t="str">
        <f t="shared" si="4"/>
        <v/>
      </c>
      <c r="P30" t="str">
        <f>IF(OR(B30="",E30=""),"",IF(AND(E30&gt;=IFERROR(INDEX(REFERENTIEL_BUDGET!$C$2:$C$101,MATCH(B30,REFERENTIEL_BUDGET!$A$2:$A$101,0)),""),E30&lt;=IFERROR(INDEX(REFERENTIEL_BUDGET!$D$2:$D$101,MATCH(B30,REFERENTIEL_BUDGET!$A$2:$A$101,0)),"")),"Oui","Non"))</f>
        <v/>
      </c>
      <c r="Q30" t="str">
        <f t="shared" si="5"/>
        <v/>
      </c>
      <c r="R30" t="str">
        <f t="shared" si="1"/>
        <v/>
      </c>
      <c r="S30" t="str">
        <f t="shared" si="2"/>
        <v/>
      </c>
    </row>
    <row r="31" spans="1:19">
      <c r="A31">
        <f t="shared" si="0"/>
        <v>30</v>
      </c>
      <c r="E31" s="3"/>
      <c r="L31" s="5"/>
      <c r="M31" s="5">
        <f t="shared" si="3"/>
        <v>0</v>
      </c>
      <c r="N31" s="5"/>
      <c r="O31" s="5" t="str">
        <f t="shared" si="4"/>
        <v/>
      </c>
      <c r="P31" t="str">
        <f>IF(OR(B31="",E31=""),"",IF(AND(E31&gt;=IFERROR(INDEX(REFERENTIEL_BUDGET!$C$2:$C$101,MATCH(B31,REFERENTIEL_BUDGET!$A$2:$A$101,0)),""),E31&lt;=IFERROR(INDEX(REFERENTIEL_BUDGET!$D$2:$D$101,MATCH(B31,REFERENTIEL_BUDGET!$A$2:$A$101,0)),"")),"Oui","Non"))</f>
        <v/>
      </c>
      <c r="Q31" t="str">
        <f t="shared" si="5"/>
        <v/>
      </c>
      <c r="R31" t="str">
        <f t="shared" si="1"/>
        <v/>
      </c>
      <c r="S31" t="str">
        <f t="shared" si="2"/>
        <v/>
      </c>
    </row>
    <row r="32" spans="1:19">
      <c r="A32">
        <f t="shared" si="0"/>
        <v>31</v>
      </c>
      <c r="E32" s="3"/>
      <c r="L32" s="5"/>
      <c r="M32" s="5">
        <f t="shared" si="3"/>
        <v>0</v>
      </c>
      <c r="N32" s="5"/>
      <c r="O32" s="5" t="str">
        <f t="shared" si="4"/>
        <v/>
      </c>
      <c r="P32" t="str">
        <f>IF(OR(B32="",E32=""),"",IF(AND(E32&gt;=IFERROR(INDEX(REFERENTIEL_BUDGET!$C$2:$C$101,MATCH(B32,REFERENTIEL_BUDGET!$A$2:$A$101,0)),""),E32&lt;=IFERROR(INDEX(REFERENTIEL_BUDGET!$D$2:$D$101,MATCH(B32,REFERENTIEL_BUDGET!$A$2:$A$101,0)),"")),"Oui","Non"))</f>
        <v/>
      </c>
      <c r="Q32" t="str">
        <f t="shared" si="5"/>
        <v/>
      </c>
      <c r="R32" t="str">
        <f t="shared" si="1"/>
        <v/>
      </c>
      <c r="S32" t="str">
        <f t="shared" si="2"/>
        <v/>
      </c>
    </row>
    <row r="33" spans="1:19">
      <c r="A33">
        <f t="shared" si="0"/>
        <v>32</v>
      </c>
      <c r="E33" s="3"/>
      <c r="L33" s="5"/>
      <c r="M33" s="5">
        <f t="shared" si="3"/>
        <v>0</v>
      </c>
      <c r="N33" s="5"/>
      <c r="O33" s="5" t="str">
        <f t="shared" si="4"/>
        <v/>
      </c>
      <c r="P33" t="str">
        <f>IF(OR(B33="",E33=""),"",IF(AND(E33&gt;=IFERROR(INDEX(REFERENTIEL_BUDGET!$C$2:$C$101,MATCH(B33,REFERENTIEL_BUDGET!$A$2:$A$101,0)),""),E33&lt;=IFERROR(INDEX(REFERENTIEL_BUDGET!$D$2:$D$101,MATCH(B33,REFERENTIEL_BUDGET!$A$2:$A$101,0)),"")),"Oui","Non"))</f>
        <v/>
      </c>
      <c r="Q33" t="str">
        <f t="shared" si="5"/>
        <v/>
      </c>
      <c r="R33" t="str">
        <f t="shared" si="1"/>
        <v/>
      </c>
      <c r="S33" t="str">
        <f t="shared" si="2"/>
        <v/>
      </c>
    </row>
    <row r="34" spans="1:19">
      <c r="A34">
        <f t="shared" si="0"/>
        <v>33</v>
      </c>
      <c r="E34" s="3"/>
      <c r="L34" s="5"/>
      <c r="M34" s="5">
        <f t="shared" si="3"/>
        <v>0</v>
      </c>
      <c r="N34" s="5"/>
      <c r="O34" s="5" t="str">
        <f t="shared" si="4"/>
        <v/>
      </c>
      <c r="P34" t="str">
        <f>IF(OR(B34="",E34=""),"",IF(AND(E34&gt;=IFERROR(INDEX(REFERENTIEL_BUDGET!$C$2:$C$101,MATCH(B34,REFERENTIEL_BUDGET!$A$2:$A$101,0)),""),E34&lt;=IFERROR(INDEX(REFERENTIEL_BUDGET!$D$2:$D$101,MATCH(B34,REFERENTIEL_BUDGET!$A$2:$A$101,0)),"")),"Oui","Non"))</f>
        <v/>
      </c>
      <c r="Q34" t="str">
        <f t="shared" si="5"/>
        <v/>
      </c>
      <c r="R34" t="str">
        <f t="shared" si="1"/>
        <v/>
      </c>
      <c r="S34" t="str">
        <f t="shared" si="2"/>
        <v/>
      </c>
    </row>
    <row r="35" spans="1:19">
      <c r="A35">
        <f t="shared" si="0"/>
        <v>34</v>
      </c>
      <c r="E35" s="3"/>
      <c r="L35" s="5"/>
      <c r="M35" s="5">
        <f t="shared" si="3"/>
        <v>0</v>
      </c>
      <c r="N35" s="5"/>
      <c r="O35" s="5" t="str">
        <f t="shared" si="4"/>
        <v/>
      </c>
      <c r="P35" t="str">
        <f>IF(OR(B35="",E35=""),"",IF(AND(E35&gt;=IFERROR(INDEX(REFERENTIEL_BUDGET!$C$2:$C$101,MATCH(B35,REFERENTIEL_BUDGET!$A$2:$A$101,0)),""),E35&lt;=IFERROR(INDEX(REFERENTIEL_BUDGET!$D$2:$D$101,MATCH(B35,REFERENTIEL_BUDGET!$A$2:$A$101,0)),"")),"Oui","Non"))</f>
        <v/>
      </c>
      <c r="Q35" t="str">
        <f t="shared" si="5"/>
        <v/>
      </c>
      <c r="R35" t="str">
        <f t="shared" si="1"/>
        <v/>
      </c>
      <c r="S35" t="str">
        <f t="shared" si="2"/>
        <v/>
      </c>
    </row>
    <row r="36" spans="1:19">
      <c r="A36">
        <f t="shared" si="0"/>
        <v>35</v>
      </c>
      <c r="E36" s="3"/>
      <c r="L36" s="5"/>
      <c r="M36" s="5">
        <f t="shared" si="3"/>
        <v>0</v>
      </c>
      <c r="N36" s="5"/>
      <c r="O36" s="5" t="str">
        <f t="shared" si="4"/>
        <v/>
      </c>
      <c r="P36" t="str">
        <f>IF(OR(B36="",E36=""),"",IF(AND(E36&gt;=IFERROR(INDEX(REFERENTIEL_BUDGET!$C$2:$C$101,MATCH(B36,REFERENTIEL_BUDGET!$A$2:$A$101,0)),""),E36&lt;=IFERROR(INDEX(REFERENTIEL_BUDGET!$D$2:$D$101,MATCH(B36,REFERENTIEL_BUDGET!$A$2:$A$101,0)),"")),"Oui","Non"))</f>
        <v/>
      </c>
      <c r="Q36" t="str">
        <f t="shared" si="5"/>
        <v/>
      </c>
      <c r="R36" t="str">
        <f t="shared" si="1"/>
        <v/>
      </c>
      <c r="S36" t="str">
        <f t="shared" si="2"/>
        <v/>
      </c>
    </row>
    <row r="37" spans="1:19">
      <c r="A37">
        <f t="shared" si="0"/>
        <v>36</v>
      </c>
      <c r="E37" s="3"/>
      <c r="L37" s="5"/>
      <c r="M37" s="5">
        <f t="shared" si="3"/>
        <v>0</v>
      </c>
      <c r="N37" s="5"/>
      <c r="O37" s="5" t="str">
        <f t="shared" si="4"/>
        <v/>
      </c>
      <c r="P37" t="str">
        <f>IF(OR(B37="",E37=""),"",IF(AND(E37&gt;=IFERROR(INDEX(REFERENTIEL_BUDGET!$C$2:$C$101,MATCH(B37,REFERENTIEL_BUDGET!$A$2:$A$101,0)),""),E37&lt;=IFERROR(INDEX(REFERENTIEL_BUDGET!$D$2:$D$101,MATCH(B37,REFERENTIEL_BUDGET!$A$2:$A$101,0)),"")),"Oui","Non"))</f>
        <v/>
      </c>
      <c r="Q37" t="str">
        <f t="shared" si="5"/>
        <v/>
      </c>
      <c r="R37" t="str">
        <f t="shared" si="1"/>
        <v/>
      </c>
      <c r="S37" t="str">
        <f t="shared" si="2"/>
        <v/>
      </c>
    </row>
    <row r="38" spans="1:19">
      <c r="A38">
        <f t="shared" si="0"/>
        <v>37</v>
      </c>
      <c r="E38" s="3"/>
      <c r="L38" s="5"/>
      <c r="M38" s="5">
        <f t="shared" si="3"/>
        <v>0</v>
      </c>
      <c r="N38" s="5"/>
      <c r="O38" s="5" t="str">
        <f t="shared" si="4"/>
        <v/>
      </c>
      <c r="P38" t="str">
        <f>IF(OR(B38="",E38=""),"",IF(AND(E38&gt;=IFERROR(INDEX(REFERENTIEL_BUDGET!$C$2:$C$101,MATCH(B38,REFERENTIEL_BUDGET!$A$2:$A$101,0)),""),E38&lt;=IFERROR(INDEX(REFERENTIEL_BUDGET!$D$2:$D$101,MATCH(B38,REFERENTIEL_BUDGET!$A$2:$A$101,0)),"")),"Oui","Non"))</f>
        <v/>
      </c>
      <c r="Q38" t="str">
        <f t="shared" si="5"/>
        <v/>
      </c>
      <c r="R38" t="str">
        <f t="shared" si="1"/>
        <v/>
      </c>
      <c r="S38" t="str">
        <f t="shared" si="2"/>
        <v/>
      </c>
    </row>
    <row r="39" spans="1:19">
      <c r="A39">
        <f t="shared" si="0"/>
        <v>38</v>
      </c>
      <c r="E39" s="3"/>
      <c r="L39" s="5"/>
      <c r="M39" s="5">
        <f t="shared" si="3"/>
        <v>0</v>
      </c>
      <c r="N39" s="5"/>
      <c r="O39" s="5" t="str">
        <f t="shared" si="4"/>
        <v/>
      </c>
      <c r="P39" t="str">
        <f>IF(OR(B39="",E39=""),"",IF(AND(E39&gt;=IFERROR(INDEX(REFERENTIEL_BUDGET!$C$2:$C$101,MATCH(B39,REFERENTIEL_BUDGET!$A$2:$A$101,0)),""),E39&lt;=IFERROR(INDEX(REFERENTIEL_BUDGET!$D$2:$D$101,MATCH(B39,REFERENTIEL_BUDGET!$A$2:$A$101,0)),"")),"Oui","Non"))</f>
        <v/>
      </c>
      <c r="Q39" t="str">
        <f t="shared" si="5"/>
        <v/>
      </c>
      <c r="R39" t="str">
        <f t="shared" si="1"/>
        <v/>
      </c>
      <c r="S39" t="str">
        <f t="shared" si="2"/>
        <v/>
      </c>
    </row>
    <row r="40" spans="1:19">
      <c r="A40">
        <f t="shared" si="0"/>
        <v>39</v>
      </c>
      <c r="E40" s="3"/>
      <c r="L40" s="5"/>
      <c r="M40" s="5">
        <f t="shared" si="3"/>
        <v>0</v>
      </c>
      <c r="N40" s="5"/>
      <c r="O40" s="5" t="str">
        <f t="shared" si="4"/>
        <v/>
      </c>
      <c r="P40" t="str">
        <f>IF(OR(B40="",E40=""),"",IF(AND(E40&gt;=IFERROR(INDEX(REFERENTIEL_BUDGET!$C$2:$C$101,MATCH(B40,REFERENTIEL_BUDGET!$A$2:$A$101,0)),""),E40&lt;=IFERROR(INDEX(REFERENTIEL_BUDGET!$D$2:$D$101,MATCH(B40,REFERENTIEL_BUDGET!$A$2:$A$101,0)),"")),"Oui","Non"))</f>
        <v/>
      </c>
      <c r="Q40" t="str">
        <f t="shared" si="5"/>
        <v/>
      </c>
      <c r="R40" t="str">
        <f t="shared" si="1"/>
        <v/>
      </c>
      <c r="S40" t="str">
        <f t="shared" si="2"/>
        <v/>
      </c>
    </row>
    <row r="41" spans="1:19">
      <c r="A41">
        <f t="shared" si="0"/>
        <v>40</v>
      </c>
      <c r="E41" s="3"/>
      <c r="L41" s="5"/>
      <c r="M41" s="5">
        <f t="shared" si="3"/>
        <v>0</v>
      </c>
      <c r="N41" s="5"/>
      <c r="O41" s="5" t="str">
        <f t="shared" si="4"/>
        <v/>
      </c>
      <c r="P41" t="str">
        <f>IF(OR(B41="",E41=""),"",IF(AND(E41&gt;=IFERROR(INDEX(REFERENTIEL_BUDGET!$C$2:$C$101,MATCH(B41,REFERENTIEL_BUDGET!$A$2:$A$101,0)),""),E41&lt;=IFERROR(INDEX(REFERENTIEL_BUDGET!$D$2:$D$101,MATCH(B41,REFERENTIEL_BUDGET!$A$2:$A$101,0)),"")),"Oui","Non"))</f>
        <v/>
      </c>
      <c r="Q41" t="str">
        <f t="shared" si="5"/>
        <v/>
      </c>
      <c r="R41" t="str">
        <f t="shared" si="1"/>
        <v/>
      </c>
      <c r="S41" t="str">
        <f t="shared" si="2"/>
        <v/>
      </c>
    </row>
    <row r="42" spans="1:19">
      <c r="A42">
        <f t="shared" si="0"/>
        <v>41</v>
      </c>
      <c r="E42" s="3"/>
      <c r="L42" s="5"/>
      <c r="M42" s="5">
        <f t="shared" si="3"/>
        <v>0</v>
      </c>
      <c r="N42" s="5"/>
      <c r="O42" s="5" t="str">
        <f t="shared" si="4"/>
        <v/>
      </c>
      <c r="P42" t="str">
        <f>IF(OR(B42="",E42=""),"",IF(AND(E42&gt;=IFERROR(INDEX(REFERENTIEL_BUDGET!$C$2:$C$101,MATCH(B42,REFERENTIEL_BUDGET!$A$2:$A$101,0)),""),E42&lt;=IFERROR(INDEX(REFERENTIEL_BUDGET!$D$2:$D$101,MATCH(B42,REFERENTIEL_BUDGET!$A$2:$A$101,0)),"")),"Oui","Non"))</f>
        <v/>
      </c>
      <c r="Q42" t="str">
        <f t="shared" si="5"/>
        <v/>
      </c>
      <c r="R42" t="str">
        <f t="shared" si="1"/>
        <v/>
      </c>
      <c r="S42" t="str">
        <f t="shared" si="2"/>
        <v/>
      </c>
    </row>
    <row r="43" spans="1:19">
      <c r="A43">
        <f t="shared" si="0"/>
        <v>42</v>
      </c>
      <c r="E43" s="3"/>
      <c r="L43" s="5"/>
      <c r="M43" s="5">
        <f t="shared" si="3"/>
        <v>0</v>
      </c>
      <c r="N43" s="5"/>
      <c r="O43" s="5" t="str">
        <f t="shared" si="4"/>
        <v/>
      </c>
      <c r="P43" t="str">
        <f>IF(OR(B43="",E43=""),"",IF(AND(E43&gt;=IFERROR(INDEX(REFERENTIEL_BUDGET!$C$2:$C$101,MATCH(B43,REFERENTIEL_BUDGET!$A$2:$A$101,0)),""),E43&lt;=IFERROR(INDEX(REFERENTIEL_BUDGET!$D$2:$D$101,MATCH(B43,REFERENTIEL_BUDGET!$A$2:$A$101,0)),"")),"Oui","Non"))</f>
        <v/>
      </c>
      <c r="Q43" t="str">
        <f t="shared" si="5"/>
        <v/>
      </c>
      <c r="R43" t="str">
        <f t="shared" si="1"/>
        <v/>
      </c>
      <c r="S43" t="str">
        <f t="shared" si="2"/>
        <v/>
      </c>
    </row>
    <row r="44" spans="1:19">
      <c r="A44">
        <f t="shared" si="0"/>
        <v>43</v>
      </c>
      <c r="E44" s="3"/>
      <c r="L44" s="5"/>
      <c r="M44" s="5">
        <f t="shared" si="3"/>
        <v>0</v>
      </c>
      <c r="N44" s="5"/>
      <c r="O44" s="5" t="str">
        <f t="shared" si="4"/>
        <v/>
      </c>
      <c r="P44" t="str">
        <f>IF(OR(B44="",E44=""),"",IF(AND(E44&gt;=IFERROR(INDEX(REFERENTIEL_BUDGET!$C$2:$C$101,MATCH(B44,REFERENTIEL_BUDGET!$A$2:$A$101,0)),""),E44&lt;=IFERROR(INDEX(REFERENTIEL_BUDGET!$D$2:$D$101,MATCH(B44,REFERENTIEL_BUDGET!$A$2:$A$101,0)),"")),"Oui","Non"))</f>
        <v/>
      </c>
      <c r="Q44" t="str">
        <f t="shared" si="5"/>
        <v/>
      </c>
      <c r="R44" t="str">
        <f t="shared" si="1"/>
        <v/>
      </c>
      <c r="S44" t="str">
        <f t="shared" si="2"/>
        <v/>
      </c>
    </row>
    <row r="45" spans="1:19">
      <c r="A45">
        <f t="shared" si="0"/>
        <v>44</v>
      </c>
      <c r="E45" s="3"/>
      <c r="L45" s="5"/>
      <c r="M45" s="5">
        <f t="shared" si="3"/>
        <v>0</v>
      </c>
      <c r="N45" s="5"/>
      <c r="O45" s="5" t="str">
        <f t="shared" si="4"/>
        <v/>
      </c>
      <c r="P45" t="str">
        <f>IF(OR(B45="",E45=""),"",IF(AND(E45&gt;=IFERROR(INDEX(REFERENTIEL_BUDGET!$C$2:$C$101,MATCH(B45,REFERENTIEL_BUDGET!$A$2:$A$101,0)),""),E45&lt;=IFERROR(INDEX(REFERENTIEL_BUDGET!$D$2:$D$101,MATCH(B45,REFERENTIEL_BUDGET!$A$2:$A$101,0)),"")),"Oui","Non"))</f>
        <v/>
      </c>
      <c r="Q45" t="str">
        <f t="shared" si="5"/>
        <v/>
      </c>
      <c r="R45" t="str">
        <f t="shared" si="1"/>
        <v/>
      </c>
      <c r="S45" t="str">
        <f t="shared" si="2"/>
        <v/>
      </c>
    </row>
    <row r="46" spans="1:19">
      <c r="A46">
        <f t="shared" si="0"/>
        <v>45</v>
      </c>
      <c r="E46" s="3"/>
      <c r="L46" s="5"/>
      <c r="M46" s="5">
        <f t="shared" si="3"/>
        <v>0</v>
      </c>
      <c r="N46" s="5"/>
      <c r="O46" s="5" t="str">
        <f t="shared" si="4"/>
        <v/>
      </c>
      <c r="P46" t="str">
        <f>IF(OR(B46="",E46=""),"",IF(AND(E46&gt;=IFERROR(INDEX(REFERENTIEL_BUDGET!$C$2:$C$101,MATCH(B46,REFERENTIEL_BUDGET!$A$2:$A$101,0)),""),E46&lt;=IFERROR(INDEX(REFERENTIEL_BUDGET!$D$2:$D$101,MATCH(B46,REFERENTIEL_BUDGET!$A$2:$A$101,0)),"")),"Oui","Non"))</f>
        <v/>
      </c>
      <c r="Q46" t="str">
        <f t="shared" si="5"/>
        <v/>
      </c>
      <c r="R46" t="str">
        <f t="shared" si="1"/>
        <v/>
      </c>
      <c r="S46" t="str">
        <f t="shared" si="2"/>
        <v/>
      </c>
    </row>
    <row r="47" spans="1:19">
      <c r="A47">
        <f t="shared" si="0"/>
        <v>46</v>
      </c>
      <c r="E47" s="3"/>
      <c r="L47" s="5"/>
      <c r="M47" s="5">
        <f t="shared" si="3"/>
        <v>0</v>
      </c>
      <c r="N47" s="5"/>
      <c r="O47" s="5" t="str">
        <f t="shared" si="4"/>
        <v/>
      </c>
      <c r="P47" t="str">
        <f>IF(OR(B47="",E47=""),"",IF(AND(E47&gt;=IFERROR(INDEX(REFERENTIEL_BUDGET!$C$2:$C$101,MATCH(B47,REFERENTIEL_BUDGET!$A$2:$A$101,0)),""),E47&lt;=IFERROR(INDEX(REFERENTIEL_BUDGET!$D$2:$D$101,MATCH(B47,REFERENTIEL_BUDGET!$A$2:$A$101,0)),"")),"Oui","Non"))</f>
        <v/>
      </c>
      <c r="Q47" t="str">
        <f t="shared" si="5"/>
        <v/>
      </c>
      <c r="R47" t="str">
        <f t="shared" si="1"/>
        <v/>
      </c>
      <c r="S47" t="str">
        <f t="shared" si="2"/>
        <v/>
      </c>
    </row>
    <row r="48" spans="1:19">
      <c r="A48">
        <f t="shared" si="0"/>
        <v>47</v>
      </c>
      <c r="E48" s="3"/>
      <c r="L48" s="5"/>
      <c r="M48" s="5">
        <f t="shared" si="3"/>
        <v>0</v>
      </c>
      <c r="N48" s="5"/>
      <c r="O48" s="5" t="str">
        <f t="shared" si="4"/>
        <v/>
      </c>
      <c r="P48" t="str">
        <f>IF(OR(B48="",E48=""),"",IF(AND(E48&gt;=IFERROR(INDEX(REFERENTIEL_BUDGET!$C$2:$C$101,MATCH(B48,REFERENTIEL_BUDGET!$A$2:$A$101,0)),""),E48&lt;=IFERROR(INDEX(REFERENTIEL_BUDGET!$D$2:$D$101,MATCH(B48,REFERENTIEL_BUDGET!$A$2:$A$101,0)),"")),"Oui","Non"))</f>
        <v/>
      </c>
      <c r="Q48" t="str">
        <f t="shared" si="5"/>
        <v/>
      </c>
      <c r="R48" t="str">
        <f t="shared" si="1"/>
        <v/>
      </c>
      <c r="S48" t="str">
        <f t="shared" si="2"/>
        <v/>
      </c>
    </row>
    <row r="49" spans="1:19">
      <c r="A49">
        <f t="shared" si="0"/>
        <v>48</v>
      </c>
      <c r="E49" s="3"/>
      <c r="L49" s="5"/>
      <c r="M49" s="5">
        <f t="shared" si="3"/>
        <v>0</v>
      </c>
      <c r="N49" s="5"/>
      <c r="O49" s="5" t="str">
        <f t="shared" si="4"/>
        <v/>
      </c>
      <c r="P49" t="str">
        <f>IF(OR(B49="",E49=""),"",IF(AND(E49&gt;=IFERROR(INDEX(REFERENTIEL_BUDGET!$C$2:$C$101,MATCH(B49,REFERENTIEL_BUDGET!$A$2:$A$101,0)),""),E49&lt;=IFERROR(INDEX(REFERENTIEL_BUDGET!$D$2:$D$101,MATCH(B49,REFERENTIEL_BUDGET!$A$2:$A$101,0)),"")),"Oui","Non"))</f>
        <v/>
      </c>
      <c r="Q49" t="str">
        <f t="shared" si="5"/>
        <v/>
      </c>
      <c r="R49" t="str">
        <f t="shared" si="1"/>
        <v/>
      </c>
      <c r="S49" t="str">
        <f t="shared" si="2"/>
        <v/>
      </c>
    </row>
    <row r="50" spans="1:19">
      <c r="A50">
        <f t="shared" si="0"/>
        <v>49</v>
      </c>
      <c r="E50" s="3"/>
      <c r="L50" s="5"/>
      <c r="M50" s="5">
        <f t="shared" si="3"/>
        <v>0</v>
      </c>
      <c r="N50" s="5"/>
      <c r="O50" s="5" t="str">
        <f t="shared" si="4"/>
        <v/>
      </c>
      <c r="P50" t="str">
        <f>IF(OR(B50="",E50=""),"",IF(AND(E50&gt;=IFERROR(INDEX(REFERENTIEL_BUDGET!$C$2:$C$101,MATCH(B50,REFERENTIEL_BUDGET!$A$2:$A$101,0)),""),E50&lt;=IFERROR(INDEX(REFERENTIEL_BUDGET!$D$2:$D$101,MATCH(B50,REFERENTIEL_BUDGET!$A$2:$A$101,0)),"")),"Oui","Non"))</f>
        <v/>
      </c>
      <c r="Q50" t="str">
        <f t="shared" si="5"/>
        <v/>
      </c>
      <c r="R50" t="str">
        <f t="shared" si="1"/>
        <v/>
      </c>
      <c r="S50" t="str">
        <f t="shared" si="2"/>
        <v/>
      </c>
    </row>
    <row r="51" spans="1:19">
      <c r="A51">
        <f t="shared" si="0"/>
        <v>50</v>
      </c>
      <c r="E51" s="3"/>
      <c r="L51" s="5"/>
      <c r="M51" s="5">
        <f t="shared" si="3"/>
        <v>0</v>
      </c>
      <c r="N51" s="5"/>
      <c r="O51" s="5" t="str">
        <f t="shared" si="4"/>
        <v/>
      </c>
      <c r="P51" t="str">
        <f>IF(OR(B51="",E51=""),"",IF(AND(E51&gt;=IFERROR(INDEX(REFERENTIEL_BUDGET!$C$2:$C$101,MATCH(B51,REFERENTIEL_BUDGET!$A$2:$A$101,0)),""),E51&lt;=IFERROR(INDEX(REFERENTIEL_BUDGET!$D$2:$D$101,MATCH(B51,REFERENTIEL_BUDGET!$A$2:$A$101,0)),"")),"Oui","Non"))</f>
        <v/>
      </c>
      <c r="Q51" t="str">
        <f t="shared" si="5"/>
        <v/>
      </c>
      <c r="R51" t="str">
        <f t="shared" si="1"/>
        <v/>
      </c>
      <c r="S51" t="str">
        <f t="shared" si="2"/>
        <v/>
      </c>
    </row>
    <row r="52" spans="1:19">
      <c r="A52">
        <f t="shared" si="0"/>
        <v>51</v>
      </c>
      <c r="E52" s="3"/>
      <c r="L52" s="5"/>
      <c r="M52" s="5">
        <f t="shared" si="3"/>
        <v>0</v>
      </c>
      <c r="N52" s="5"/>
      <c r="O52" s="5" t="str">
        <f t="shared" si="4"/>
        <v/>
      </c>
      <c r="P52" t="str">
        <f>IF(OR(B52="",E52=""),"",IF(AND(E52&gt;=IFERROR(INDEX(REFERENTIEL_BUDGET!$C$2:$C$101,MATCH(B52,REFERENTIEL_BUDGET!$A$2:$A$101,0)),""),E52&lt;=IFERROR(INDEX(REFERENTIEL_BUDGET!$D$2:$D$101,MATCH(B52,REFERENTIEL_BUDGET!$A$2:$A$101,0)),"")),"Oui","Non"))</f>
        <v/>
      </c>
      <c r="Q52" t="str">
        <f t="shared" si="5"/>
        <v/>
      </c>
      <c r="R52" t="str">
        <f t="shared" si="1"/>
        <v/>
      </c>
      <c r="S52" t="str">
        <f t="shared" si="2"/>
        <v/>
      </c>
    </row>
    <row r="53" spans="1:19">
      <c r="A53">
        <f t="shared" si="0"/>
        <v>52</v>
      </c>
      <c r="E53" s="3"/>
      <c r="L53" s="5"/>
      <c r="M53" s="5">
        <f t="shared" si="3"/>
        <v>0</v>
      </c>
      <c r="N53" s="5"/>
      <c r="O53" s="5" t="str">
        <f t="shared" si="4"/>
        <v/>
      </c>
      <c r="P53" t="str">
        <f>IF(OR(B53="",E53=""),"",IF(AND(E53&gt;=IFERROR(INDEX(REFERENTIEL_BUDGET!$C$2:$C$101,MATCH(B53,REFERENTIEL_BUDGET!$A$2:$A$101,0)),""),E53&lt;=IFERROR(INDEX(REFERENTIEL_BUDGET!$D$2:$D$101,MATCH(B53,REFERENTIEL_BUDGET!$A$2:$A$101,0)),"")),"Oui","Non"))</f>
        <v/>
      </c>
      <c r="Q53" t="str">
        <f t="shared" si="5"/>
        <v/>
      </c>
      <c r="R53" t="str">
        <f t="shared" si="1"/>
        <v/>
      </c>
      <c r="S53" t="str">
        <f t="shared" si="2"/>
        <v/>
      </c>
    </row>
    <row r="54" spans="1:19">
      <c r="A54">
        <f t="shared" si="0"/>
        <v>53</v>
      </c>
      <c r="E54" s="3"/>
      <c r="L54" s="5"/>
      <c r="M54" s="5">
        <f t="shared" si="3"/>
        <v>0</v>
      </c>
      <c r="N54" s="5"/>
      <c r="O54" s="5" t="str">
        <f t="shared" si="4"/>
        <v/>
      </c>
      <c r="P54" t="str">
        <f>IF(OR(B54="",E54=""),"",IF(AND(E54&gt;=IFERROR(INDEX(REFERENTIEL_BUDGET!$C$2:$C$101,MATCH(B54,REFERENTIEL_BUDGET!$A$2:$A$101,0)),""),E54&lt;=IFERROR(INDEX(REFERENTIEL_BUDGET!$D$2:$D$101,MATCH(B54,REFERENTIEL_BUDGET!$A$2:$A$101,0)),"")),"Oui","Non"))</f>
        <v/>
      </c>
      <c r="Q54" t="str">
        <f t="shared" si="5"/>
        <v/>
      </c>
      <c r="R54" t="str">
        <f t="shared" si="1"/>
        <v/>
      </c>
      <c r="S54" t="str">
        <f t="shared" si="2"/>
        <v/>
      </c>
    </row>
    <row r="55" spans="1:19">
      <c r="A55">
        <f t="shared" si="0"/>
        <v>54</v>
      </c>
      <c r="E55" s="3"/>
      <c r="L55" s="5"/>
      <c r="M55" s="5">
        <f t="shared" si="3"/>
        <v>0</v>
      </c>
      <c r="N55" s="5"/>
      <c r="O55" s="5" t="str">
        <f t="shared" si="4"/>
        <v/>
      </c>
      <c r="P55" t="str">
        <f>IF(OR(B55="",E55=""),"",IF(AND(E55&gt;=IFERROR(INDEX(REFERENTIEL_BUDGET!$C$2:$C$101,MATCH(B55,REFERENTIEL_BUDGET!$A$2:$A$101,0)),""),E55&lt;=IFERROR(INDEX(REFERENTIEL_BUDGET!$D$2:$D$101,MATCH(B55,REFERENTIEL_BUDGET!$A$2:$A$101,0)),"")),"Oui","Non"))</f>
        <v/>
      </c>
      <c r="Q55" t="str">
        <f t="shared" si="5"/>
        <v/>
      </c>
      <c r="R55" t="str">
        <f t="shared" si="1"/>
        <v/>
      </c>
      <c r="S55" t="str">
        <f t="shared" si="2"/>
        <v/>
      </c>
    </row>
    <row r="56" spans="1:19">
      <c r="A56">
        <f t="shared" si="0"/>
        <v>55</v>
      </c>
      <c r="E56" s="3"/>
      <c r="L56" s="5"/>
      <c r="M56" s="5">
        <f t="shared" si="3"/>
        <v>0</v>
      </c>
      <c r="N56" s="5"/>
      <c r="O56" s="5" t="str">
        <f t="shared" si="4"/>
        <v/>
      </c>
      <c r="P56" t="str">
        <f>IF(OR(B56="",E56=""),"",IF(AND(E56&gt;=IFERROR(INDEX(REFERENTIEL_BUDGET!$C$2:$C$101,MATCH(B56,REFERENTIEL_BUDGET!$A$2:$A$101,0)),""),E56&lt;=IFERROR(INDEX(REFERENTIEL_BUDGET!$D$2:$D$101,MATCH(B56,REFERENTIEL_BUDGET!$A$2:$A$101,0)),"")),"Oui","Non"))</f>
        <v/>
      </c>
      <c r="Q56" t="str">
        <f t="shared" si="5"/>
        <v/>
      </c>
      <c r="R56" t="str">
        <f t="shared" si="1"/>
        <v/>
      </c>
      <c r="S56" t="str">
        <f t="shared" si="2"/>
        <v/>
      </c>
    </row>
    <row r="57" spans="1:19">
      <c r="A57">
        <f t="shared" si="0"/>
        <v>56</v>
      </c>
      <c r="E57" s="3"/>
      <c r="L57" s="5"/>
      <c r="M57" s="5">
        <f t="shared" si="3"/>
        <v>0</v>
      </c>
      <c r="N57" s="5"/>
      <c r="O57" s="5" t="str">
        <f t="shared" si="4"/>
        <v/>
      </c>
      <c r="P57" t="str">
        <f>IF(OR(B57="",E57=""),"",IF(AND(E57&gt;=IFERROR(INDEX(REFERENTIEL_BUDGET!$C$2:$C$101,MATCH(B57,REFERENTIEL_BUDGET!$A$2:$A$101,0)),""),E57&lt;=IFERROR(INDEX(REFERENTIEL_BUDGET!$D$2:$D$101,MATCH(B57,REFERENTIEL_BUDGET!$A$2:$A$101,0)),"")),"Oui","Non"))</f>
        <v/>
      </c>
      <c r="Q57" t="str">
        <f t="shared" si="5"/>
        <v/>
      </c>
      <c r="R57" t="str">
        <f t="shared" si="1"/>
        <v/>
      </c>
      <c r="S57" t="str">
        <f t="shared" si="2"/>
        <v/>
      </c>
    </row>
    <row r="58" spans="1:19">
      <c r="A58">
        <f t="shared" si="0"/>
        <v>57</v>
      </c>
      <c r="E58" s="3"/>
      <c r="L58" s="5"/>
      <c r="M58" s="5">
        <f t="shared" si="3"/>
        <v>0</v>
      </c>
      <c r="N58" s="5"/>
      <c r="O58" s="5" t="str">
        <f t="shared" si="4"/>
        <v/>
      </c>
      <c r="P58" t="str">
        <f>IF(OR(B58="",E58=""),"",IF(AND(E58&gt;=IFERROR(INDEX(REFERENTIEL_BUDGET!$C$2:$C$101,MATCH(B58,REFERENTIEL_BUDGET!$A$2:$A$101,0)),""),E58&lt;=IFERROR(INDEX(REFERENTIEL_BUDGET!$D$2:$D$101,MATCH(B58,REFERENTIEL_BUDGET!$A$2:$A$101,0)),"")),"Oui","Non"))</f>
        <v/>
      </c>
      <c r="Q58" t="str">
        <f t="shared" si="5"/>
        <v/>
      </c>
      <c r="R58" t="str">
        <f t="shared" si="1"/>
        <v/>
      </c>
      <c r="S58" t="str">
        <f t="shared" si="2"/>
        <v/>
      </c>
    </row>
    <row r="59" spans="1:19">
      <c r="A59">
        <f t="shared" si="0"/>
        <v>58</v>
      </c>
      <c r="E59" s="3"/>
      <c r="L59" s="5"/>
      <c r="M59" s="5">
        <f t="shared" si="3"/>
        <v>0</v>
      </c>
      <c r="N59" s="5"/>
      <c r="O59" s="5" t="str">
        <f t="shared" si="4"/>
        <v/>
      </c>
      <c r="P59" t="str">
        <f>IF(OR(B59="",E59=""),"",IF(AND(E59&gt;=IFERROR(INDEX(REFERENTIEL_BUDGET!$C$2:$C$101,MATCH(B59,REFERENTIEL_BUDGET!$A$2:$A$101,0)),""),E59&lt;=IFERROR(INDEX(REFERENTIEL_BUDGET!$D$2:$D$101,MATCH(B59,REFERENTIEL_BUDGET!$A$2:$A$101,0)),"")),"Oui","Non"))</f>
        <v/>
      </c>
      <c r="Q59" t="str">
        <f t="shared" si="5"/>
        <v/>
      </c>
      <c r="R59" t="str">
        <f t="shared" si="1"/>
        <v/>
      </c>
      <c r="S59" t="str">
        <f t="shared" si="2"/>
        <v/>
      </c>
    </row>
    <row r="60" spans="1:19">
      <c r="A60">
        <f t="shared" si="0"/>
        <v>59</v>
      </c>
      <c r="E60" s="3"/>
      <c r="L60" s="5"/>
      <c r="M60" s="5">
        <f t="shared" si="3"/>
        <v>0</v>
      </c>
      <c r="N60" s="5"/>
      <c r="O60" s="5" t="str">
        <f t="shared" si="4"/>
        <v/>
      </c>
      <c r="P60" t="str">
        <f>IF(OR(B60="",E60=""),"",IF(AND(E60&gt;=IFERROR(INDEX(REFERENTIEL_BUDGET!$C$2:$C$101,MATCH(B60,REFERENTIEL_BUDGET!$A$2:$A$101,0)),""),E60&lt;=IFERROR(INDEX(REFERENTIEL_BUDGET!$D$2:$D$101,MATCH(B60,REFERENTIEL_BUDGET!$A$2:$A$101,0)),"")),"Oui","Non"))</f>
        <v/>
      </c>
      <c r="Q60" t="str">
        <f t="shared" si="5"/>
        <v/>
      </c>
      <c r="R60" t="str">
        <f t="shared" si="1"/>
        <v/>
      </c>
      <c r="S60" t="str">
        <f t="shared" si="2"/>
        <v/>
      </c>
    </row>
    <row r="61" spans="1:19">
      <c r="A61">
        <f t="shared" si="0"/>
        <v>60</v>
      </c>
      <c r="E61" s="3"/>
      <c r="L61" s="5"/>
      <c r="M61" s="5">
        <f t="shared" si="3"/>
        <v>0</v>
      </c>
      <c r="N61" s="5"/>
      <c r="O61" s="5" t="str">
        <f t="shared" si="4"/>
        <v/>
      </c>
      <c r="P61" t="str">
        <f>IF(OR(B61="",E61=""),"",IF(AND(E61&gt;=IFERROR(INDEX(REFERENTIEL_BUDGET!$C$2:$C$101,MATCH(B61,REFERENTIEL_BUDGET!$A$2:$A$101,0)),""),E61&lt;=IFERROR(INDEX(REFERENTIEL_BUDGET!$D$2:$D$101,MATCH(B61,REFERENTIEL_BUDGET!$A$2:$A$101,0)),"")),"Oui","Non"))</f>
        <v/>
      </c>
      <c r="Q61" t="str">
        <f t="shared" si="5"/>
        <v/>
      </c>
      <c r="R61" t="str">
        <f t="shared" si="1"/>
        <v/>
      </c>
      <c r="S61" t="str">
        <f t="shared" si="2"/>
        <v/>
      </c>
    </row>
    <row r="62" spans="1:19">
      <c r="A62">
        <f t="shared" si="0"/>
        <v>61</v>
      </c>
      <c r="E62" s="3"/>
      <c r="L62" s="5"/>
      <c r="M62" s="5">
        <f t="shared" si="3"/>
        <v>0</v>
      </c>
      <c r="N62" s="5"/>
      <c r="O62" s="5" t="str">
        <f t="shared" si="4"/>
        <v/>
      </c>
      <c r="P62" t="str">
        <f>IF(OR(B62="",E62=""),"",IF(AND(E62&gt;=IFERROR(INDEX(REFERENTIEL_BUDGET!$C$2:$C$101,MATCH(B62,REFERENTIEL_BUDGET!$A$2:$A$101,0)),""),E62&lt;=IFERROR(INDEX(REFERENTIEL_BUDGET!$D$2:$D$101,MATCH(B62,REFERENTIEL_BUDGET!$A$2:$A$101,0)),"")),"Oui","Non"))</f>
        <v/>
      </c>
      <c r="Q62" t="str">
        <f t="shared" si="5"/>
        <v/>
      </c>
      <c r="R62" t="str">
        <f t="shared" si="1"/>
        <v/>
      </c>
      <c r="S62" t="str">
        <f t="shared" si="2"/>
        <v/>
      </c>
    </row>
    <row r="63" spans="1:19">
      <c r="A63">
        <f t="shared" si="0"/>
        <v>62</v>
      </c>
      <c r="E63" s="3"/>
      <c r="L63" s="5"/>
      <c r="M63" s="5">
        <f t="shared" si="3"/>
        <v>0</v>
      </c>
      <c r="N63" s="5"/>
      <c r="O63" s="5" t="str">
        <f t="shared" si="4"/>
        <v/>
      </c>
      <c r="P63" t="str">
        <f>IF(OR(B63="",E63=""),"",IF(AND(E63&gt;=IFERROR(INDEX(REFERENTIEL_BUDGET!$C$2:$C$101,MATCH(B63,REFERENTIEL_BUDGET!$A$2:$A$101,0)),""),E63&lt;=IFERROR(INDEX(REFERENTIEL_BUDGET!$D$2:$D$101,MATCH(B63,REFERENTIEL_BUDGET!$A$2:$A$101,0)),"")),"Oui","Non"))</f>
        <v/>
      </c>
      <c r="Q63" t="str">
        <f t="shared" si="5"/>
        <v/>
      </c>
      <c r="R63" t="str">
        <f t="shared" si="1"/>
        <v/>
      </c>
      <c r="S63" t="str">
        <f t="shared" si="2"/>
        <v/>
      </c>
    </row>
    <row r="64" spans="1:19">
      <c r="A64">
        <f t="shared" si="0"/>
        <v>63</v>
      </c>
      <c r="E64" s="3"/>
      <c r="L64" s="5"/>
      <c r="M64" s="5">
        <f t="shared" si="3"/>
        <v>0</v>
      </c>
      <c r="N64" s="5"/>
      <c r="O64" s="5" t="str">
        <f t="shared" si="4"/>
        <v/>
      </c>
      <c r="P64" t="str">
        <f>IF(OR(B64="",E64=""),"",IF(AND(E64&gt;=IFERROR(INDEX(REFERENTIEL_BUDGET!$C$2:$C$101,MATCH(B64,REFERENTIEL_BUDGET!$A$2:$A$101,0)),""),E64&lt;=IFERROR(INDEX(REFERENTIEL_BUDGET!$D$2:$D$101,MATCH(B64,REFERENTIEL_BUDGET!$A$2:$A$101,0)),"")),"Oui","Non"))</f>
        <v/>
      </c>
      <c r="Q64" t="str">
        <f t="shared" si="5"/>
        <v/>
      </c>
      <c r="R64" t="str">
        <f t="shared" si="1"/>
        <v/>
      </c>
      <c r="S64" t="str">
        <f t="shared" si="2"/>
        <v/>
      </c>
    </row>
    <row r="65" spans="1:19">
      <c r="A65">
        <f t="shared" si="0"/>
        <v>64</v>
      </c>
      <c r="E65" s="3"/>
      <c r="L65" s="5"/>
      <c r="M65" s="5">
        <f t="shared" si="3"/>
        <v>0</v>
      </c>
      <c r="N65" s="5"/>
      <c r="O65" s="5" t="str">
        <f t="shared" si="4"/>
        <v/>
      </c>
      <c r="P65" t="str">
        <f>IF(OR(B65="",E65=""),"",IF(AND(E65&gt;=IFERROR(INDEX(REFERENTIEL_BUDGET!$C$2:$C$101,MATCH(B65,REFERENTIEL_BUDGET!$A$2:$A$101,0)),""),E65&lt;=IFERROR(INDEX(REFERENTIEL_BUDGET!$D$2:$D$101,MATCH(B65,REFERENTIEL_BUDGET!$A$2:$A$101,0)),"")),"Oui","Non"))</f>
        <v/>
      </c>
      <c r="Q65" t="str">
        <f t="shared" si="5"/>
        <v/>
      </c>
      <c r="R65" t="str">
        <f t="shared" si="1"/>
        <v/>
      </c>
      <c r="S65" t="str">
        <f t="shared" si="2"/>
        <v/>
      </c>
    </row>
    <row r="66" spans="1:19">
      <c r="A66">
        <f t="shared" ref="A66:A129" si="6">ROW()-1</f>
        <v>65</v>
      </c>
      <c r="E66" s="3"/>
      <c r="L66" s="5"/>
      <c r="M66" s="5">
        <f t="shared" si="3"/>
        <v>0</v>
      </c>
      <c r="N66" s="5"/>
      <c r="O66" s="5" t="str">
        <f t="shared" ref="O66:O129" si="7">IF(OR(M66="",N66=""),"",N66-M66)</f>
        <v/>
      </c>
      <c r="P66" t="str">
        <f>IF(OR(B66="",E66=""),"",IF(AND(E66&gt;=IFERROR(INDEX(REFERENTIEL_BUDGET!$C$2:$C$101,MATCH(B66,REFERENTIEL_BUDGET!$A$2:$A$101,0)),""),E66&lt;=IFERROR(INDEX(REFERENTIEL_BUDGET!$D$2:$D$101,MATCH(B66,REFERENTIEL_BUDGET!$A$2:$A$101,0)),"")),"Oui","Non"))</f>
        <v/>
      </c>
      <c r="Q66" t="str">
        <f t="shared" ref="Q66:Q129" si="8">IF(J66="","",IF(AND(J66="Présent",K66&lt;&gt;""),"Oui",IF(J66="Absent","Non","À vérifier")))</f>
        <v/>
      </c>
      <c r="R66" t="str">
        <f t="shared" ref="R66:R129" si="9">IF(OR(M66="",N66=""),"",IF(O66=0,"Oui","Non"))</f>
        <v/>
      </c>
      <c r="S66" t="str">
        <f t="shared" ref="S66:S129" si="10">IF(B66="","",IF(P66="Non","DATE HORS PÉRIODE",IF(Q66="Non","PAIEMENT SANS PRÉSENCE",IF(Q66="À vérifier","PRÉSENCE À VÉRIFIER",IF(R66="Non","MONTANT NON CONFORME","CONFORME")))))</f>
        <v/>
      </c>
    </row>
    <row r="67" spans="1:19">
      <c r="A67">
        <f t="shared" si="6"/>
        <v>66</v>
      </c>
      <c r="E67" s="3"/>
      <c r="L67" s="5"/>
      <c r="M67" s="5">
        <f t="shared" ref="M67:M130" si="11">+COUNTIF(F67:J67,"Présent")*L67</f>
        <v>0</v>
      </c>
      <c r="N67" s="5"/>
      <c r="O67" s="5" t="str">
        <f t="shared" si="7"/>
        <v/>
      </c>
      <c r="P67" t="str">
        <f>IF(OR(B67="",E67=""),"",IF(AND(E67&gt;=IFERROR(INDEX(REFERENTIEL_BUDGET!$C$2:$C$101,MATCH(B67,REFERENTIEL_BUDGET!$A$2:$A$101,0)),""),E67&lt;=IFERROR(INDEX(REFERENTIEL_BUDGET!$D$2:$D$101,MATCH(B67,REFERENTIEL_BUDGET!$A$2:$A$101,0)),"")),"Oui","Non"))</f>
        <v/>
      </c>
      <c r="Q67" t="str">
        <f t="shared" si="8"/>
        <v/>
      </c>
      <c r="R67" t="str">
        <f t="shared" si="9"/>
        <v/>
      </c>
      <c r="S67" t="str">
        <f t="shared" si="10"/>
        <v/>
      </c>
    </row>
    <row r="68" spans="1:19">
      <c r="A68">
        <f t="shared" si="6"/>
        <v>67</v>
      </c>
      <c r="E68" s="3"/>
      <c r="L68" s="5"/>
      <c r="M68" s="5">
        <f t="shared" si="11"/>
        <v>0</v>
      </c>
      <c r="N68" s="5"/>
      <c r="O68" s="5" t="str">
        <f t="shared" si="7"/>
        <v/>
      </c>
      <c r="P68" t="str">
        <f>IF(OR(B68="",E68=""),"",IF(AND(E68&gt;=IFERROR(INDEX(REFERENTIEL_BUDGET!$C$2:$C$101,MATCH(B68,REFERENTIEL_BUDGET!$A$2:$A$101,0)),""),E68&lt;=IFERROR(INDEX(REFERENTIEL_BUDGET!$D$2:$D$101,MATCH(B68,REFERENTIEL_BUDGET!$A$2:$A$101,0)),"")),"Oui","Non"))</f>
        <v/>
      </c>
      <c r="Q68" t="str">
        <f t="shared" si="8"/>
        <v/>
      </c>
      <c r="R68" t="str">
        <f t="shared" si="9"/>
        <v/>
      </c>
      <c r="S68" t="str">
        <f t="shared" si="10"/>
        <v/>
      </c>
    </row>
    <row r="69" spans="1:19">
      <c r="A69">
        <f t="shared" si="6"/>
        <v>68</v>
      </c>
      <c r="E69" s="3"/>
      <c r="L69" s="5"/>
      <c r="M69" s="5">
        <f t="shared" si="11"/>
        <v>0</v>
      </c>
      <c r="N69" s="5"/>
      <c r="O69" s="5" t="str">
        <f t="shared" si="7"/>
        <v/>
      </c>
      <c r="P69" t="str">
        <f>IF(OR(B69="",E69=""),"",IF(AND(E69&gt;=IFERROR(INDEX(REFERENTIEL_BUDGET!$C$2:$C$101,MATCH(B69,REFERENTIEL_BUDGET!$A$2:$A$101,0)),""),E69&lt;=IFERROR(INDEX(REFERENTIEL_BUDGET!$D$2:$D$101,MATCH(B69,REFERENTIEL_BUDGET!$A$2:$A$101,0)),"")),"Oui","Non"))</f>
        <v/>
      </c>
      <c r="Q69" t="str">
        <f t="shared" si="8"/>
        <v/>
      </c>
      <c r="R69" t="str">
        <f t="shared" si="9"/>
        <v/>
      </c>
      <c r="S69" t="str">
        <f t="shared" si="10"/>
        <v/>
      </c>
    </row>
    <row r="70" spans="1:19">
      <c r="A70">
        <f t="shared" si="6"/>
        <v>69</v>
      </c>
      <c r="E70" s="3"/>
      <c r="L70" s="5"/>
      <c r="M70" s="5">
        <f t="shared" si="11"/>
        <v>0</v>
      </c>
      <c r="N70" s="5"/>
      <c r="O70" s="5" t="str">
        <f t="shared" si="7"/>
        <v/>
      </c>
      <c r="P70" t="str">
        <f>IF(OR(B70="",E70=""),"",IF(AND(E70&gt;=IFERROR(INDEX(REFERENTIEL_BUDGET!$C$2:$C$101,MATCH(B70,REFERENTIEL_BUDGET!$A$2:$A$101,0)),""),E70&lt;=IFERROR(INDEX(REFERENTIEL_BUDGET!$D$2:$D$101,MATCH(B70,REFERENTIEL_BUDGET!$A$2:$A$101,0)),"")),"Oui","Non"))</f>
        <v/>
      </c>
      <c r="Q70" t="str">
        <f t="shared" si="8"/>
        <v/>
      </c>
      <c r="R70" t="str">
        <f t="shared" si="9"/>
        <v/>
      </c>
      <c r="S70" t="str">
        <f t="shared" si="10"/>
        <v/>
      </c>
    </row>
    <row r="71" spans="1:19">
      <c r="A71">
        <f t="shared" si="6"/>
        <v>70</v>
      </c>
      <c r="E71" s="3"/>
      <c r="L71" s="5"/>
      <c r="M71" s="5">
        <f t="shared" si="11"/>
        <v>0</v>
      </c>
      <c r="N71" s="5"/>
      <c r="O71" s="5" t="str">
        <f t="shared" si="7"/>
        <v/>
      </c>
      <c r="P71" t="str">
        <f>IF(OR(B71="",E71=""),"",IF(AND(E71&gt;=IFERROR(INDEX(REFERENTIEL_BUDGET!$C$2:$C$101,MATCH(B71,REFERENTIEL_BUDGET!$A$2:$A$101,0)),""),E71&lt;=IFERROR(INDEX(REFERENTIEL_BUDGET!$D$2:$D$101,MATCH(B71,REFERENTIEL_BUDGET!$A$2:$A$101,0)),"")),"Oui","Non"))</f>
        <v/>
      </c>
      <c r="Q71" t="str">
        <f t="shared" si="8"/>
        <v/>
      </c>
      <c r="R71" t="str">
        <f t="shared" si="9"/>
        <v/>
      </c>
      <c r="S71" t="str">
        <f t="shared" si="10"/>
        <v/>
      </c>
    </row>
    <row r="72" spans="1:19">
      <c r="A72">
        <f t="shared" si="6"/>
        <v>71</v>
      </c>
      <c r="E72" s="3"/>
      <c r="L72" s="5"/>
      <c r="M72" s="5">
        <f t="shared" si="11"/>
        <v>0</v>
      </c>
      <c r="N72" s="5"/>
      <c r="O72" s="5" t="str">
        <f t="shared" si="7"/>
        <v/>
      </c>
      <c r="P72" t="str">
        <f>IF(OR(B72="",E72=""),"",IF(AND(E72&gt;=IFERROR(INDEX(REFERENTIEL_BUDGET!$C$2:$C$101,MATCH(B72,REFERENTIEL_BUDGET!$A$2:$A$101,0)),""),E72&lt;=IFERROR(INDEX(REFERENTIEL_BUDGET!$D$2:$D$101,MATCH(B72,REFERENTIEL_BUDGET!$A$2:$A$101,0)),"")),"Oui","Non"))</f>
        <v/>
      </c>
      <c r="Q72" t="str">
        <f t="shared" si="8"/>
        <v/>
      </c>
      <c r="R72" t="str">
        <f t="shared" si="9"/>
        <v/>
      </c>
      <c r="S72" t="str">
        <f t="shared" si="10"/>
        <v/>
      </c>
    </row>
    <row r="73" spans="1:19">
      <c r="A73">
        <f t="shared" si="6"/>
        <v>72</v>
      </c>
      <c r="E73" s="3"/>
      <c r="L73" s="5"/>
      <c r="M73" s="5">
        <f t="shared" si="11"/>
        <v>0</v>
      </c>
      <c r="N73" s="5"/>
      <c r="O73" s="5" t="str">
        <f t="shared" si="7"/>
        <v/>
      </c>
      <c r="P73" t="str">
        <f>IF(OR(B73="",E73=""),"",IF(AND(E73&gt;=IFERROR(INDEX(REFERENTIEL_BUDGET!$C$2:$C$101,MATCH(B73,REFERENTIEL_BUDGET!$A$2:$A$101,0)),""),E73&lt;=IFERROR(INDEX(REFERENTIEL_BUDGET!$D$2:$D$101,MATCH(B73,REFERENTIEL_BUDGET!$A$2:$A$101,0)),"")),"Oui","Non"))</f>
        <v/>
      </c>
      <c r="Q73" t="str">
        <f t="shared" si="8"/>
        <v/>
      </c>
      <c r="R73" t="str">
        <f t="shared" si="9"/>
        <v/>
      </c>
      <c r="S73" t="str">
        <f t="shared" si="10"/>
        <v/>
      </c>
    </row>
    <row r="74" spans="1:19">
      <c r="A74">
        <f t="shared" si="6"/>
        <v>73</v>
      </c>
      <c r="E74" s="3"/>
      <c r="L74" s="5"/>
      <c r="M74" s="5">
        <f t="shared" si="11"/>
        <v>0</v>
      </c>
      <c r="N74" s="5"/>
      <c r="O74" s="5" t="str">
        <f t="shared" si="7"/>
        <v/>
      </c>
      <c r="P74" t="str">
        <f>IF(OR(B74="",E74=""),"",IF(AND(E74&gt;=IFERROR(INDEX(REFERENTIEL_BUDGET!$C$2:$C$101,MATCH(B74,REFERENTIEL_BUDGET!$A$2:$A$101,0)),""),E74&lt;=IFERROR(INDEX(REFERENTIEL_BUDGET!$D$2:$D$101,MATCH(B74,REFERENTIEL_BUDGET!$A$2:$A$101,0)),"")),"Oui","Non"))</f>
        <v/>
      </c>
      <c r="Q74" t="str">
        <f t="shared" si="8"/>
        <v/>
      </c>
      <c r="R74" t="str">
        <f t="shared" si="9"/>
        <v/>
      </c>
      <c r="S74" t="str">
        <f t="shared" si="10"/>
        <v/>
      </c>
    </row>
    <row r="75" spans="1:19">
      <c r="A75">
        <f t="shared" si="6"/>
        <v>74</v>
      </c>
      <c r="E75" s="3"/>
      <c r="L75" s="5"/>
      <c r="M75" s="5">
        <f t="shared" si="11"/>
        <v>0</v>
      </c>
      <c r="N75" s="5"/>
      <c r="O75" s="5" t="str">
        <f t="shared" si="7"/>
        <v/>
      </c>
      <c r="P75" t="str">
        <f>IF(OR(B75="",E75=""),"",IF(AND(E75&gt;=IFERROR(INDEX(REFERENTIEL_BUDGET!$C$2:$C$101,MATCH(B75,REFERENTIEL_BUDGET!$A$2:$A$101,0)),""),E75&lt;=IFERROR(INDEX(REFERENTIEL_BUDGET!$D$2:$D$101,MATCH(B75,REFERENTIEL_BUDGET!$A$2:$A$101,0)),"")),"Oui","Non"))</f>
        <v/>
      </c>
      <c r="Q75" t="str">
        <f t="shared" si="8"/>
        <v/>
      </c>
      <c r="R75" t="str">
        <f t="shared" si="9"/>
        <v/>
      </c>
      <c r="S75" t="str">
        <f t="shared" si="10"/>
        <v/>
      </c>
    </row>
    <row r="76" spans="1:19">
      <c r="A76">
        <f t="shared" si="6"/>
        <v>75</v>
      </c>
      <c r="E76" s="3"/>
      <c r="L76" s="5"/>
      <c r="M76" s="5">
        <f t="shared" si="11"/>
        <v>0</v>
      </c>
      <c r="N76" s="5"/>
      <c r="O76" s="5" t="str">
        <f t="shared" si="7"/>
        <v/>
      </c>
      <c r="P76" t="str">
        <f>IF(OR(B76="",E76=""),"",IF(AND(E76&gt;=IFERROR(INDEX(REFERENTIEL_BUDGET!$C$2:$C$101,MATCH(B76,REFERENTIEL_BUDGET!$A$2:$A$101,0)),""),E76&lt;=IFERROR(INDEX(REFERENTIEL_BUDGET!$D$2:$D$101,MATCH(B76,REFERENTIEL_BUDGET!$A$2:$A$101,0)),"")),"Oui","Non"))</f>
        <v/>
      </c>
      <c r="Q76" t="str">
        <f t="shared" si="8"/>
        <v/>
      </c>
      <c r="R76" t="str">
        <f t="shared" si="9"/>
        <v/>
      </c>
      <c r="S76" t="str">
        <f t="shared" si="10"/>
        <v/>
      </c>
    </row>
    <row r="77" spans="1:19">
      <c r="A77">
        <f t="shared" si="6"/>
        <v>76</v>
      </c>
      <c r="E77" s="3"/>
      <c r="L77" s="5"/>
      <c r="M77" s="5">
        <f t="shared" si="11"/>
        <v>0</v>
      </c>
      <c r="N77" s="5"/>
      <c r="O77" s="5" t="str">
        <f t="shared" si="7"/>
        <v/>
      </c>
      <c r="P77" t="str">
        <f>IF(OR(B77="",E77=""),"",IF(AND(E77&gt;=IFERROR(INDEX(REFERENTIEL_BUDGET!$C$2:$C$101,MATCH(B77,REFERENTIEL_BUDGET!$A$2:$A$101,0)),""),E77&lt;=IFERROR(INDEX(REFERENTIEL_BUDGET!$D$2:$D$101,MATCH(B77,REFERENTIEL_BUDGET!$A$2:$A$101,0)),"")),"Oui","Non"))</f>
        <v/>
      </c>
      <c r="Q77" t="str">
        <f t="shared" si="8"/>
        <v/>
      </c>
      <c r="R77" t="str">
        <f t="shared" si="9"/>
        <v/>
      </c>
      <c r="S77" t="str">
        <f t="shared" si="10"/>
        <v/>
      </c>
    </row>
    <row r="78" spans="1:19">
      <c r="A78">
        <f t="shared" si="6"/>
        <v>77</v>
      </c>
      <c r="E78" s="3"/>
      <c r="L78" s="5"/>
      <c r="M78" s="5">
        <f t="shared" si="11"/>
        <v>0</v>
      </c>
      <c r="N78" s="5"/>
      <c r="O78" s="5" t="str">
        <f t="shared" si="7"/>
        <v/>
      </c>
      <c r="P78" t="str">
        <f>IF(OR(B78="",E78=""),"",IF(AND(E78&gt;=IFERROR(INDEX(REFERENTIEL_BUDGET!$C$2:$C$101,MATCH(B78,REFERENTIEL_BUDGET!$A$2:$A$101,0)),""),E78&lt;=IFERROR(INDEX(REFERENTIEL_BUDGET!$D$2:$D$101,MATCH(B78,REFERENTIEL_BUDGET!$A$2:$A$101,0)),"")),"Oui","Non"))</f>
        <v/>
      </c>
      <c r="Q78" t="str">
        <f t="shared" si="8"/>
        <v/>
      </c>
      <c r="R78" t="str">
        <f t="shared" si="9"/>
        <v/>
      </c>
      <c r="S78" t="str">
        <f t="shared" si="10"/>
        <v/>
      </c>
    </row>
    <row r="79" spans="1:19">
      <c r="A79">
        <f t="shared" si="6"/>
        <v>78</v>
      </c>
      <c r="E79" s="3"/>
      <c r="L79" s="5"/>
      <c r="M79" s="5">
        <f t="shared" si="11"/>
        <v>0</v>
      </c>
      <c r="N79" s="5"/>
      <c r="O79" s="5" t="str">
        <f t="shared" si="7"/>
        <v/>
      </c>
      <c r="P79" t="str">
        <f>IF(OR(B79="",E79=""),"",IF(AND(E79&gt;=IFERROR(INDEX(REFERENTIEL_BUDGET!$C$2:$C$101,MATCH(B79,REFERENTIEL_BUDGET!$A$2:$A$101,0)),""),E79&lt;=IFERROR(INDEX(REFERENTIEL_BUDGET!$D$2:$D$101,MATCH(B79,REFERENTIEL_BUDGET!$A$2:$A$101,0)),"")),"Oui","Non"))</f>
        <v/>
      </c>
      <c r="Q79" t="str">
        <f t="shared" si="8"/>
        <v/>
      </c>
      <c r="R79" t="str">
        <f t="shared" si="9"/>
        <v/>
      </c>
      <c r="S79" t="str">
        <f t="shared" si="10"/>
        <v/>
      </c>
    </row>
    <row r="80" spans="1:19">
      <c r="A80">
        <f t="shared" si="6"/>
        <v>79</v>
      </c>
      <c r="E80" s="3"/>
      <c r="L80" s="5"/>
      <c r="M80" s="5">
        <f t="shared" si="11"/>
        <v>0</v>
      </c>
      <c r="N80" s="5"/>
      <c r="O80" s="5" t="str">
        <f t="shared" si="7"/>
        <v/>
      </c>
      <c r="P80" t="str">
        <f>IF(OR(B80="",E80=""),"",IF(AND(E80&gt;=IFERROR(INDEX(REFERENTIEL_BUDGET!$C$2:$C$101,MATCH(B80,REFERENTIEL_BUDGET!$A$2:$A$101,0)),""),E80&lt;=IFERROR(INDEX(REFERENTIEL_BUDGET!$D$2:$D$101,MATCH(B80,REFERENTIEL_BUDGET!$A$2:$A$101,0)),"")),"Oui","Non"))</f>
        <v/>
      </c>
      <c r="Q80" t="str">
        <f t="shared" si="8"/>
        <v/>
      </c>
      <c r="R80" t="str">
        <f t="shared" si="9"/>
        <v/>
      </c>
      <c r="S80" t="str">
        <f t="shared" si="10"/>
        <v/>
      </c>
    </row>
    <row r="81" spans="1:19">
      <c r="A81">
        <f t="shared" si="6"/>
        <v>80</v>
      </c>
      <c r="E81" s="3"/>
      <c r="L81" s="5"/>
      <c r="M81" s="5">
        <f t="shared" si="11"/>
        <v>0</v>
      </c>
      <c r="N81" s="5"/>
      <c r="O81" s="5" t="str">
        <f t="shared" si="7"/>
        <v/>
      </c>
      <c r="P81" t="str">
        <f>IF(OR(B81="",E81=""),"",IF(AND(E81&gt;=IFERROR(INDEX(REFERENTIEL_BUDGET!$C$2:$C$101,MATCH(B81,REFERENTIEL_BUDGET!$A$2:$A$101,0)),""),E81&lt;=IFERROR(INDEX(REFERENTIEL_BUDGET!$D$2:$D$101,MATCH(B81,REFERENTIEL_BUDGET!$A$2:$A$101,0)),"")),"Oui","Non"))</f>
        <v/>
      </c>
      <c r="Q81" t="str">
        <f t="shared" si="8"/>
        <v/>
      </c>
      <c r="R81" t="str">
        <f t="shared" si="9"/>
        <v/>
      </c>
      <c r="S81" t="str">
        <f t="shared" si="10"/>
        <v/>
      </c>
    </row>
    <row r="82" spans="1:19">
      <c r="A82">
        <f t="shared" si="6"/>
        <v>81</v>
      </c>
      <c r="E82" s="3"/>
      <c r="L82" s="5"/>
      <c r="M82" s="5">
        <f t="shared" si="11"/>
        <v>0</v>
      </c>
      <c r="N82" s="5"/>
      <c r="O82" s="5" t="str">
        <f t="shared" si="7"/>
        <v/>
      </c>
      <c r="P82" t="str">
        <f>IF(OR(B82="",E82=""),"",IF(AND(E82&gt;=IFERROR(INDEX(REFERENTIEL_BUDGET!$C$2:$C$101,MATCH(B82,REFERENTIEL_BUDGET!$A$2:$A$101,0)),""),E82&lt;=IFERROR(INDEX(REFERENTIEL_BUDGET!$D$2:$D$101,MATCH(B82,REFERENTIEL_BUDGET!$A$2:$A$101,0)),"")),"Oui","Non"))</f>
        <v/>
      </c>
      <c r="Q82" t="str">
        <f t="shared" si="8"/>
        <v/>
      </c>
      <c r="R82" t="str">
        <f t="shared" si="9"/>
        <v/>
      </c>
      <c r="S82" t="str">
        <f t="shared" si="10"/>
        <v/>
      </c>
    </row>
    <row r="83" spans="1:19">
      <c r="A83">
        <f t="shared" si="6"/>
        <v>82</v>
      </c>
      <c r="E83" s="3"/>
      <c r="L83" s="5"/>
      <c r="M83" s="5">
        <f t="shared" si="11"/>
        <v>0</v>
      </c>
      <c r="N83" s="5"/>
      <c r="O83" s="5" t="str">
        <f t="shared" si="7"/>
        <v/>
      </c>
      <c r="P83" t="str">
        <f>IF(OR(B83="",E83=""),"",IF(AND(E83&gt;=IFERROR(INDEX(REFERENTIEL_BUDGET!$C$2:$C$101,MATCH(B83,REFERENTIEL_BUDGET!$A$2:$A$101,0)),""),E83&lt;=IFERROR(INDEX(REFERENTIEL_BUDGET!$D$2:$D$101,MATCH(B83,REFERENTIEL_BUDGET!$A$2:$A$101,0)),"")),"Oui","Non"))</f>
        <v/>
      </c>
      <c r="Q83" t="str">
        <f t="shared" si="8"/>
        <v/>
      </c>
      <c r="R83" t="str">
        <f t="shared" si="9"/>
        <v/>
      </c>
      <c r="S83" t="str">
        <f t="shared" si="10"/>
        <v/>
      </c>
    </row>
    <row r="84" spans="1:19">
      <c r="A84">
        <f t="shared" si="6"/>
        <v>83</v>
      </c>
      <c r="E84" s="3"/>
      <c r="L84" s="5"/>
      <c r="M84" s="5">
        <f t="shared" si="11"/>
        <v>0</v>
      </c>
      <c r="N84" s="5"/>
      <c r="O84" s="5" t="str">
        <f t="shared" si="7"/>
        <v/>
      </c>
      <c r="P84" t="str">
        <f>IF(OR(B84="",E84=""),"",IF(AND(E84&gt;=IFERROR(INDEX(REFERENTIEL_BUDGET!$C$2:$C$101,MATCH(B84,REFERENTIEL_BUDGET!$A$2:$A$101,0)),""),E84&lt;=IFERROR(INDEX(REFERENTIEL_BUDGET!$D$2:$D$101,MATCH(B84,REFERENTIEL_BUDGET!$A$2:$A$101,0)),"")),"Oui","Non"))</f>
        <v/>
      </c>
      <c r="Q84" t="str">
        <f t="shared" si="8"/>
        <v/>
      </c>
      <c r="R84" t="str">
        <f t="shared" si="9"/>
        <v/>
      </c>
      <c r="S84" t="str">
        <f t="shared" si="10"/>
        <v/>
      </c>
    </row>
    <row r="85" spans="1:19">
      <c r="A85">
        <f t="shared" si="6"/>
        <v>84</v>
      </c>
      <c r="E85" s="3"/>
      <c r="L85" s="5"/>
      <c r="M85" s="5">
        <f t="shared" si="11"/>
        <v>0</v>
      </c>
      <c r="N85" s="5"/>
      <c r="O85" s="5" t="str">
        <f t="shared" si="7"/>
        <v/>
      </c>
      <c r="P85" t="str">
        <f>IF(OR(B85="",E85=""),"",IF(AND(E85&gt;=IFERROR(INDEX(REFERENTIEL_BUDGET!$C$2:$C$101,MATCH(B85,REFERENTIEL_BUDGET!$A$2:$A$101,0)),""),E85&lt;=IFERROR(INDEX(REFERENTIEL_BUDGET!$D$2:$D$101,MATCH(B85,REFERENTIEL_BUDGET!$A$2:$A$101,0)),"")),"Oui","Non"))</f>
        <v/>
      </c>
      <c r="Q85" t="str">
        <f t="shared" si="8"/>
        <v/>
      </c>
      <c r="R85" t="str">
        <f t="shared" si="9"/>
        <v/>
      </c>
      <c r="S85" t="str">
        <f t="shared" si="10"/>
        <v/>
      </c>
    </row>
    <row r="86" spans="1:19">
      <c r="A86">
        <f t="shared" si="6"/>
        <v>85</v>
      </c>
      <c r="E86" s="3"/>
      <c r="L86" s="5"/>
      <c r="M86" s="5">
        <f t="shared" si="11"/>
        <v>0</v>
      </c>
      <c r="N86" s="5"/>
      <c r="O86" s="5" t="str">
        <f t="shared" si="7"/>
        <v/>
      </c>
      <c r="P86" t="str">
        <f>IF(OR(B86="",E86=""),"",IF(AND(E86&gt;=IFERROR(INDEX(REFERENTIEL_BUDGET!$C$2:$C$101,MATCH(B86,REFERENTIEL_BUDGET!$A$2:$A$101,0)),""),E86&lt;=IFERROR(INDEX(REFERENTIEL_BUDGET!$D$2:$D$101,MATCH(B86,REFERENTIEL_BUDGET!$A$2:$A$101,0)),"")),"Oui","Non"))</f>
        <v/>
      </c>
      <c r="Q86" t="str">
        <f t="shared" si="8"/>
        <v/>
      </c>
      <c r="R86" t="str">
        <f t="shared" si="9"/>
        <v/>
      </c>
      <c r="S86" t="str">
        <f t="shared" si="10"/>
        <v/>
      </c>
    </row>
    <row r="87" spans="1:19">
      <c r="A87">
        <f t="shared" si="6"/>
        <v>86</v>
      </c>
      <c r="E87" s="3"/>
      <c r="L87" s="5"/>
      <c r="M87" s="5">
        <f t="shared" si="11"/>
        <v>0</v>
      </c>
      <c r="N87" s="5"/>
      <c r="O87" s="5" t="str">
        <f t="shared" si="7"/>
        <v/>
      </c>
      <c r="P87" t="str">
        <f>IF(OR(B87="",E87=""),"",IF(AND(E87&gt;=IFERROR(INDEX(REFERENTIEL_BUDGET!$C$2:$C$101,MATCH(B87,REFERENTIEL_BUDGET!$A$2:$A$101,0)),""),E87&lt;=IFERROR(INDEX(REFERENTIEL_BUDGET!$D$2:$D$101,MATCH(B87,REFERENTIEL_BUDGET!$A$2:$A$101,0)),"")),"Oui","Non"))</f>
        <v/>
      </c>
      <c r="Q87" t="str">
        <f t="shared" si="8"/>
        <v/>
      </c>
      <c r="R87" t="str">
        <f t="shared" si="9"/>
        <v/>
      </c>
      <c r="S87" t="str">
        <f t="shared" si="10"/>
        <v/>
      </c>
    </row>
    <row r="88" spans="1:19">
      <c r="A88">
        <f t="shared" si="6"/>
        <v>87</v>
      </c>
      <c r="E88" s="3"/>
      <c r="L88" s="5"/>
      <c r="M88" s="5">
        <f t="shared" si="11"/>
        <v>0</v>
      </c>
      <c r="N88" s="5"/>
      <c r="O88" s="5" t="str">
        <f t="shared" si="7"/>
        <v/>
      </c>
      <c r="P88" t="str">
        <f>IF(OR(B88="",E88=""),"",IF(AND(E88&gt;=IFERROR(INDEX(REFERENTIEL_BUDGET!$C$2:$C$101,MATCH(B88,REFERENTIEL_BUDGET!$A$2:$A$101,0)),""),E88&lt;=IFERROR(INDEX(REFERENTIEL_BUDGET!$D$2:$D$101,MATCH(B88,REFERENTIEL_BUDGET!$A$2:$A$101,0)),"")),"Oui","Non"))</f>
        <v/>
      </c>
      <c r="Q88" t="str">
        <f t="shared" si="8"/>
        <v/>
      </c>
      <c r="R88" t="str">
        <f t="shared" si="9"/>
        <v/>
      </c>
      <c r="S88" t="str">
        <f t="shared" si="10"/>
        <v/>
      </c>
    </row>
    <row r="89" spans="1:19">
      <c r="A89">
        <f t="shared" si="6"/>
        <v>88</v>
      </c>
      <c r="E89" s="3"/>
      <c r="L89" s="5"/>
      <c r="M89" s="5">
        <f t="shared" si="11"/>
        <v>0</v>
      </c>
      <c r="N89" s="5"/>
      <c r="O89" s="5" t="str">
        <f t="shared" si="7"/>
        <v/>
      </c>
      <c r="P89" t="str">
        <f>IF(OR(B89="",E89=""),"",IF(AND(E89&gt;=IFERROR(INDEX(REFERENTIEL_BUDGET!$C$2:$C$101,MATCH(B89,REFERENTIEL_BUDGET!$A$2:$A$101,0)),""),E89&lt;=IFERROR(INDEX(REFERENTIEL_BUDGET!$D$2:$D$101,MATCH(B89,REFERENTIEL_BUDGET!$A$2:$A$101,0)),"")),"Oui","Non"))</f>
        <v/>
      </c>
      <c r="Q89" t="str">
        <f t="shared" si="8"/>
        <v/>
      </c>
      <c r="R89" t="str">
        <f t="shared" si="9"/>
        <v/>
      </c>
      <c r="S89" t="str">
        <f t="shared" si="10"/>
        <v/>
      </c>
    </row>
    <row r="90" spans="1:19">
      <c r="A90">
        <f t="shared" si="6"/>
        <v>89</v>
      </c>
      <c r="E90" s="3"/>
      <c r="L90" s="5"/>
      <c r="M90" s="5">
        <f t="shared" si="11"/>
        <v>0</v>
      </c>
      <c r="N90" s="5"/>
      <c r="O90" s="5" t="str">
        <f t="shared" si="7"/>
        <v/>
      </c>
      <c r="P90" t="str">
        <f>IF(OR(B90="",E90=""),"",IF(AND(E90&gt;=IFERROR(INDEX(REFERENTIEL_BUDGET!$C$2:$C$101,MATCH(B90,REFERENTIEL_BUDGET!$A$2:$A$101,0)),""),E90&lt;=IFERROR(INDEX(REFERENTIEL_BUDGET!$D$2:$D$101,MATCH(B90,REFERENTIEL_BUDGET!$A$2:$A$101,0)),"")),"Oui","Non"))</f>
        <v/>
      </c>
      <c r="Q90" t="str">
        <f t="shared" si="8"/>
        <v/>
      </c>
      <c r="R90" t="str">
        <f t="shared" si="9"/>
        <v/>
      </c>
      <c r="S90" t="str">
        <f t="shared" si="10"/>
        <v/>
      </c>
    </row>
    <row r="91" spans="1:19">
      <c r="A91">
        <f t="shared" si="6"/>
        <v>90</v>
      </c>
      <c r="E91" s="3"/>
      <c r="L91" s="5"/>
      <c r="M91" s="5">
        <f t="shared" si="11"/>
        <v>0</v>
      </c>
      <c r="N91" s="5"/>
      <c r="O91" s="5" t="str">
        <f t="shared" si="7"/>
        <v/>
      </c>
      <c r="P91" t="str">
        <f>IF(OR(B91="",E91=""),"",IF(AND(E91&gt;=IFERROR(INDEX(REFERENTIEL_BUDGET!$C$2:$C$101,MATCH(B91,REFERENTIEL_BUDGET!$A$2:$A$101,0)),""),E91&lt;=IFERROR(INDEX(REFERENTIEL_BUDGET!$D$2:$D$101,MATCH(B91,REFERENTIEL_BUDGET!$A$2:$A$101,0)),"")),"Oui","Non"))</f>
        <v/>
      </c>
      <c r="Q91" t="str">
        <f t="shared" si="8"/>
        <v/>
      </c>
      <c r="R91" t="str">
        <f t="shared" si="9"/>
        <v/>
      </c>
      <c r="S91" t="str">
        <f t="shared" si="10"/>
        <v/>
      </c>
    </row>
    <row r="92" spans="1:19">
      <c r="A92">
        <f t="shared" si="6"/>
        <v>91</v>
      </c>
      <c r="E92" s="3"/>
      <c r="L92" s="5"/>
      <c r="M92" s="5">
        <f t="shared" si="11"/>
        <v>0</v>
      </c>
      <c r="N92" s="5"/>
      <c r="O92" s="5" t="str">
        <f t="shared" si="7"/>
        <v/>
      </c>
      <c r="P92" t="str">
        <f>IF(OR(B92="",E92=""),"",IF(AND(E92&gt;=IFERROR(INDEX(REFERENTIEL_BUDGET!$C$2:$C$101,MATCH(B92,REFERENTIEL_BUDGET!$A$2:$A$101,0)),""),E92&lt;=IFERROR(INDEX(REFERENTIEL_BUDGET!$D$2:$D$101,MATCH(B92,REFERENTIEL_BUDGET!$A$2:$A$101,0)),"")),"Oui","Non"))</f>
        <v/>
      </c>
      <c r="Q92" t="str">
        <f t="shared" si="8"/>
        <v/>
      </c>
      <c r="R92" t="str">
        <f t="shared" si="9"/>
        <v/>
      </c>
      <c r="S92" t="str">
        <f t="shared" si="10"/>
        <v/>
      </c>
    </row>
    <row r="93" spans="1:19">
      <c r="A93">
        <f t="shared" si="6"/>
        <v>92</v>
      </c>
      <c r="E93" s="3"/>
      <c r="L93" s="5"/>
      <c r="M93" s="5">
        <f t="shared" si="11"/>
        <v>0</v>
      </c>
      <c r="N93" s="5"/>
      <c r="O93" s="5" t="str">
        <f t="shared" si="7"/>
        <v/>
      </c>
      <c r="P93" t="str">
        <f>IF(OR(B93="",E93=""),"",IF(AND(E93&gt;=IFERROR(INDEX(REFERENTIEL_BUDGET!$C$2:$C$101,MATCH(B93,REFERENTIEL_BUDGET!$A$2:$A$101,0)),""),E93&lt;=IFERROR(INDEX(REFERENTIEL_BUDGET!$D$2:$D$101,MATCH(B93,REFERENTIEL_BUDGET!$A$2:$A$101,0)),"")),"Oui","Non"))</f>
        <v/>
      </c>
      <c r="Q93" t="str">
        <f t="shared" si="8"/>
        <v/>
      </c>
      <c r="R93" t="str">
        <f t="shared" si="9"/>
        <v/>
      </c>
      <c r="S93" t="str">
        <f t="shared" si="10"/>
        <v/>
      </c>
    </row>
    <row r="94" spans="1:19">
      <c r="A94">
        <f t="shared" si="6"/>
        <v>93</v>
      </c>
      <c r="E94" s="3"/>
      <c r="L94" s="5"/>
      <c r="M94" s="5">
        <f t="shared" si="11"/>
        <v>0</v>
      </c>
      <c r="N94" s="5"/>
      <c r="O94" s="5" t="str">
        <f t="shared" si="7"/>
        <v/>
      </c>
      <c r="P94" t="str">
        <f>IF(OR(B94="",E94=""),"",IF(AND(E94&gt;=IFERROR(INDEX(REFERENTIEL_BUDGET!$C$2:$C$101,MATCH(B94,REFERENTIEL_BUDGET!$A$2:$A$101,0)),""),E94&lt;=IFERROR(INDEX(REFERENTIEL_BUDGET!$D$2:$D$101,MATCH(B94,REFERENTIEL_BUDGET!$A$2:$A$101,0)),"")),"Oui","Non"))</f>
        <v/>
      </c>
      <c r="Q94" t="str">
        <f t="shared" si="8"/>
        <v/>
      </c>
      <c r="R94" t="str">
        <f t="shared" si="9"/>
        <v/>
      </c>
      <c r="S94" t="str">
        <f t="shared" si="10"/>
        <v/>
      </c>
    </row>
    <row r="95" spans="1:19">
      <c r="A95">
        <f t="shared" si="6"/>
        <v>94</v>
      </c>
      <c r="E95" s="3"/>
      <c r="L95" s="5"/>
      <c r="M95" s="5">
        <f t="shared" si="11"/>
        <v>0</v>
      </c>
      <c r="N95" s="5"/>
      <c r="O95" s="5" t="str">
        <f t="shared" si="7"/>
        <v/>
      </c>
      <c r="P95" t="str">
        <f>IF(OR(B95="",E95=""),"",IF(AND(E95&gt;=IFERROR(INDEX(REFERENTIEL_BUDGET!$C$2:$C$101,MATCH(B95,REFERENTIEL_BUDGET!$A$2:$A$101,0)),""),E95&lt;=IFERROR(INDEX(REFERENTIEL_BUDGET!$D$2:$D$101,MATCH(B95,REFERENTIEL_BUDGET!$A$2:$A$101,0)),"")),"Oui","Non"))</f>
        <v/>
      </c>
      <c r="Q95" t="str">
        <f t="shared" si="8"/>
        <v/>
      </c>
      <c r="R95" t="str">
        <f t="shared" si="9"/>
        <v/>
      </c>
      <c r="S95" t="str">
        <f t="shared" si="10"/>
        <v/>
      </c>
    </row>
    <row r="96" spans="1:19">
      <c r="A96">
        <f t="shared" si="6"/>
        <v>95</v>
      </c>
      <c r="E96" s="3"/>
      <c r="L96" s="5"/>
      <c r="M96" s="5">
        <f t="shared" si="11"/>
        <v>0</v>
      </c>
      <c r="N96" s="5"/>
      <c r="O96" s="5" t="str">
        <f t="shared" si="7"/>
        <v/>
      </c>
      <c r="P96" t="str">
        <f>IF(OR(B96="",E96=""),"",IF(AND(E96&gt;=IFERROR(INDEX(REFERENTIEL_BUDGET!$C$2:$C$101,MATCH(B96,REFERENTIEL_BUDGET!$A$2:$A$101,0)),""),E96&lt;=IFERROR(INDEX(REFERENTIEL_BUDGET!$D$2:$D$101,MATCH(B96,REFERENTIEL_BUDGET!$A$2:$A$101,0)),"")),"Oui","Non"))</f>
        <v/>
      </c>
      <c r="Q96" t="str">
        <f t="shared" si="8"/>
        <v/>
      </c>
      <c r="R96" t="str">
        <f t="shared" si="9"/>
        <v/>
      </c>
      <c r="S96" t="str">
        <f t="shared" si="10"/>
        <v/>
      </c>
    </row>
    <row r="97" spans="1:19">
      <c r="A97">
        <f t="shared" si="6"/>
        <v>96</v>
      </c>
      <c r="E97" s="3"/>
      <c r="L97" s="5"/>
      <c r="M97" s="5">
        <f t="shared" si="11"/>
        <v>0</v>
      </c>
      <c r="N97" s="5"/>
      <c r="O97" s="5" t="str">
        <f t="shared" si="7"/>
        <v/>
      </c>
      <c r="P97" t="str">
        <f>IF(OR(B97="",E97=""),"",IF(AND(E97&gt;=IFERROR(INDEX(REFERENTIEL_BUDGET!$C$2:$C$101,MATCH(B97,REFERENTIEL_BUDGET!$A$2:$A$101,0)),""),E97&lt;=IFERROR(INDEX(REFERENTIEL_BUDGET!$D$2:$D$101,MATCH(B97,REFERENTIEL_BUDGET!$A$2:$A$101,0)),"")),"Oui","Non"))</f>
        <v/>
      </c>
      <c r="Q97" t="str">
        <f t="shared" si="8"/>
        <v/>
      </c>
      <c r="R97" t="str">
        <f t="shared" si="9"/>
        <v/>
      </c>
      <c r="S97" t="str">
        <f t="shared" si="10"/>
        <v/>
      </c>
    </row>
    <row r="98" spans="1:19">
      <c r="A98">
        <f t="shared" si="6"/>
        <v>97</v>
      </c>
      <c r="E98" s="3"/>
      <c r="L98" s="5"/>
      <c r="M98" s="5">
        <f t="shared" si="11"/>
        <v>0</v>
      </c>
      <c r="N98" s="5"/>
      <c r="O98" s="5" t="str">
        <f t="shared" si="7"/>
        <v/>
      </c>
      <c r="P98" t="str">
        <f>IF(OR(B98="",E98=""),"",IF(AND(E98&gt;=IFERROR(INDEX(REFERENTIEL_BUDGET!$C$2:$C$101,MATCH(B98,REFERENTIEL_BUDGET!$A$2:$A$101,0)),""),E98&lt;=IFERROR(INDEX(REFERENTIEL_BUDGET!$D$2:$D$101,MATCH(B98,REFERENTIEL_BUDGET!$A$2:$A$101,0)),"")),"Oui","Non"))</f>
        <v/>
      </c>
      <c r="Q98" t="str">
        <f t="shared" si="8"/>
        <v/>
      </c>
      <c r="R98" t="str">
        <f t="shared" si="9"/>
        <v/>
      </c>
      <c r="S98" t="str">
        <f t="shared" si="10"/>
        <v/>
      </c>
    </row>
    <row r="99" spans="1:19">
      <c r="A99">
        <f t="shared" si="6"/>
        <v>98</v>
      </c>
      <c r="E99" s="3"/>
      <c r="L99" s="5"/>
      <c r="M99" s="5">
        <f t="shared" si="11"/>
        <v>0</v>
      </c>
      <c r="N99" s="5"/>
      <c r="O99" s="5" t="str">
        <f t="shared" si="7"/>
        <v/>
      </c>
      <c r="P99" t="str">
        <f>IF(OR(B99="",E99=""),"",IF(AND(E99&gt;=IFERROR(INDEX(REFERENTIEL_BUDGET!$C$2:$C$101,MATCH(B99,REFERENTIEL_BUDGET!$A$2:$A$101,0)),""),E99&lt;=IFERROR(INDEX(REFERENTIEL_BUDGET!$D$2:$D$101,MATCH(B99,REFERENTIEL_BUDGET!$A$2:$A$101,0)),"")),"Oui","Non"))</f>
        <v/>
      </c>
      <c r="Q99" t="str">
        <f t="shared" si="8"/>
        <v/>
      </c>
      <c r="R99" t="str">
        <f t="shared" si="9"/>
        <v/>
      </c>
      <c r="S99" t="str">
        <f t="shared" si="10"/>
        <v/>
      </c>
    </row>
    <row r="100" spans="1:19">
      <c r="A100">
        <f t="shared" si="6"/>
        <v>99</v>
      </c>
      <c r="E100" s="3"/>
      <c r="L100" s="5"/>
      <c r="M100" s="5">
        <f t="shared" si="11"/>
        <v>0</v>
      </c>
      <c r="N100" s="5"/>
      <c r="O100" s="5" t="str">
        <f t="shared" si="7"/>
        <v/>
      </c>
      <c r="P100" t="str">
        <f>IF(OR(B100="",E100=""),"",IF(AND(E100&gt;=IFERROR(INDEX(REFERENTIEL_BUDGET!$C$2:$C$101,MATCH(B100,REFERENTIEL_BUDGET!$A$2:$A$101,0)),""),E100&lt;=IFERROR(INDEX(REFERENTIEL_BUDGET!$D$2:$D$101,MATCH(B100,REFERENTIEL_BUDGET!$A$2:$A$101,0)),"")),"Oui","Non"))</f>
        <v/>
      </c>
      <c r="Q100" t="str">
        <f t="shared" si="8"/>
        <v/>
      </c>
      <c r="R100" t="str">
        <f t="shared" si="9"/>
        <v/>
      </c>
      <c r="S100" t="str">
        <f t="shared" si="10"/>
        <v/>
      </c>
    </row>
    <row r="101" spans="1:19">
      <c r="A101">
        <f t="shared" si="6"/>
        <v>100</v>
      </c>
      <c r="E101" s="3"/>
      <c r="L101" s="5"/>
      <c r="M101" s="5">
        <f t="shared" si="11"/>
        <v>0</v>
      </c>
      <c r="N101" s="5"/>
      <c r="O101" s="5" t="str">
        <f t="shared" si="7"/>
        <v/>
      </c>
      <c r="P101" t="str">
        <f>IF(OR(B101="",E101=""),"",IF(AND(E101&gt;=IFERROR(INDEX(REFERENTIEL_BUDGET!$C$2:$C$101,MATCH(B101,REFERENTIEL_BUDGET!$A$2:$A$101,0)),""),E101&lt;=IFERROR(INDEX(REFERENTIEL_BUDGET!$D$2:$D$101,MATCH(B101,REFERENTIEL_BUDGET!$A$2:$A$101,0)),"")),"Oui","Non"))</f>
        <v/>
      </c>
      <c r="Q101" t="str">
        <f t="shared" si="8"/>
        <v/>
      </c>
      <c r="R101" t="str">
        <f t="shared" si="9"/>
        <v/>
      </c>
      <c r="S101" t="str">
        <f t="shared" si="10"/>
        <v/>
      </c>
    </row>
    <row r="102" spans="1:19">
      <c r="A102">
        <f t="shared" si="6"/>
        <v>101</v>
      </c>
      <c r="E102" s="3"/>
      <c r="L102" s="5"/>
      <c r="M102" s="5">
        <f t="shared" si="11"/>
        <v>0</v>
      </c>
      <c r="N102" s="5"/>
      <c r="O102" s="5" t="str">
        <f t="shared" si="7"/>
        <v/>
      </c>
      <c r="P102" t="str">
        <f>IF(OR(B102="",E102=""),"",IF(AND(E102&gt;=IFERROR(INDEX(REFERENTIEL_BUDGET!$C$2:$C$101,MATCH(B102,REFERENTIEL_BUDGET!$A$2:$A$101,0)),""),E102&lt;=IFERROR(INDEX(REFERENTIEL_BUDGET!$D$2:$D$101,MATCH(B102,REFERENTIEL_BUDGET!$A$2:$A$101,0)),"")),"Oui","Non"))</f>
        <v/>
      </c>
      <c r="Q102" t="str">
        <f t="shared" si="8"/>
        <v/>
      </c>
      <c r="R102" t="str">
        <f t="shared" si="9"/>
        <v/>
      </c>
      <c r="S102" t="str">
        <f t="shared" si="10"/>
        <v/>
      </c>
    </row>
    <row r="103" spans="1:19">
      <c r="A103">
        <f t="shared" si="6"/>
        <v>102</v>
      </c>
      <c r="E103" s="3"/>
      <c r="L103" s="5"/>
      <c r="M103" s="5">
        <f t="shared" si="11"/>
        <v>0</v>
      </c>
      <c r="N103" s="5"/>
      <c r="O103" s="5" t="str">
        <f t="shared" si="7"/>
        <v/>
      </c>
      <c r="P103" t="str">
        <f>IF(OR(B103="",E103=""),"",IF(AND(E103&gt;=IFERROR(INDEX(REFERENTIEL_BUDGET!$C$2:$C$101,MATCH(B103,REFERENTIEL_BUDGET!$A$2:$A$101,0)),""),E103&lt;=IFERROR(INDEX(REFERENTIEL_BUDGET!$D$2:$D$101,MATCH(B103,REFERENTIEL_BUDGET!$A$2:$A$101,0)),"")),"Oui","Non"))</f>
        <v/>
      </c>
      <c r="Q103" t="str">
        <f t="shared" si="8"/>
        <v/>
      </c>
      <c r="R103" t="str">
        <f t="shared" si="9"/>
        <v/>
      </c>
      <c r="S103" t="str">
        <f t="shared" si="10"/>
        <v/>
      </c>
    </row>
    <row r="104" spans="1:19">
      <c r="A104">
        <f t="shared" si="6"/>
        <v>103</v>
      </c>
      <c r="E104" s="3"/>
      <c r="L104" s="5"/>
      <c r="M104" s="5">
        <f t="shared" si="11"/>
        <v>0</v>
      </c>
      <c r="N104" s="5"/>
      <c r="O104" s="5" t="str">
        <f t="shared" si="7"/>
        <v/>
      </c>
      <c r="P104" t="str">
        <f>IF(OR(B104="",E104=""),"",IF(AND(E104&gt;=IFERROR(INDEX(REFERENTIEL_BUDGET!$C$2:$C$101,MATCH(B104,REFERENTIEL_BUDGET!$A$2:$A$101,0)),""),E104&lt;=IFERROR(INDEX(REFERENTIEL_BUDGET!$D$2:$D$101,MATCH(B104,REFERENTIEL_BUDGET!$A$2:$A$101,0)),"")),"Oui","Non"))</f>
        <v/>
      </c>
      <c r="Q104" t="str">
        <f t="shared" si="8"/>
        <v/>
      </c>
      <c r="R104" t="str">
        <f t="shared" si="9"/>
        <v/>
      </c>
      <c r="S104" t="str">
        <f t="shared" si="10"/>
        <v/>
      </c>
    </row>
    <row r="105" spans="1:19">
      <c r="A105">
        <f t="shared" si="6"/>
        <v>104</v>
      </c>
      <c r="E105" s="3"/>
      <c r="L105" s="5"/>
      <c r="M105" s="5">
        <f t="shared" si="11"/>
        <v>0</v>
      </c>
      <c r="N105" s="5"/>
      <c r="O105" s="5" t="str">
        <f t="shared" si="7"/>
        <v/>
      </c>
      <c r="P105" t="str">
        <f>IF(OR(B105="",E105=""),"",IF(AND(E105&gt;=IFERROR(INDEX(REFERENTIEL_BUDGET!$C$2:$C$101,MATCH(B105,REFERENTIEL_BUDGET!$A$2:$A$101,0)),""),E105&lt;=IFERROR(INDEX(REFERENTIEL_BUDGET!$D$2:$D$101,MATCH(B105,REFERENTIEL_BUDGET!$A$2:$A$101,0)),"")),"Oui","Non"))</f>
        <v/>
      </c>
      <c r="Q105" t="str">
        <f t="shared" si="8"/>
        <v/>
      </c>
      <c r="R105" t="str">
        <f t="shared" si="9"/>
        <v/>
      </c>
      <c r="S105" t="str">
        <f t="shared" si="10"/>
        <v/>
      </c>
    </row>
    <row r="106" spans="1:19">
      <c r="A106">
        <f t="shared" si="6"/>
        <v>105</v>
      </c>
      <c r="E106" s="3"/>
      <c r="L106" s="5"/>
      <c r="M106" s="5">
        <f t="shared" si="11"/>
        <v>0</v>
      </c>
      <c r="N106" s="5"/>
      <c r="O106" s="5" t="str">
        <f t="shared" si="7"/>
        <v/>
      </c>
      <c r="P106" t="str">
        <f>IF(OR(B106="",E106=""),"",IF(AND(E106&gt;=IFERROR(INDEX(REFERENTIEL_BUDGET!$C$2:$C$101,MATCH(B106,REFERENTIEL_BUDGET!$A$2:$A$101,0)),""),E106&lt;=IFERROR(INDEX(REFERENTIEL_BUDGET!$D$2:$D$101,MATCH(B106,REFERENTIEL_BUDGET!$A$2:$A$101,0)),"")),"Oui","Non"))</f>
        <v/>
      </c>
      <c r="Q106" t="str">
        <f t="shared" si="8"/>
        <v/>
      </c>
      <c r="R106" t="str">
        <f t="shared" si="9"/>
        <v/>
      </c>
      <c r="S106" t="str">
        <f t="shared" si="10"/>
        <v/>
      </c>
    </row>
    <row r="107" spans="1:19">
      <c r="A107">
        <f t="shared" si="6"/>
        <v>106</v>
      </c>
      <c r="E107" s="3"/>
      <c r="L107" s="5"/>
      <c r="M107" s="5">
        <f t="shared" si="11"/>
        <v>0</v>
      </c>
      <c r="N107" s="5"/>
      <c r="O107" s="5" t="str">
        <f t="shared" si="7"/>
        <v/>
      </c>
      <c r="P107" t="str">
        <f>IF(OR(B107="",E107=""),"",IF(AND(E107&gt;=IFERROR(INDEX(REFERENTIEL_BUDGET!$C$2:$C$101,MATCH(B107,REFERENTIEL_BUDGET!$A$2:$A$101,0)),""),E107&lt;=IFERROR(INDEX(REFERENTIEL_BUDGET!$D$2:$D$101,MATCH(B107,REFERENTIEL_BUDGET!$A$2:$A$101,0)),"")),"Oui","Non"))</f>
        <v/>
      </c>
      <c r="Q107" t="str">
        <f t="shared" si="8"/>
        <v/>
      </c>
      <c r="R107" t="str">
        <f t="shared" si="9"/>
        <v/>
      </c>
      <c r="S107" t="str">
        <f t="shared" si="10"/>
        <v/>
      </c>
    </row>
    <row r="108" spans="1:19">
      <c r="A108">
        <f t="shared" si="6"/>
        <v>107</v>
      </c>
      <c r="E108" s="3"/>
      <c r="L108" s="5"/>
      <c r="M108" s="5">
        <f t="shared" si="11"/>
        <v>0</v>
      </c>
      <c r="N108" s="5"/>
      <c r="O108" s="5" t="str">
        <f t="shared" si="7"/>
        <v/>
      </c>
      <c r="P108" t="str">
        <f>IF(OR(B108="",E108=""),"",IF(AND(E108&gt;=IFERROR(INDEX(REFERENTIEL_BUDGET!$C$2:$C$101,MATCH(B108,REFERENTIEL_BUDGET!$A$2:$A$101,0)),""),E108&lt;=IFERROR(INDEX(REFERENTIEL_BUDGET!$D$2:$D$101,MATCH(B108,REFERENTIEL_BUDGET!$A$2:$A$101,0)),"")),"Oui","Non"))</f>
        <v/>
      </c>
      <c r="Q108" t="str">
        <f t="shared" si="8"/>
        <v/>
      </c>
      <c r="R108" t="str">
        <f t="shared" si="9"/>
        <v/>
      </c>
      <c r="S108" t="str">
        <f t="shared" si="10"/>
        <v/>
      </c>
    </row>
    <row r="109" spans="1:19">
      <c r="A109">
        <f t="shared" si="6"/>
        <v>108</v>
      </c>
      <c r="E109" s="3"/>
      <c r="L109" s="5"/>
      <c r="M109" s="5">
        <f t="shared" si="11"/>
        <v>0</v>
      </c>
      <c r="N109" s="5"/>
      <c r="O109" s="5" t="str">
        <f t="shared" si="7"/>
        <v/>
      </c>
      <c r="P109" t="str">
        <f>IF(OR(B109="",E109=""),"",IF(AND(E109&gt;=IFERROR(INDEX(REFERENTIEL_BUDGET!$C$2:$C$101,MATCH(B109,REFERENTIEL_BUDGET!$A$2:$A$101,0)),""),E109&lt;=IFERROR(INDEX(REFERENTIEL_BUDGET!$D$2:$D$101,MATCH(B109,REFERENTIEL_BUDGET!$A$2:$A$101,0)),"")),"Oui","Non"))</f>
        <v/>
      </c>
      <c r="Q109" t="str">
        <f t="shared" si="8"/>
        <v/>
      </c>
      <c r="R109" t="str">
        <f t="shared" si="9"/>
        <v/>
      </c>
      <c r="S109" t="str">
        <f t="shared" si="10"/>
        <v/>
      </c>
    </row>
    <row r="110" spans="1:19">
      <c r="A110">
        <f t="shared" si="6"/>
        <v>109</v>
      </c>
      <c r="E110" s="3"/>
      <c r="L110" s="5"/>
      <c r="M110" s="5">
        <f t="shared" si="11"/>
        <v>0</v>
      </c>
      <c r="N110" s="5"/>
      <c r="O110" s="5" t="str">
        <f t="shared" si="7"/>
        <v/>
      </c>
      <c r="P110" t="str">
        <f>IF(OR(B110="",E110=""),"",IF(AND(E110&gt;=IFERROR(INDEX(REFERENTIEL_BUDGET!$C$2:$C$101,MATCH(B110,REFERENTIEL_BUDGET!$A$2:$A$101,0)),""),E110&lt;=IFERROR(INDEX(REFERENTIEL_BUDGET!$D$2:$D$101,MATCH(B110,REFERENTIEL_BUDGET!$A$2:$A$101,0)),"")),"Oui","Non"))</f>
        <v/>
      </c>
      <c r="Q110" t="str">
        <f t="shared" si="8"/>
        <v/>
      </c>
      <c r="R110" t="str">
        <f t="shared" si="9"/>
        <v/>
      </c>
      <c r="S110" t="str">
        <f t="shared" si="10"/>
        <v/>
      </c>
    </row>
    <row r="111" spans="1:19">
      <c r="A111">
        <f t="shared" si="6"/>
        <v>110</v>
      </c>
      <c r="E111" s="3"/>
      <c r="L111" s="5"/>
      <c r="M111" s="5">
        <f t="shared" si="11"/>
        <v>0</v>
      </c>
      <c r="N111" s="5"/>
      <c r="O111" s="5" t="str">
        <f t="shared" si="7"/>
        <v/>
      </c>
      <c r="P111" t="str">
        <f>IF(OR(B111="",E111=""),"",IF(AND(E111&gt;=IFERROR(INDEX(REFERENTIEL_BUDGET!$C$2:$C$101,MATCH(B111,REFERENTIEL_BUDGET!$A$2:$A$101,0)),""),E111&lt;=IFERROR(INDEX(REFERENTIEL_BUDGET!$D$2:$D$101,MATCH(B111,REFERENTIEL_BUDGET!$A$2:$A$101,0)),"")),"Oui","Non"))</f>
        <v/>
      </c>
      <c r="Q111" t="str">
        <f t="shared" si="8"/>
        <v/>
      </c>
      <c r="R111" t="str">
        <f t="shared" si="9"/>
        <v/>
      </c>
      <c r="S111" t="str">
        <f t="shared" si="10"/>
        <v/>
      </c>
    </row>
    <row r="112" spans="1:19">
      <c r="A112">
        <f t="shared" si="6"/>
        <v>111</v>
      </c>
      <c r="E112" s="3"/>
      <c r="L112" s="5"/>
      <c r="M112" s="5">
        <f t="shared" si="11"/>
        <v>0</v>
      </c>
      <c r="N112" s="5"/>
      <c r="O112" s="5" t="str">
        <f t="shared" si="7"/>
        <v/>
      </c>
      <c r="P112" t="str">
        <f>IF(OR(B112="",E112=""),"",IF(AND(E112&gt;=IFERROR(INDEX(REFERENTIEL_BUDGET!$C$2:$C$101,MATCH(B112,REFERENTIEL_BUDGET!$A$2:$A$101,0)),""),E112&lt;=IFERROR(INDEX(REFERENTIEL_BUDGET!$D$2:$D$101,MATCH(B112,REFERENTIEL_BUDGET!$A$2:$A$101,0)),"")),"Oui","Non"))</f>
        <v/>
      </c>
      <c r="Q112" t="str">
        <f t="shared" si="8"/>
        <v/>
      </c>
      <c r="R112" t="str">
        <f t="shared" si="9"/>
        <v/>
      </c>
      <c r="S112" t="str">
        <f t="shared" si="10"/>
        <v/>
      </c>
    </row>
    <row r="113" spans="1:19">
      <c r="A113">
        <f t="shared" si="6"/>
        <v>112</v>
      </c>
      <c r="E113" s="3"/>
      <c r="L113" s="5"/>
      <c r="M113" s="5">
        <f t="shared" si="11"/>
        <v>0</v>
      </c>
      <c r="N113" s="5"/>
      <c r="O113" s="5" t="str">
        <f t="shared" si="7"/>
        <v/>
      </c>
      <c r="P113" t="str">
        <f>IF(OR(B113="",E113=""),"",IF(AND(E113&gt;=IFERROR(INDEX(REFERENTIEL_BUDGET!$C$2:$C$101,MATCH(B113,REFERENTIEL_BUDGET!$A$2:$A$101,0)),""),E113&lt;=IFERROR(INDEX(REFERENTIEL_BUDGET!$D$2:$D$101,MATCH(B113,REFERENTIEL_BUDGET!$A$2:$A$101,0)),"")),"Oui","Non"))</f>
        <v/>
      </c>
      <c r="Q113" t="str">
        <f t="shared" si="8"/>
        <v/>
      </c>
      <c r="R113" t="str">
        <f t="shared" si="9"/>
        <v/>
      </c>
      <c r="S113" t="str">
        <f t="shared" si="10"/>
        <v/>
      </c>
    </row>
    <row r="114" spans="1:19">
      <c r="A114">
        <f t="shared" si="6"/>
        <v>113</v>
      </c>
      <c r="E114" s="3"/>
      <c r="L114" s="5"/>
      <c r="M114" s="5">
        <f t="shared" si="11"/>
        <v>0</v>
      </c>
      <c r="N114" s="5"/>
      <c r="O114" s="5" t="str">
        <f t="shared" si="7"/>
        <v/>
      </c>
      <c r="P114" t="str">
        <f>IF(OR(B114="",E114=""),"",IF(AND(E114&gt;=IFERROR(INDEX(REFERENTIEL_BUDGET!$C$2:$C$101,MATCH(B114,REFERENTIEL_BUDGET!$A$2:$A$101,0)),""),E114&lt;=IFERROR(INDEX(REFERENTIEL_BUDGET!$D$2:$D$101,MATCH(B114,REFERENTIEL_BUDGET!$A$2:$A$101,0)),"")),"Oui","Non"))</f>
        <v/>
      </c>
      <c r="Q114" t="str">
        <f t="shared" si="8"/>
        <v/>
      </c>
      <c r="R114" t="str">
        <f t="shared" si="9"/>
        <v/>
      </c>
      <c r="S114" t="str">
        <f t="shared" si="10"/>
        <v/>
      </c>
    </row>
    <row r="115" spans="1:19">
      <c r="A115">
        <f t="shared" si="6"/>
        <v>114</v>
      </c>
      <c r="E115" s="3"/>
      <c r="L115" s="5"/>
      <c r="M115" s="5">
        <f t="shared" si="11"/>
        <v>0</v>
      </c>
      <c r="N115" s="5"/>
      <c r="O115" s="5" t="str">
        <f t="shared" si="7"/>
        <v/>
      </c>
      <c r="P115" t="str">
        <f>IF(OR(B115="",E115=""),"",IF(AND(E115&gt;=IFERROR(INDEX(REFERENTIEL_BUDGET!$C$2:$C$101,MATCH(B115,REFERENTIEL_BUDGET!$A$2:$A$101,0)),""),E115&lt;=IFERROR(INDEX(REFERENTIEL_BUDGET!$D$2:$D$101,MATCH(B115,REFERENTIEL_BUDGET!$A$2:$A$101,0)),"")),"Oui","Non"))</f>
        <v/>
      </c>
      <c r="Q115" t="str">
        <f t="shared" si="8"/>
        <v/>
      </c>
      <c r="R115" t="str">
        <f t="shared" si="9"/>
        <v/>
      </c>
      <c r="S115" t="str">
        <f t="shared" si="10"/>
        <v/>
      </c>
    </row>
    <row r="116" spans="1:19">
      <c r="A116">
        <f t="shared" si="6"/>
        <v>115</v>
      </c>
      <c r="E116" s="3"/>
      <c r="L116" s="5"/>
      <c r="M116" s="5">
        <f t="shared" si="11"/>
        <v>0</v>
      </c>
      <c r="N116" s="5"/>
      <c r="O116" s="5" t="str">
        <f t="shared" si="7"/>
        <v/>
      </c>
      <c r="P116" t="str">
        <f>IF(OR(B116="",E116=""),"",IF(AND(E116&gt;=IFERROR(INDEX(REFERENTIEL_BUDGET!$C$2:$C$101,MATCH(B116,REFERENTIEL_BUDGET!$A$2:$A$101,0)),""),E116&lt;=IFERROR(INDEX(REFERENTIEL_BUDGET!$D$2:$D$101,MATCH(B116,REFERENTIEL_BUDGET!$A$2:$A$101,0)),"")),"Oui","Non"))</f>
        <v/>
      </c>
      <c r="Q116" t="str">
        <f t="shared" si="8"/>
        <v/>
      </c>
      <c r="R116" t="str">
        <f t="shared" si="9"/>
        <v/>
      </c>
      <c r="S116" t="str">
        <f t="shared" si="10"/>
        <v/>
      </c>
    </row>
    <row r="117" spans="1:19">
      <c r="A117">
        <f t="shared" si="6"/>
        <v>116</v>
      </c>
      <c r="E117" s="3"/>
      <c r="L117" s="5"/>
      <c r="M117" s="5">
        <f t="shared" si="11"/>
        <v>0</v>
      </c>
      <c r="N117" s="5"/>
      <c r="O117" s="5" t="str">
        <f t="shared" si="7"/>
        <v/>
      </c>
      <c r="P117" t="str">
        <f>IF(OR(B117="",E117=""),"",IF(AND(E117&gt;=IFERROR(INDEX(REFERENTIEL_BUDGET!$C$2:$C$101,MATCH(B117,REFERENTIEL_BUDGET!$A$2:$A$101,0)),""),E117&lt;=IFERROR(INDEX(REFERENTIEL_BUDGET!$D$2:$D$101,MATCH(B117,REFERENTIEL_BUDGET!$A$2:$A$101,0)),"")),"Oui","Non"))</f>
        <v/>
      </c>
      <c r="Q117" t="str">
        <f t="shared" si="8"/>
        <v/>
      </c>
      <c r="R117" t="str">
        <f t="shared" si="9"/>
        <v/>
      </c>
      <c r="S117" t="str">
        <f t="shared" si="10"/>
        <v/>
      </c>
    </row>
    <row r="118" spans="1:19">
      <c r="A118">
        <f t="shared" si="6"/>
        <v>117</v>
      </c>
      <c r="E118" s="3"/>
      <c r="L118" s="5"/>
      <c r="M118" s="5">
        <f t="shared" si="11"/>
        <v>0</v>
      </c>
      <c r="N118" s="5"/>
      <c r="O118" s="5" t="str">
        <f t="shared" si="7"/>
        <v/>
      </c>
      <c r="P118" t="str">
        <f>IF(OR(B118="",E118=""),"",IF(AND(E118&gt;=IFERROR(INDEX(REFERENTIEL_BUDGET!$C$2:$C$101,MATCH(B118,REFERENTIEL_BUDGET!$A$2:$A$101,0)),""),E118&lt;=IFERROR(INDEX(REFERENTIEL_BUDGET!$D$2:$D$101,MATCH(B118,REFERENTIEL_BUDGET!$A$2:$A$101,0)),"")),"Oui","Non"))</f>
        <v/>
      </c>
      <c r="Q118" t="str">
        <f t="shared" si="8"/>
        <v/>
      </c>
      <c r="R118" t="str">
        <f t="shared" si="9"/>
        <v/>
      </c>
      <c r="S118" t="str">
        <f t="shared" si="10"/>
        <v/>
      </c>
    </row>
    <row r="119" spans="1:19">
      <c r="A119">
        <f t="shared" si="6"/>
        <v>118</v>
      </c>
      <c r="E119" s="3"/>
      <c r="L119" s="5"/>
      <c r="M119" s="5">
        <f t="shared" si="11"/>
        <v>0</v>
      </c>
      <c r="N119" s="5"/>
      <c r="O119" s="5" t="str">
        <f t="shared" si="7"/>
        <v/>
      </c>
      <c r="P119" t="str">
        <f>IF(OR(B119="",E119=""),"",IF(AND(E119&gt;=IFERROR(INDEX(REFERENTIEL_BUDGET!$C$2:$C$101,MATCH(B119,REFERENTIEL_BUDGET!$A$2:$A$101,0)),""),E119&lt;=IFERROR(INDEX(REFERENTIEL_BUDGET!$D$2:$D$101,MATCH(B119,REFERENTIEL_BUDGET!$A$2:$A$101,0)),"")),"Oui","Non"))</f>
        <v/>
      </c>
      <c r="Q119" t="str">
        <f t="shared" si="8"/>
        <v/>
      </c>
      <c r="R119" t="str">
        <f t="shared" si="9"/>
        <v/>
      </c>
      <c r="S119" t="str">
        <f t="shared" si="10"/>
        <v/>
      </c>
    </row>
    <row r="120" spans="1:19">
      <c r="A120">
        <f t="shared" si="6"/>
        <v>119</v>
      </c>
      <c r="E120" s="3"/>
      <c r="L120" s="5"/>
      <c r="M120" s="5">
        <f t="shared" si="11"/>
        <v>0</v>
      </c>
      <c r="N120" s="5"/>
      <c r="O120" s="5" t="str">
        <f t="shared" si="7"/>
        <v/>
      </c>
      <c r="P120" t="str">
        <f>IF(OR(B120="",E120=""),"",IF(AND(E120&gt;=IFERROR(INDEX(REFERENTIEL_BUDGET!$C$2:$C$101,MATCH(B120,REFERENTIEL_BUDGET!$A$2:$A$101,0)),""),E120&lt;=IFERROR(INDEX(REFERENTIEL_BUDGET!$D$2:$D$101,MATCH(B120,REFERENTIEL_BUDGET!$A$2:$A$101,0)),"")),"Oui","Non"))</f>
        <v/>
      </c>
      <c r="Q120" t="str">
        <f t="shared" si="8"/>
        <v/>
      </c>
      <c r="R120" t="str">
        <f t="shared" si="9"/>
        <v/>
      </c>
      <c r="S120" t="str">
        <f t="shared" si="10"/>
        <v/>
      </c>
    </row>
    <row r="121" spans="1:19">
      <c r="A121">
        <f t="shared" si="6"/>
        <v>120</v>
      </c>
      <c r="E121" s="3"/>
      <c r="L121" s="5"/>
      <c r="M121" s="5">
        <f t="shared" si="11"/>
        <v>0</v>
      </c>
      <c r="N121" s="5"/>
      <c r="O121" s="5" t="str">
        <f t="shared" si="7"/>
        <v/>
      </c>
      <c r="P121" t="str">
        <f>IF(OR(B121="",E121=""),"",IF(AND(E121&gt;=IFERROR(INDEX(REFERENTIEL_BUDGET!$C$2:$C$101,MATCH(B121,REFERENTIEL_BUDGET!$A$2:$A$101,0)),""),E121&lt;=IFERROR(INDEX(REFERENTIEL_BUDGET!$D$2:$D$101,MATCH(B121,REFERENTIEL_BUDGET!$A$2:$A$101,0)),"")),"Oui","Non"))</f>
        <v/>
      </c>
      <c r="Q121" t="str">
        <f t="shared" si="8"/>
        <v/>
      </c>
      <c r="R121" t="str">
        <f t="shared" si="9"/>
        <v/>
      </c>
      <c r="S121" t="str">
        <f t="shared" si="10"/>
        <v/>
      </c>
    </row>
    <row r="122" spans="1:19">
      <c r="A122">
        <f t="shared" si="6"/>
        <v>121</v>
      </c>
      <c r="E122" s="3"/>
      <c r="L122" s="5"/>
      <c r="M122" s="5">
        <f t="shared" si="11"/>
        <v>0</v>
      </c>
      <c r="N122" s="5"/>
      <c r="O122" s="5" t="str">
        <f t="shared" si="7"/>
        <v/>
      </c>
      <c r="P122" t="str">
        <f>IF(OR(B122="",E122=""),"",IF(AND(E122&gt;=IFERROR(INDEX(REFERENTIEL_BUDGET!$C$2:$C$101,MATCH(B122,REFERENTIEL_BUDGET!$A$2:$A$101,0)),""),E122&lt;=IFERROR(INDEX(REFERENTIEL_BUDGET!$D$2:$D$101,MATCH(B122,REFERENTIEL_BUDGET!$A$2:$A$101,0)),"")),"Oui","Non"))</f>
        <v/>
      </c>
      <c r="Q122" t="str">
        <f t="shared" si="8"/>
        <v/>
      </c>
      <c r="R122" t="str">
        <f t="shared" si="9"/>
        <v/>
      </c>
      <c r="S122" t="str">
        <f t="shared" si="10"/>
        <v/>
      </c>
    </row>
    <row r="123" spans="1:19">
      <c r="A123">
        <f t="shared" si="6"/>
        <v>122</v>
      </c>
      <c r="E123" s="3"/>
      <c r="L123" s="5"/>
      <c r="M123" s="5">
        <f t="shared" si="11"/>
        <v>0</v>
      </c>
      <c r="N123" s="5"/>
      <c r="O123" s="5" t="str">
        <f t="shared" si="7"/>
        <v/>
      </c>
      <c r="P123" t="str">
        <f>IF(OR(B123="",E123=""),"",IF(AND(E123&gt;=IFERROR(INDEX(REFERENTIEL_BUDGET!$C$2:$C$101,MATCH(B123,REFERENTIEL_BUDGET!$A$2:$A$101,0)),""),E123&lt;=IFERROR(INDEX(REFERENTIEL_BUDGET!$D$2:$D$101,MATCH(B123,REFERENTIEL_BUDGET!$A$2:$A$101,0)),"")),"Oui","Non"))</f>
        <v/>
      </c>
      <c r="Q123" t="str">
        <f t="shared" si="8"/>
        <v/>
      </c>
      <c r="R123" t="str">
        <f t="shared" si="9"/>
        <v/>
      </c>
      <c r="S123" t="str">
        <f t="shared" si="10"/>
        <v/>
      </c>
    </row>
    <row r="124" spans="1:19">
      <c r="A124">
        <f t="shared" si="6"/>
        <v>123</v>
      </c>
      <c r="E124" s="3"/>
      <c r="L124" s="5"/>
      <c r="M124" s="5">
        <f t="shared" si="11"/>
        <v>0</v>
      </c>
      <c r="N124" s="5"/>
      <c r="O124" s="5" t="str">
        <f t="shared" si="7"/>
        <v/>
      </c>
      <c r="P124" t="str">
        <f>IF(OR(B124="",E124=""),"",IF(AND(E124&gt;=IFERROR(INDEX(REFERENTIEL_BUDGET!$C$2:$C$101,MATCH(B124,REFERENTIEL_BUDGET!$A$2:$A$101,0)),""),E124&lt;=IFERROR(INDEX(REFERENTIEL_BUDGET!$D$2:$D$101,MATCH(B124,REFERENTIEL_BUDGET!$A$2:$A$101,0)),"")),"Oui","Non"))</f>
        <v/>
      </c>
      <c r="Q124" t="str">
        <f t="shared" si="8"/>
        <v/>
      </c>
      <c r="R124" t="str">
        <f t="shared" si="9"/>
        <v/>
      </c>
      <c r="S124" t="str">
        <f t="shared" si="10"/>
        <v/>
      </c>
    </row>
    <row r="125" spans="1:19">
      <c r="A125">
        <f t="shared" si="6"/>
        <v>124</v>
      </c>
      <c r="E125" s="3"/>
      <c r="L125" s="5"/>
      <c r="M125" s="5">
        <f t="shared" si="11"/>
        <v>0</v>
      </c>
      <c r="N125" s="5"/>
      <c r="O125" s="5" t="str">
        <f t="shared" si="7"/>
        <v/>
      </c>
      <c r="P125" t="str">
        <f>IF(OR(B125="",E125=""),"",IF(AND(E125&gt;=IFERROR(INDEX(REFERENTIEL_BUDGET!$C$2:$C$101,MATCH(B125,REFERENTIEL_BUDGET!$A$2:$A$101,0)),""),E125&lt;=IFERROR(INDEX(REFERENTIEL_BUDGET!$D$2:$D$101,MATCH(B125,REFERENTIEL_BUDGET!$A$2:$A$101,0)),"")),"Oui","Non"))</f>
        <v/>
      </c>
      <c r="Q125" t="str">
        <f t="shared" si="8"/>
        <v/>
      </c>
      <c r="R125" t="str">
        <f t="shared" si="9"/>
        <v/>
      </c>
      <c r="S125" t="str">
        <f t="shared" si="10"/>
        <v/>
      </c>
    </row>
    <row r="126" spans="1:19">
      <c r="A126">
        <f t="shared" si="6"/>
        <v>125</v>
      </c>
      <c r="E126" s="3"/>
      <c r="L126" s="5"/>
      <c r="M126" s="5">
        <f t="shared" si="11"/>
        <v>0</v>
      </c>
      <c r="N126" s="5"/>
      <c r="O126" s="5" t="str">
        <f t="shared" si="7"/>
        <v/>
      </c>
      <c r="P126" t="str">
        <f>IF(OR(B126="",E126=""),"",IF(AND(E126&gt;=IFERROR(INDEX(REFERENTIEL_BUDGET!$C$2:$C$101,MATCH(B126,REFERENTIEL_BUDGET!$A$2:$A$101,0)),""),E126&lt;=IFERROR(INDEX(REFERENTIEL_BUDGET!$D$2:$D$101,MATCH(B126,REFERENTIEL_BUDGET!$A$2:$A$101,0)),"")),"Oui","Non"))</f>
        <v/>
      </c>
      <c r="Q126" t="str">
        <f t="shared" si="8"/>
        <v/>
      </c>
      <c r="R126" t="str">
        <f t="shared" si="9"/>
        <v/>
      </c>
      <c r="S126" t="str">
        <f t="shared" si="10"/>
        <v/>
      </c>
    </row>
    <row r="127" spans="1:19">
      <c r="A127">
        <f t="shared" si="6"/>
        <v>126</v>
      </c>
      <c r="E127" s="3"/>
      <c r="L127" s="5"/>
      <c r="M127" s="5">
        <f t="shared" si="11"/>
        <v>0</v>
      </c>
      <c r="N127" s="5"/>
      <c r="O127" s="5" t="str">
        <f t="shared" si="7"/>
        <v/>
      </c>
      <c r="P127" t="str">
        <f>IF(OR(B127="",E127=""),"",IF(AND(E127&gt;=IFERROR(INDEX(REFERENTIEL_BUDGET!$C$2:$C$101,MATCH(B127,REFERENTIEL_BUDGET!$A$2:$A$101,0)),""),E127&lt;=IFERROR(INDEX(REFERENTIEL_BUDGET!$D$2:$D$101,MATCH(B127,REFERENTIEL_BUDGET!$A$2:$A$101,0)),"")),"Oui","Non"))</f>
        <v/>
      </c>
      <c r="Q127" t="str">
        <f t="shared" si="8"/>
        <v/>
      </c>
      <c r="R127" t="str">
        <f t="shared" si="9"/>
        <v/>
      </c>
      <c r="S127" t="str">
        <f t="shared" si="10"/>
        <v/>
      </c>
    </row>
    <row r="128" spans="1:19">
      <c r="A128">
        <f t="shared" si="6"/>
        <v>127</v>
      </c>
      <c r="E128" s="3"/>
      <c r="L128" s="5"/>
      <c r="M128" s="5">
        <f t="shared" si="11"/>
        <v>0</v>
      </c>
      <c r="N128" s="5"/>
      <c r="O128" s="5" t="str">
        <f t="shared" si="7"/>
        <v/>
      </c>
      <c r="P128" t="str">
        <f>IF(OR(B128="",E128=""),"",IF(AND(E128&gt;=IFERROR(INDEX(REFERENTIEL_BUDGET!$C$2:$C$101,MATCH(B128,REFERENTIEL_BUDGET!$A$2:$A$101,0)),""),E128&lt;=IFERROR(INDEX(REFERENTIEL_BUDGET!$D$2:$D$101,MATCH(B128,REFERENTIEL_BUDGET!$A$2:$A$101,0)),"")),"Oui","Non"))</f>
        <v/>
      </c>
      <c r="Q128" t="str">
        <f t="shared" si="8"/>
        <v/>
      </c>
      <c r="R128" t="str">
        <f t="shared" si="9"/>
        <v/>
      </c>
      <c r="S128" t="str">
        <f t="shared" si="10"/>
        <v/>
      </c>
    </row>
    <row r="129" spans="1:19">
      <c r="A129">
        <f t="shared" si="6"/>
        <v>128</v>
      </c>
      <c r="E129" s="3"/>
      <c r="L129" s="5"/>
      <c r="M129" s="5">
        <f t="shared" si="11"/>
        <v>0</v>
      </c>
      <c r="N129" s="5"/>
      <c r="O129" s="5" t="str">
        <f t="shared" si="7"/>
        <v/>
      </c>
      <c r="P129" t="str">
        <f>IF(OR(B129="",E129=""),"",IF(AND(E129&gt;=IFERROR(INDEX(REFERENTIEL_BUDGET!$C$2:$C$101,MATCH(B129,REFERENTIEL_BUDGET!$A$2:$A$101,0)),""),E129&lt;=IFERROR(INDEX(REFERENTIEL_BUDGET!$D$2:$D$101,MATCH(B129,REFERENTIEL_BUDGET!$A$2:$A$101,0)),"")),"Oui","Non"))</f>
        <v/>
      </c>
      <c r="Q129" t="str">
        <f t="shared" si="8"/>
        <v/>
      </c>
      <c r="R129" t="str">
        <f t="shared" si="9"/>
        <v/>
      </c>
      <c r="S129" t="str">
        <f t="shared" si="10"/>
        <v/>
      </c>
    </row>
    <row r="130" spans="1:19">
      <c r="A130">
        <f t="shared" ref="A130:A193" si="12">ROW()-1</f>
        <v>129</v>
      </c>
      <c r="E130" s="3"/>
      <c r="L130" s="5"/>
      <c r="M130" s="5">
        <f t="shared" si="11"/>
        <v>0</v>
      </c>
      <c r="N130" s="5"/>
      <c r="O130" s="5" t="str">
        <f t="shared" ref="O130:O193" si="13">IF(OR(M130="",N130=""),"",N130-M130)</f>
        <v/>
      </c>
      <c r="P130" t="str">
        <f>IF(OR(B130="",E130=""),"",IF(AND(E130&gt;=IFERROR(INDEX(REFERENTIEL_BUDGET!$C$2:$C$101,MATCH(B130,REFERENTIEL_BUDGET!$A$2:$A$101,0)),""),E130&lt;=IFERROR(INDEX(REFERENTIEL_BUDGET!$D$2:$D$101,MATCH(B130,REFERENTIEL_BUDGET!$A$2:$A$101,0)),"")),"Oui","Non"))</f>
        <v/>
      </c>
      <c r="Q130" t="str">
        <f t="shared" ref="Q130:Q193" si="14">IF(J130="","",IF(AND(J130="Présent",K130&lt;&gt;""),"Oui",IF(J130="Absent","Non","À vérifier")))</f>
        <v/>
      </c>
      <c r="R130" t="str">
        <f t="shared" ref="R130:R193" si="15">IF(OR(M130="",N130=""),"",IF(O130=0,"Oui","Non"))</f>
        <v/>
      </c>
      <c r="S130" t="str">
        <f t="shared" ref="S130:S193" si="16">IF(B130="","",IF(P130="Non","DATE HORS PÉRIODE",IF(Q130="Non","PAIEMENT SANS PRÉSENCE",IF(Q130="À vérifier","PRÉSENCE À VÉRIFIER",IF(R130="Non","MONTANT NON CONFORME","CONFORME")))))</f>
        <v/>
      </c>
    </row>
    <row r="131" spans="1:19">
      <c r="A131">
        <f t="shared" si="12"/>
        <v>130</v>
      </c>
      <c r="E131" s="3"/>
      <c r="L131" s="5"/>
      <c r="M131" s="5">
        <f t="shared" ref="M131:M194" si="17">+COUNTIF(F131:J131,"Présent")*L131</f>
        <v>0</v>
      </c>
      <c r="N131" s="5"/>
      <c r="O131" s="5" t="str">
        <f t="shared" si="13"/>
        <v/>
      </c>
      <c r="P131" t="str">
        <f>IF(OR(B131="",E131=""),"",IF(AND(E131&gt;=IFERROR(INDEX(REFERENTIEL_BUDGET!$C$2:$C$101,MATCH(B131,REFERENTIEL_BUDGET!$A$2:$A$101,0)),""),E131&lt;=IFERROR(INDEX(REFERENTIEL_BUDGET!$D$2:$D$101,MATCH(B131,REFERENTIEL_BUDGET!$A$2:$A$101,0)),"")),"Oui","Non"))</f>
        <v/>
      </c>
      <c r="Q131" t="str">
        <f t="shared" si="14"/>
        <v/>
      </c>
      <c r="R131" t="str">
        <f t="shared" si="15"/>
        <v/>
      </c>
      <c r="S131" t="str">
        <f t="shared" si="16"/>
        <v/>
      </c>
    </row>
    <row r="132" spans="1:19">
      <c r="A132">
        <f t="shared" si="12"/>
        <v>131</v>
      </c>
      <c r="E132" s="3"/>
      <c r="L132" s="5"/>
      <c r="M132" s="5">
        <f t="shared" si="17"/>
        <v>0</v>
      </c>
      <c r="N132" s="5"/>
      <c r="O132" s="5" t="str">
        <f t="shared" si="13"/>
        <v/>
      </c>
      <c r="P132" t="str">
        <f>IF(OR(B132="",E132=""),"",IF(AND(E132&gt;=IFERROR(INDEX(REFERENTIEL_BUDGET!$C$2:$C$101,MATCH(B132,REFERENTIEL_BUDGET!$A$2:$A$101,0)),""),E132&lt;=IFERROR(INDEX(REFERENTIEL_BUDGET!$D$2:$D$101,MATCH(B132,REFERENTIEL_BUDGET!$A$2:$A$101,0)),"")),"Oui","Non"))</f>
        <v/>
      </c>
      <c r="Q132" t="str">
        <f t="shared" si="14"/>
        <v/>
      </c>
      <c r="R132" t="str">
        <f t="shared" si="15"/>
        <v/>
      </c>
      <c r="S132" t="str">
        <f t="shared" si="16"/>
        <v/>
      </c>
    </row>
    <row r="133" spans="1:19">
      <c r="A133">
        <f t="shared" si="12"/>
        <v>132</v>
      </c>
      <c r="E133" s="3"/>
      <c r="L133" s="5"/>
      <c r="M133" s="5">
        <f t="shared" si="17"/>
        <v>0</v>
      </c>
      <c r="N133" s="5"/>
      <c r="O133" s="5" t="str">
        <f t="shared" si="13"/>
        <v/>
      </c>
      <c r="P133" t="str">
        <f>IF(OR(B133="",E133=""),"",IF(AND(E133&gt;=IFERROR(INDEX(REFERENTIEL_BUDGET!$C$2:$C$101,MATCH(B133,REFERENTIEL_BUDGET!$A$2:$A$101,0)),""),E133&lt;=IFERROR(INDEX(REFERENTIEL_BUDGET!$D$2:$D$101,MATCH(B133,REFERENTIEL_BUDGET!$A$2:$A$101,0)),"")),"Oui","Non"))</f>
        <v/>
      </c>
      <c r="Q133" t="str">
        <f t="shared" si="14"/>
        <v/>
      </c>
      <c r="R133" t="str">
        <f t="shared" si="15"/>
        <v/>
      </c>
      <c r="S133" t="str">
        <f t="shared" si="16"/>
        <v/>
      </c>
    </row>
    <row r="134" spans="1:19">
      <c r="A134">
        <f t="shared" si="12"/>
        <v>133</v>
      </c>
      <c r="E134" s="3"/>
      <c r="L134" s="5"/>
      <c r="M134" s="5">
        <f t="shared" si="17"/>
        <v>0</v>
      </c>
      <c r="N134" s="5"/>
      <c r="O134" s="5" t="str">
        <f t="shared" si="13"/>
        <v/>
      </c>
      <c r="P134" t="str">
        <f>IF(OR(B134="",E134=""),"",IF(AND(E134&gt;=IFERROR(INDEX(REFERENTIEL_BUDGET!$C$2:$C$101,MATCH(B134,REFERENTIEL_BUDGET!$A$2:$A$101,0)),""),E134&lt;=IFERROR(INDEX(REFERENTIEL_BUDGET!$D$2:$D$101,MATCH(B134,REFERENTIEL_BUDGET!$A$2:$A$101,0)),"")),"Oui","Non"))</f>
        <v/>
      </c>
      <c r="Q134" t="str">
        <f t="shared" si="14"/>
        <v/>
      </c>
      <c r="R134" t="str">
        <f t="shared" si="15"/>
        <v/>
      </c>
      <c r="S134" t="str">
        <f t="shared" si="16"/>
        <v/>
      </c>
    </row>
    <row r="135" spans="1:19">
      <c r="A135">
        <f t="shared" si="12"/>
        <v>134</v>
      </c>
      <c r="E135" s="3"/>
      <c r="L135" s="5"/>
      <c r="M135" s="5">
        <f t="shared" si="17"/>
        <v>0</v>
      </c>
      <c r="N135" s="5"/>
      <c r="O135" s="5" t="str">
        <f t="shared" si="13"/>
        <v/>
      </c>
      <c r="P135" t="str">
        <f>IF(OR(B135="",E135=""),"",IF(AND(E135&gt;=IFERROR(INDEX(REFERENTIEL_BUDGET!$C$2:$C$101,MATCH(B135,REFERENTIEL_BUDGET!$A$2:$A$101,0)),""),E135&lt;=IFERROR(INDEX(REFERENTIEL_BUDGET!$D$2:$D$101,MATCH(B135,REFERENTIEL_BUDGET!$A$2:$A$101,0)),"")),"Oui","Non"))</f>
        <v/>
      </c>
      <c r="Q135" t="str">
        <f t="shared" si="14"/>
        <v/>
      </c>
      <c r="R135" t="str">
        <f t="shared" si="15"/>
        <v/>
      </c>
      <c r="S135" t="str">
        <f t="shared" si="16"/>
        <v/>
      </c>
    </row>
    <row r="136" spans="1:19">
      <c r="A136">
        <f t="shared" si="12"/>
        <v>135</v>
      </c>
      <c r="E136" s="3"/>
      <c r="L136" s="5"/>
      <c r="M136" s="5">
        <f t="shared" si="17"/>
        <v>0</v>
      </c>
      <c r="N136" s="5"/>
      <c r="O136" s="5" t="str">
        <f t="shared" si="13"/>
        <v/>
      </c>
      <c r="P136" t="str">
        <f>IF(OR(B136="",E136=""),"",IF(AND(E136&gt;=IFERROR(INDEX(REFERENTIEL_BUDGET!$C$2:$C$101,MATCH(B136,REFERENTIEL_BUDGET!$A$2:$A$101,0)),""),E136&lt;=IFERROR(INDEX(REFERENTIEL_BUDGET!$D$2:$D$101,MATCH(B136,REFERENTIEL_BUDGET!$A$2:$A$101,0)),"")),"Oui","Non"))</f>
        <v/>
      </c>
      <c r="Q136" t="str">
        <f t="shared" si="14"/>
        <v/>
      </c>
      <c r="R136" t="str">
        <f t="shared" si="15"/>
        <v/>
      </c>
      <c r="S136" t="str">
        <f t="shared" si="16"/>
        <v/>
      </c>
    </row>
    <row r="137" spans="1:19">
      <c r="A137">
        <f t="shared" si="12"/>
        <v>136</v>
      </c>
      <c r="E137" s="3"/>
      <c r="L137" s="5"/>
      <c r="M137" s="5">
        <f t="shared" si="17"/>
        <v>0</v>
      </c>
      <c r="N137" s="5"/>
      <c r="O137" s="5" t="str">
        <f t="shared" si="13"/>
        <v/>
      </c>
      <c r="P137" t="str">
        <f>IF(OR(B137="",E137=""),"",IF(AND(E137&gt;=IFERROR(INDEX(REFERENTIEL_BUDGET!$C$2:$C$101,MATCH(B137,REFERENTIEL_BUDGET!$A$2:$A$101,0)),""),E137&lt;=IFERROR(INDEX(REFERENTIEL_BUDGET!$D$2:$D$101,MATCH(B137,REFERENTIEL_BUDGET!$A$2:$A$101,0)),"")),"Oui","Non"))</f>
        <v/>
      </c>
      <c r="Q137" t="str">
        <f t="shared" si="14"/>
        <v/>
      </c>
      <c r="R137" t="str">
        <f t="shared" si="15"/>
        <v/>
      </c>
      <c r="S137" t="str">
        <f t="shared" si="16"/>
        <v/>
      </c>
    </row>
    <row r="138" spans="1:19">
      <c r="A138">
        <f t="shared" si="12"/>
        <v>137</v>
      </c>
      <c r="E138" s="3"/>
      <c r="L138" s="5"/>
      <c r="M138" s="5">
        <f t="shared" si="17"/>
        <v>0</v>
      </c>
      <c r="N138" s="5"/>
      <c r="O138" s="5" t="str">
        <f t="shared" si="13"/>
        <v/>
      </c>
      <c r="P138" t="str">
        <f>IF(OR(B138="",E138=""),"",IF(AND(E138&gt;=IFERROR(INDEX(REFERENTIEL_BUDGET!$C$2:$C$101,MATCH(B138,REFERENTIEL_BUDGET!$A$2:$A$101,0)),""),E138&lt;=IFERROR(INDEX(REFERENTIEL_BUDGET!$D$2:$D$101,MATCH(B138,REFERENTIEL_BUDGET!$A$2:$A$101,0)),"")),"Oui","Non"))</f>
        <v/>
      </c>
      <c r="Q138" t="str">
        <f t="shared" si="14"/>
        <v/>
      </c>
      <c r="R138" t="str">
        <f t="shared" si="15"/>
        <v/>
      </c>
      <c r="S138" t="str">
        <f t="shared" si="16"/>
        <v/>
      </c>
    </row>
    <row r="139" spans="1:19">
      <c r="A139">
        <f t="shared" si="12"/>
        <v>138</v>
      </c>
      <c r="E139" s="3"/>
      <c r="L139" s="5"/>
      <c r="M139" s="5">
        <f t="shared" si="17"/>
        <v>0</v>
      </c>
      <c r="N139" s="5"/>
      <c r="O139" s="5" t="str">
        <f t="shared" si="13"/>
        <v/>
      </c>
      <c r="P139" t="str">
        <f>IF(OR(B139="",E139=""),"",IF(AND(E139&gt;=IFERROR(INDEX(REFERENTIEL_BUDGET!$C$2:$C$101,MATCH(B139,REFERENTIEL_BUDGET!$A$2:$A$101,0)),""),E139&lt;=IFERROR(INDEX(REFERENTIEL_BUDGET!$D$2:$D$101,MATCH(B139,REFERENTIEL_BUDGET!$A$2:$A$101,0)),"")),"Oui","Non"))</f>
        <v/>
      </c>
      <c r="Q139" t="str">
        <f t="shared" si="14"/>
        <v/>
      </c>
      <c r="R139" t="str">
        <f t="shared" si="15"/>
        <v/>
      </c>
      <c r="S139" t="str">
        <f t="shared" si="16"/>
        <v/>
      </c>
    </row>
    <row r="140" spans="1:19">
      <c r="A140">
        <f t="shared" si="12"/>
        <v>139</v>
      </c>
      <c r="E140" s="3"/>
      <c r="L140" s="5"/>
      <c r="M140" s="5">
        <f t="shared" si="17"/>
        <v>0</v>
      </c>
      <c r="N140" s="5"/>
      <c r="O140" s="5" t="str">
        <f t="shared" si="13"/>
        <v/>
      </c>
      <c r="P140" t="str">
        <f>IF(OR(B140="",E140=""),"",IF(AND(E140&gt;=IFERROR(INDEX(REFERENTIEL_BUDGET!$C$2:$C$101,MATCH(B140,REFERENTIEL_BUDGET!$A$2:$A$101,0)),""),E140&lt;=IFERROR(INDEX(REFERENTIEL_BUDGET!$D$2:$D$101,MATCH(B140,REFERENTIEL_BUDGET!$A$2:$A$101,0)),"")),"Oui","Non"))</f>
        <v/>
      </c>
      <c r="Q140" t="str">
        <f t="shared" si="14"/>
        <v/>
      </c>
      <c r="R140" t="str">
        <f t="shared" si="15"/>
        <v/>
      </c>
      <c r="S140" t="str">
        <f t="shared" si="16"/>
        <v/>
      </c>
    </row>
    <row r="141" spans="1:19">
      <c r="A141">
        <f t="shared" si="12"/>
        <v>140</v>
      </c>
      <c r="E141" s="3"/>
      <c r="L141" s="5"/>
      <c r="M141" s="5">
        <f t="shared" si="17"/>
        <v>0</v>
      </c>
      <c r="N141" s="5"/>
      <c r="O141" s="5" t="str">
        <f t="shared" si="13"/>
        <v/>
      </c>
      <c r="P141" t="str">
        <f>IF(OR(B141="",E141=""),"",IF(AND(E141&gt;=IFERROR(INDEX(REFERENTIEL_BUDGET!$C$2:$C$101,MATCH(B141,REFERENTIEL_BUDGET!$A$2:$A$101,0)),""),E141&lt;=IFERROR(INDEX(REFERENTIEL_BUDGET!$D$2:$D$101,MATCH(B141,REFERENTIEL_BUDGET!$A$2:$A$101,0)),"")),"Oui","Non"))</f>
        <v/>
      </c>
      <c r="Q141" t="str">
        <f t="shared" si="14"/>
        <v/>
      </c>
      <c r="R141" t="str">
        <f t="shared" si="15"/>
        <v/>
      </c>
      <c r="S141" t="str">
        <f t="shared" si="16"/>
        <v/>
      </c>
    </row>
    <row r="142" spans="1:19">
      <c r="A142">
        <f t="shared" si="12"/>
        <v>141</v>
      </c>
      <c r="E142" s="3"/>
      <c r="L142" s="5"/>
      <c r="M142" s="5">
        <f t="shared" si="17"/>
        <v>0</v>
      </c>
      <c r="N142" s="5"/>
      <c r="O142" s="5" t="str">
        <f t="shared" si="13"/>
        <v/>
      </c>
      <c r="P142" t="str">
        <f>IF(OR(B142="",E142=""),"",IF(AND(E142&gt;=IFERROR(INDEX(REFERENTIEL_BUDGET!$C$2:$C$101,MATCH(B142,REFERENTIEL_BUDGET!$A$2:$A$101,0)),""),E142&lt;=IFERROR(INDEX(REFERENTIEL_BUDGET!$D$2:$D$101,MATCH(B142,REFERENTIEL_BUDGET!$A$2:$A$101,0)),"")),"Oui","Non"))</f>
        <v/>
      </c>
      <c r="Q142" t="str">
        <f t="shared" si="14"/>
        <v/>
      </c>
      <c r="R142" t="str">
        <f t="shared" si="15"/>
        <v/>
      </c>
      <c r="S142" t="str">
        <f t="shared" si="16"/>
        <v/>
      </c>
    </row>
    <row r="143" spans="1:19">
      <c r="A143">
        <f t="shared" si="12"/>
        <v>142</v>
      </c>
      <c r="E143" s="3"/>
      <c r="L143" s="5"/>
      <c r="M143" s="5">
        <f t="shared" si="17"/>
        <v>0</v>
      </c>
      <c r="N143" s="5"/>
      <c r="O143" s="5" t="str">
        <f t="shared" si="13"/>
        <v/>
      </c>
      <c r="P143" t="str">
        <f>IF(OR(B143="",E143=""),"",IF(AND(E143&gt;=IFERROR(INDEX(REFERENTIEL_BUDGET!$C$2:$C$101,MATCH(B143,REFERENTIEL_BUDGET!$A$2:$A$101,0)),""),E143&lt;=IFERROR(INDEX(REFERENTIEL_BUDGET!$D$2:$D$101,MATCH(B143,REFERENTIEL_BUDGET!$A$2:$A$101,0)),"")),"Oui","Non"))</f>
        <v/>
      </c>
      <c r="Q143" t="str">
        <f t="shared" si="14"/>
        <v/>
      </c>
      <c r="R143" t="str">
        <f t="shared" si="15"/>
        <v/>
      </c>
      <c r="S143" t="str">
        <f t="shared" si="16"/>
        <v/>
      </c>
    </row>
    <row r="144" spans="1:19">
      <c r="A144">
        <f t="shared" si="12"/>
        <v>143</v>
      </c>
      <c r="E144" s="3"/>
      <c r="L144" s="5"/>
      <c r="M144" s="5">
        <f t="shared" si="17"/>
        <v>0</v>
      </c>
      <c r="N144" s="5"/>
      <c r="O144" s="5" t="str">
        <f t="shared" si="13"/>
        <v/>
      </c>
      <c r="P144" t="str">
        <f>IF(OR(B144="",E144=""),"",IF(AND(E144&gt;=IFERROR(INDEX(REFERENTIEL_BUDGET!$C$2:$C$101,MATCH(B144,REFERENTIEL_BUDGET!$A$2:$A$101,0)),""),E144&lt;=IFERROR(INDEX(REFERENTIEL_BUDGET!$D$2:$D$101,MATCH(B144,REFERENTIEL_BUDGET!$A$2:$A$101,0)),"")),"Oui","Non"))</f>
        <v/>
      </c>
      <c r="Q144" t="str">
        <f t="shared" si="14"/>
        <v/>
      </c>
      <c r="R144" t="str">
        <f t="shared" si="15"/>
        <v/>
      </c>
      <c r="S144" t="str">
        <f t="shared" si="16"/>
        <v/>
      </c>
    </row>
    <row r="145" spans="1:19">
      <c r="A145">
        <f t="shared" si="12"/>
        <v>144</v>
      </c>
      <c r="E145" s="3"/>
      <c r="L145" s="5"/>
      <c r="M145" s="5">
        <f t="shared" si="17"/>
        <v>0</v>
      </c>
      <c r="N145" s="5"/>
      <c r="O145" s="5" t="str">
        <f t="shared" si="13"/>
        <v/>
      </c>
      <c r="P145" t="str">
        <f>IF(OR(B145="",E145=""),"",IF(AND(E145&gt;=IFERROR(INDEX(REFERENTIEL_BUDGET!$C$2:$C$101,MATCH(B145,REFERENTIEL_BUDGET!$A$2:$A$101,0)),""),E145&lt;=IFERROR(INDEX(REFERENTIEL_BUDGET!$D$2:$D$101,MATCH(B145,REFERENTIEL_BUDGET!$A$2:$A$101,0)),"")),"Oui","Non"))</f>
        <v/>
      </c>
      <c r="Q145" t="str">
        <f t="shared" si="14"/>
        <v/>
      </c>
      <c r="R145" t="str">
        <f t="shared" si="15"/>
        <v/>
      </c>
      <c r="S145" t="str">
        <f t="shared" si="16"/>
        <v/>
      </c>
    </row>
    <row r="146" spans="1:19">
      <c r="A146">
        <f t="shared" si="12"/>
        <v>145</v>
      </c>
      <c r="E146" s="3"/>
      <c r="L146" s="5"/>
      <c r="M146" s="5">
        <f t="shared" si="17"/>
        <v>0</v>
      </c>
      <c r="N146" s="5"/>
      <c r="O146" s="5" t="str">
        <f t="shared" si="13"/>
        <v/>
      </c>
      <c r="P146" t="str">
        <f>IF(OR(B146="",E146=""),"",IF(AND(E146&gt;=IFERROR(INDEX(REFERENTIEL_BUDGET!$C$2:$C$101,MATCH(B146,REFERENTIEL_BUDGET!$A$2:$A$101,0)),""),E146&lt;=IFERROR(INDEX(REFERENTIEL_BUDGET!$D$2:$D$101,MATCH(B146,REFERENTIEL_BUDGET!$A$2:$A$101,0)),"")),"Oui","Non"))</f>
        <v/>
      </c>
      <c r="Q146" t="str">
        <f t="shared" si="14"/>
        <v/>
      </c>
      <c r="R146" t="str">
        <f t="shared" si="15"/>
        <v/>
      </c>
      <c r="S146" t="str">
        <f t="shared" si="16"/>
        <v/>
      </c>
    </row>
    <row r="147" spans="1:19">
      <c r="A147">
        <f t="shared" si="12"/>
        <v>146</v>
      </c>
      <c r="E147" s="3"/>
      <c r="L147" s="5"/>
      <c r="M147" s="5">
        <f t="shared" si="17"/>
        <v>0</v>
      </c>
      <c r="N147" s="5"/>
      <c r="O147" s="5" t="str">
        <f t="shared" si="13"/>
        <v/>
      </c>
      <c r="P147" t="str">
        <f>IF(OR(B147="",E147=""),"",IF(AND(E147&gt;=IFERROR(INDEX(REFERENTIEL_BUDGET!$C$2:$C$101,MATCH(B147,REFERENTIEL_BUDGET!$A$2:$A$101,0)),""),E147&lt;=IFERROR(INDEX(REFERENTIEL_BUDGET!$D$2:$D$101,MATCH(B147,REFERENTIEL_BUDGET!$A$2:$A$101,0)),"")),"Oui","Non"))</f>
        <v/>
      </c>
      <c r="Q147" t="str">
        <f t="shared" si="14"/>
        <v/>
      </c>
      <c r="R147" t="str">
        <f t="shared" si="15"/>
        <v/>
      </c>
      <c r="S147" t="str">
        <f t="shared" si="16"/>
        <v/>
      </c>
    </row>
    <row r="148" spans="1:19">
      <c r="A148">
        <f t="shared" si="12"/>
        <v>147</v>
      </c>
      <c r="E148" s="3"/>
      <c r="L148" s="5"/>
      <c r="M148" s="5">
        <f t="shared" si="17"/>
        <v>0</v>
      </c>
      <c r="N148" s="5"/>
      <c r="O148" s="5" t="str">
        <f t="shared" si="13"/>
        <v/>
      </c>
      <c r="P148" t="str">
        <f>IF(OR(B148="",E148=""),"",IF(AND(E148&gt;=IFERROR(INDEX(REFERENTIEL_BUDGET!$C$2:$C$101,MATCH(B148,REFERENTIEL_BUDGET!$A$2:$A$101,0)),""),E148&lt;=IFERROR(INDEX(REFERENTIEL_BUDGET!$D$2:$D$101,MATCH(B148,REFERENTIEL_BUDGET!$A$2:$A$101,0)),"")),"Oui","Non"))</f>
        <v/>
      </c>
      <c r="Q148" t="str">
        <f t="shared" si="14"/>
        <v/>
      </c>
      <c r="R148" t="str">
        <f t="shared" si="15"/>
        <v/>
      </c>
      <c r="S148" t="str">
        <f t="shared" si="16"/>
        <v/>
      </c>
    </row>
    <row r="149" spans="1:19">
      <c r="A149">
        <f t="shared" si="12"/>
        <v>148</v>
      </c>
      <c r="E149" s="3"/>
      <c r="L149" s="5"/>
      <c r="M149" s="5">
        <f t="shared" si="17"/>
        <v>0</v>
      </c>
      <c r="N149" s="5"/>
      <c r="O149" s="5" t="str">
        <f t="shared" si="13"/>
        <v/>
      </c>
      <c r="P149" t="str">
        <f>IF(OR(B149="",E149=""),"",IF(AND(E149&gt;=IFERROR(INDEX(REFERENTIEL_BUDGET!$C$2:$C$101,MATCH(B149,REFERENTIEL_BUDGET!$A$2:$A$101,0)),""),E149&lt;=IFERROR(INDEX(REFERENTIEL_BUDGET!$D$2:$D$101,MATCH(B149,REFERENTIEL_BUDGET!$A$2:$A$101,0)),"")),"Oui","Non"))</f>
        <v/>
      </c>
      <c r="Q149" t="str">
        <f t="shared" si="14"/>
        <v/>
      </c>
      <c r="R149" t="str">
        <f t="shared" si="15"/>
        <v/>
      </c>
      <c r="S149" t="str">
        <f t="shared" si="16"/>
        <v/>
      </c>
    </row>
    <row r="150" spans="1:19">
      <c r="A150">
        <f t="shared" si="12"/>
        <v>149</v>
      </c>
      <c r="E150" s="3"/>
      <c r="L150" s="5"/>
      <c r="M150" s="5">
        <f t="shared" si="17"/>
        <v>0</v>
      </c>
      <c r="N150" s="5"/>
      <c r="O150" s="5" t="str">
        <f t="shared" si="13"/>
        <v/>
      </c>
      <c r="P150" t="str">
        <f>IF(OR(B150="",E150=""),"",IF(AND(E150&gt;=IFERROR(INDEX(REFERENTIEL_BUDGET!$C$2:$C$101,MATCH(B150,REFERENTIEL_BUDGET!$A$2:$A$101,0)),""),E150&lt;=IFERROR(INDEX(REFERENTIEL_BUDGET!$D$2:$D$101,MATCH(B150,REFERENTIEL_BUDGET!$A$2:$A$101,0)),"")),"Oui","Non"))</f>
        <v/>
      </c>
      <c r="Q150" t="str">
        <f t="shared" si="14"/>
        <v/>
      </c>
      <c r="R150" t="str">
        <f t="shared" si="15"/>
        <v/>
      </c>
      <c r="S150" t="str">
        <f t="shared" si="16"/>
        <v/>
      </c>
    </row>
    <row r="151" spans="1:19">
      <c r="A151">
        <f t="shared" si="12"/>
        <v>150</v>
      </c>
      <c r="E151" s="3"/>
      <c r="L151" s="5"/>
      <c r="M151" s="5">
        <f t="shared" si="17"/>
        <v>0</v>
      </c>
      <c r="N151" s="5"/>
      <c r="O151" s="5" t="str">
        <f t="shared" si="13"/>
        <v/>
      </c>
      <c r="P151" t="str">
        <f>IF(OR(B151="",E151=""),"",IF(AND(E151&gt;=IFERROR(INDEX(REFERENTIEL_BUDGET!$C$2:$C$101,MATCH(B151,REFERENTIEL_BUDGET!$A$2:$A$101,0)),""),E151&lt;=IFERROR(INDEX(REFERENTIEL_BUDGET!$D$2:$D$101,MATCH(B151,REFERENTIEL_BUDGET!$A$2:$A$101,0)),"")),"Oui","Non"))</f>
        <v/>
      </c>
      <c r="Q151" t="str">
        <f t="shared" si="14"/>
        <v/>
      </c>
      <c r="R151" t="str">
        <f t="shared" si="15"/>
        <v/>
      </c>
      <c r="S151" t="str">
        <f t="shared" si="16"/>
        <v/>
      </c>
    </row>
    <row r="152" spans="1:19">
      <c r="A152">
        <f t="shared" si="12"/>
        <v>151</v>
      </c>
      <c r="E152" s="3"/>
      <c r="L152" s="5"/>
      <c r="M152" s="5">
        <f t="shared" si="17"/>
        <v>0</v>
      </c>
      <c r="N152" s="5"/>
      <c r="O152" s="5" t="str">
        <f t="shared" si="13"/>
        <v/>
      </c>
      <c r="P152" t="str">
        <f>IF(OR(B152="",E152=""),"",IF(AND(E152&gt;=IFERROR(INDEX(REFERENTIEL_BUDGET!$C$2:$C$101,MATCH(B152,REFERENTIEL_BUDGET!$A$2:$A$101,0)),""),E152&lt;=IFERROR(INDEX(REFERENTIEL_BUDGET!$D$2:$D$101,MATCH(B152,REFERENTIEL_BUDGET!$A$2:$A$101,0)),"")),"Oui","Non"))</f>
        <v/>
      </c>
      <c r="Q152" t="str">
        <f t="shared" si="14"/>
        <v/>
      </c>
      <c r="R152" t="str">
        <f t="shared" si="15"/>
        <v/>
      </c>
      <c r="S152" t="str">
        <f t="shared" si="16"/>
        <v/>
      </c>
    </row>
    <row r="153" spans="1:19">
      <c r="A153">
        <f t="shared" si="12"/>
        <v>152</v>
      </c>
      <c r="E153" s="3"/>
      <c r="L153" s="5"/>
      <c r="M153" s="5">
        <f t="shared" si="17"/>
        <v>0</v>
      </c>
      <c r="N153" s="5"/>
      <c r="O153" s="5" t="str">
        <f t="shared" si="13"/>
        <v/>
      </c>
      <c r="P153" t="str">
        <f>IF(OR(B153="",E153=""),"",IF(AND(E153&gt;=IFERROR(INDEX(REFERENTIEL_BUDGET!$C$2:$C$101,MATCH(B153,REFERENTIEL_BUDGET!$A$2:$A$101,0)),""),E153&lt;=IFERROR(INDEX(REFERENTIEL_BUDGET!$D$2:$D$101,MATCH(B153,REFERENTIEL_BUDGET!$A$2:$A$101,0)),"")),"Oui","Non"))</f>
        <v/>
      </c>
      <c r="Q153" t="str">
        <f t="shared" si="14"/>
        <v/>
      </c>
      <c r="R153" t="str">
        <f t="shared" si="15"/>
        <v/>
      </c>
      <c r="S153" t="str">
        <f t="shared" si="16"/>
        <v/>
      </c>
    </row>
    <row r="154" spans="1:19">
      <c r="A154">
        <f t="shared" si="12"/>
        <v>153</v>
      </c>
      <c r="E154" s="3"/>
      <c r="L154" s="5"/>
      <c r="M154" s="5">
        <f t="shared" si="17"/>
        <v>0</v>
      </c>
      <c r="N154" s="5"/>
      <c r="O154" s="5" t="str">
        <f t="shared" si="13"/>
        <v/>
      </c>
      <c r="P154" t="str">
        <f>IF(OR(B154="",E154=""),"",IF(AND(E154&gt;=IFERROR(INDEX(REFERENTIEL_BUDGET!$C$2:$C$101,MATCH(B154,REFERENTIEL_BUDGET!$A$2:$A$101,0)),""),E154&lt;=IFERROR(INDEX(REFERENTIEL_BUDGET!$D$2:$D$101,MATCH(B154,REFERENTIEL_BUDGET!$A$2:$A$101,0)),"")),"Oui","Non"))</f>
        <v/>
      </c>
      <c r="Q154" t="str">
        <f t="shared" si="14"/>
        <v/>
      </c>
      <c r="R154" t="str">
        <f t="shared" si="15"/>
        <v/>
      </c>
      <c r="S154" t="str">
        <f t="shared" si="16"/>
        <v/>
      </c>
    </row>
    <row r="155" spans="1:19">
      <c r="A155">
        <f t="shared" si="12"/>
        <v>154</v>
      </c>
      <c r="E155" s="3"/>
      <c r="L155" s="5"/>
      <c r="M155" s="5">
        <f t="shared" si="17"/>
        <v>0</v>
      </c>
      <c r="N155" s="5"/>
      <c r="O155" s="5" t="str">
        <f t="shared" si="13"/>
        <v/>
      </c>
      <c r="P155" t="str">
        <f>IF(OR(B155="",E155=""),"",IF(AND(E155&gt;=IFERROR(INDEX(REFERENTIEL_BUDGET!$C$2:$C$101,MATCH(B155,REFERENTIEL_BUDGET!$A$2:$A$101,0)),""),E155&lt;=IFERROR(INDEX(REFERENTIEL_BUDGET!$D$2:$D$101,MATCH(B155,REFERENTIEL_BUDGET!$A$2:$A$101,0)),"")),"Oui","Non"))</f>
        <v/>
      </c>
      <c r="Q155" t="str">
        <f t="shared" si="14"/>
        <v/>
      </c>
      <c r="R155" t="str">
        <f t="shared" si="15"/>
        <v/>
      </c>
      <c r="S155" t="str">
        <f t="shared" si="16"/>
        <v/>
      </c>
    </row>
    <row r="156" spans="1:19">
      <c r="A156">
        <f t="shared" si="12"/>
        <v>155</v>
      </c>
      <c r="E156" s="3"/>
      <c r="L156" s="5"/>
      <c r="M156" s="5">
        <f t="shared" si="17"/>
        <v>0</v>
      </c>
      <c r="N156" s="5"/>
      <c r="O156" s="5" t="str">
        <f t="shared" si="13"/>
        <v/>
      </c>
      <c r="P156" t="str">
        <f>IF(OR(B156="",E156=""),"",IF(AND(E156&gt;=IFERROR(INDEX(REFERENTIEL_BUDGET!$C$2:$C$101,MATCH(B156,REFERENTIEL_BUDGET!$A$2:$A$101,0)),""),E156&lt;=IFERROR(INDEX(REFERENTIEL_BUDGET!$D$2:$D$101,MATCH(B156,REFERENTIEL_BUDGET!$A$2:$A$101,0)),"")),"Oui","Non"))</f>
        <v/>
      </c>
      <c r="Q156" t="str">
        <f t="shared" si="14"/>
        <v/>
      </c>
      <c r="R156" t="str">
        <f t="shared" si="15"/>
        <v/>
      </c>
      <c r="S156" t="str">
        <f t="shared" si="16"/>
        <v/>
      </c>
    </row>
    <row r="157" spans="1:19">
      <c r="A157">
        <f t="shared" si="12"/>
        <v>156</v>
      </c>
      <c r="E157" s="3"/>
      <c r="L157" s="5"/>
      <c r="M157" s="5">
        <f t="shared" si="17"/>
        <v>0</v>
      </c>
      <c r="N157" s="5"/>
      <c r="O157" s="5" t="str">
        <f t="shared" si="13"/>
        <v/>
      </c>
      <c r="P157" t="str">
        <f>IF(OR(B157="",E157=""),"",IF(AND(E157&gt;=IFERROR(INDEX(REFERENTIEL_BUDGET!$C$2:$C$101,MATCH(B157,REFERENTIEL_BUDGET!$A$2:$A$101,0)),""),E157&lt;=IFERROR(INDEX(REFERENTIEL_BUDGET!$D$2:$D$101,MATCH(B157,REFERENTIEL_BUDGET!$A$2:$A$101,0)),"")),"Oui","Non"))</f>
        <v/>
      </c>
      <c r="Q157" t="str">
        <f t="shared" si="14"/>
        <v/>
      </c>
      <c r="R157" t="str">
        <f t="shared" si="15"/>
        <v/>
      </c>
      <c r="S157" t="str">
        <f t="shared" si="16"/>
        <v/>
      </c>
    </row>
    <row r="158" spans="1:19">
      <c r="A158">
        <f t="shared" si="12"/>
        <v>157</v>
      </c>
      <c r="E158" s="3"/>
      <c r="L158" s="5"/>
      <c r="M158" s="5">
        <f t="shared" si="17"/>
        <v>0</v>
      </c>
      <c r="N158" s="5"/>
      <c r="O158" s="5" t="str">
        <f t="shared" si="13"/>
        <v/>
      </c>
      <c r="P158" t="str">
        <f>IF(OR(B158="",E158=""),"",IF(AND(E158&gt;=IFERROR(INDEX(REFERENTIEL_BUDGET!$C$2:$C$101,MATCH(B158,REFERENTIEL_BUDGET!$A$2:$A$101,0)),""),E158&lt;=IFERROR(INDEX(REFERENTIEL_BUDGET!$D$2:$D$101,MATCH(B158,REFERENTIEL_BUDGET!$A$2:$A$101,0)),"")),"Oui","Non"))</f>
        <v/>
      </c>
      <c r="Q158" t="str">
        <f t="shared" si="14"/>
        <v/>
      </c>
      <c r="R158" t="str">
        <f t="shared" si="15"/>
        <v/>
      </c>
      <c r="S158" t="str">
        <f t="shared" si="16"/>
        <v/>
      </c>
    </row>
    <row r="159" spans="1:19">
      <c r="A159">
        <f t="shared" si="12"/>
        <v>158</v>
      </c>
      <c r="E159" s="3"/>
      <c r="L159" s="5"/>
      <c r="M159" s="5">
        <f t="shared" si="17"/>
        <v>0</v>
      </c>
      <c r="N159" s="5"/>
      <c r="O159" s="5" t="str">
        <f t="shared" si="13"/>
        <v/>
      </c>
      <c r="P159" t="str">
        <f>IF(OR(B159="",E159=""),"",IF(AND(E159&gt;=IFERROR(INDEX(REFERENTIEL_BUDGET!$C$2:$C$101,MATCH(B159,REFERENTIEL_BUDGET!$A$2:$A$101,0)),""),E159&lt;=IFERROR(INDEX(REFERENTIEL_BUDGET!$D$2:$D$101,MATCH(B159,REFERENTIEL_BUDGET!$A$2:$A$101,0)),"")),"Oui","Non"))</f>
        <v/>
      </c>
      <c r="Q159" t="str">
        <f t="shared" si="14"/>
        <v/>
      </c>
      <c r="R159" t="str">
        <f t="shared" si="15"/>
        <v/>
      </c>
      <c r="S159" t="str">
        <f t="shared" si="16"/>
        <v/>
      </c>
    </row>
    <row r="160" spans="1:19">
      <c r="A160">
        <f t="shared" si="12"/>
        <v>159</v>
      </c>
      <c r="E160" s="3"/>
      <c r="L160" s="5"/>
      <c r="M160" s="5">
        <f t="shared" si="17"/>
        <v>0</v>
      </c>
      <c r="N160" s="5"/>
      <c r="O160" s="5" t="str">
        <f t="shared" si="13"/>
        <v/>
      </c>
      <c r="P160" t="str">
        <f>IF(OR(B160="",E160=""),"",IF(AND(E160&gt;=IFERROR(INDEX(REFERENTIEL_BUDGET!$C$2:$C$101,MATCH(B160,REFERENTIEL_BUDGET!$A$2:$A$101,0)),""),E160&lt;=IFERROR(INDEX(REFERENTIEL_BUDGET!$D$2:$D$101,MATCH(B160,REFERENTIEL_BUDGET!$A$2:$A$101,0)),"")),"Oui","Non"))</f>
        <v/>
      </c>
      <c r="Q160" t="str">
        <f t="shared" si="14"/>
        <v/>
      </c>
      <c r="R160" t="str">
        <f t="shared" si="15"/>
        <v/>
      </c>
      <c r="S160" t="str">
        <f t="shared" si="16"/>
        <v/>
      </c>
    </row>
    <row r="161" spans="1:19">
      <c r="A161">
        <f t="shared" si="12"/>
        <v>160</v>
      </c>
      <c r="E161" s="3"/>
      <c r="L161" s="5"/>
      <c r="M161" s="5">
        <f t="shared" si="17"/>
        <v>0</v>
      </c>
      <c r="N161" s="5"/>
      <c r="O161" s="5" t="str">
        <f t="shared" si="13"/>
        <v/>
      </c>
      <c r="P161" t="str">
        <f>IF(OR(B161="",E161=""),"",IF(AND(E161&gt;=IFERROR(INDEX(REFERENTIEL_BUDGET!$C$2:$C$101,MATCH(B161,REFERENTIEL_BUDGET!$A$2:$A$101,0)),""),E161&lt;=IFERROR(INDEX(REFERENTIEL_BUDGET!$D$2:$D$101,MATCH(B161,REFERENTIEL_BUDGET!$A$2:$A$101,0)),"")),"Oui","Non"))</f>
        <v/>
      </c>
      <c r="Q161" t="str">
        <f t="shared" si="14"/>
        <v/>
      </c>
      <c r="R161" t="str">
        <f t="shared" si="15"/>
        <v/>
      </c>
      <c r="S161" t="str">
        <f t="shared" si="16"/>
        <v/>
      </c>
    </row>
    <row r="162" spans="1:19">
      <c r="A162">
        <f t="shared" si="12"/>
        <v>161</v>
      </c>
      <c r="E162" s="3"/>
      <c r="L162" s="5"/>
      <c r="M162" s="5">
        <f t="shared" si="17"/>
        <v>0</v>
      </c>
      <c r="N162" s="5"/>
      <c r="O162" s="5" t="str">
        <f t="shared" si="13"/>
        <v/>
      </c>
      <c r="P162" t="str">
        <f>IF(OR(B162="",E162=""),"",IF(AND(E162&gt;=IFERROR(INDEX(REFERENTIEL_BUDGET!$C$2:$C$101,MATCH(B162,REFERENTIEL_BUDGET!$A$2:$A$101,0)),""),E162&lt;=IFERROR(INDEX(REFERENTIEL_BUDGET!$D$2:$D$101,MATCH(B162,REFERENTIEL_BUDGET!$A$2:$A$101,0)),"")),"Oui","Non"))</f>
        <v/>
      </c>
      <c r="Q162" t="str">
        <f t="shared" si="14"/>
        <v/>
      </c>
      <c r="R162" t="str">
        <f t="shared" si="15"/>
        <v/>
      </c>
      <c r="S162" t="str">
        <f t="shared" si="16"/>
        <v/>
      </c>
    </row>
    <row r="163" spans="1:19">
      <c r="A163">
        <f t="shared" si="12"/>
        <v>162</v>
      </c>
      <c r="E163" s="3"/>
      <c r="L163" s="5"/>
      <c r="M163" s="5">
        <f t="shared" si="17"/>
        <v>0</v>
      </c>
      <c r="N163" s="5"/>
      <c r="O163" s="5" t="str">
        <f t="shared" si="13"/>
        <v/>
      </c>
      <c r="P163" t="str">
        <f>IF(OR(B163="",E163=""),"",IF(AND(E163&gt;=IFERROR(INDEX(REFERENTIEL_BUDGET!$C$2:$C$101,MATCH(B163,REFERENTIEL_BUDGET!$A$2:$A$101,0)),""),E163&lt;=IFERROR(INDEX(REFERENTIEL_BUDGET!$D$2:$D$101,MATCH(B163,REFERENTIEL_BUDGET!$A$2:$A$101,0)),"")),"Oui","Non"))</f>
        <v/>
      </c>
      <c r="Q163" t="str">
        <f t="shared" si="14"/>
        <v/>
      </c>
      <c r="R163" t="str">
        <f t="shared" si="15"/>
        <v/>
      </c>
      <c r="S163" t="str">
        <f t="shared" si="16"/>
        <v/>
      </c>
    </row>
    <row r="164" spans="1:19">
      <c r="A164">
        <f t="shared" si="12"/>
        <v>163</v>
      </c>
      <c r="E164" s="3"/>
      <c r="L164" s="5"/>
      <c r="M164" s="5">
        <f t="shared" si="17"/>
        <v>0</v>
      </c>
      <c r="N164" s="5"/>
      <c r="O164" s="5" t="str">
        <f t="shared" si="13"/>
        <v/>
      </c>
      <c r="P164" t="str">
        <f>IF(OR(B164="",E164=""),"",IF(AND(E164&gt;=IFERROR(INDEX(REFERENTIEL_BUDGET!$C$2:$C$101,MATCH(B164,REFERENTIEL_BUDGET!$A$2:$A$101,0)),""),E164&lt;=IFERROR(INDEX(REFERENTIEL_BUDGET!$D$2:$D$101,MATCH(B164,REFERENTIEL_BUDGET!$A$2:$A$101,0)),"")),"Oui","Non"))</f>
        <v/>
      </c>
      <c r="Q164" t="str">
        <f t="shared" si="14"/>
        <v/>
      </c>
      <c r="R164" t="str">
        <f t="shared" si="15"/>
        <v/>
      </c>
      <c r="S164" t="str">
        <f t="shared" si="16"/>
        <v/>
      </c>
    </row>
    <row r="165" spans="1:19">
      <c r="A165">
        <f t="shared" si="12"/>
        <v>164</v>
      </c>
      <c r="E165" s="3"/>
      <c r="L165" s="5"/>
      <c r="M165" s="5">
        <f t="shared" si="17"/>
        <v>0</v>
      </c>
      <c r="N165" s="5"/>
      <c r="O165" s="5" t="str">
        <f t="shared" si="13"/>
        <v/>
      </c>
      <c r="P165" t="str">
        <f>IF(OR(B165="",E165=""),"",IF(AND(E165&gt;=IFERROR(INDEX(REFERENTIEL_BUDGET!$C$2:$C$101,MATCH(B165,REFERENTIEL_BUDGET!$A$2:$A$101,0)),""),E165&lt;=IFERROR(INDEX(REFERENTIEL_BUDGET!$D$2:$D$101,MATCH(B165,REFERENTIEL_BUDGET!$A$2:$A$101,0)),"")),"Oui","Non"))</f>
        <v/>
      </c>
      <c r="Q165" t="str">
        <f t="shared" si="14"/>
        <v/>
      </c>
      <c r="R165" t="str">
        <f t="shared" si="15"/>
        <v/>
      </c>
      <c r="S165" t="str">
        <f t="shared" si="16"/>
        <v/>
      </c>
    </row>
    <row r="166" spans="1:19">
      <c r="A166">
        <f t="shared" si="12"/>
        <v>165</v>
      </c>
      <c r="E166" s="3"/>
      <c r="L166" s="5"/>
      <c r="M166" s="5">
        <f t="shared" si="17"/>
        <v>0</v>
      </c>
      <c r="N166" s="5"/>
      <c r="O166" s="5" t="str">
        <f t="shared" si="13"/>
        <v/>
      </c>
      <c r="P166" t="str">
        <f>IF(OR(B166="",E166=""),"",IF(AND(E166&gt;=IFERROR(INDEX(REFERENTIEL_BUDGET!$C$2:$C$101,MATCH(B166,REFERENTIEL_BUDGET!$A$2:$A$101,0)),""),E166&lt;=IFERROR(INDEX(REFERENTIEL_BUDGET!$D$2:$D$101,MATCH(B166,REFERENTIEL_BUDGET!$A$2:$A$101,0)),"")),"Oui","Non"))</f>
        <v/>
      </c>
      <c r="Q166" t="str">
        <f t="shared" si="14"/>
        <v/>
      </c>
      <c r="R166" t="str">
        <f t="shared" si="15"/>
        <v/>
      </c>
      <c r="S166" t="str">
        <f t="shared" si="16"/>
        <v/>
      </c>
    </row>
    <row r="167" spans="1:19">
      <c r="A167">
        <f t="shared" si="12"/>
        <v>166</v>
      </c>
      <c r="E167" s="3"/>
      <c r="L167" s="5"/>
      <c r="M167" s="5">
        <f t="shared" si="17"/>
        <v>0</v>
      </c>
      <c r="N167" s="5"/>
      <c r="O167" s="5" t="str">
        <f t="shared" si="13"/>
        <v/>
      </c>
      <c r="P167" t="str">
        <f>IF(OR(B167="",E167=""),"",IF(AND(E167&gt;=IFERROR(INDEX(REFERENTIEL_BUDGET!$C$2:$C$101,MATCH(B167,REFERENTIEL_BUDGET!$A$2:$A$101,0)),""),E167&lt;=IFERROR(INDEX(REFERENTIEL_BUDGET!$D$2:$D$101,MATCH(B167,REFERENTIEL_BUDGET!$A$2:$A$101,0)),"")),"Oui","Non"))</f>
        <v/>
      </c>
      <c r="Q167" t="str">
        <f t="shared" si="14"/>
        <v/>
      </c>
      <c r="R167" t="str">
        <f t="shared" si="15"/>
        <v/>
      </c>
      <c r="S167" t="str">
        <f t="shared" si="16"/>
        <v/>
      </c>
    </row>
    <row r="168" spans="1:19">
      <c r="A168">
        <f t="shared" si="12"/>
        <v>167</v>
      </c>
      <c r="E168" s="3"/>
      <c r="L168" s="5"/>
      <c r="M168" s="5">
        <f t="shared" si="17"/>
        <v>0</v>
      </c>
      <c r="N168" s="5"/>
      <c r="O168" s="5" t="str">
        <f t="shared" si="13"/>
        <v/>
      </c>
      <c r="P168" t="str">
        <f>IF(OR(B168="",E168=""),"",IF(AND(E168&gt;=IFERROR(INDEX(REFERENTIEL_BUDGET!$C$2:$C$101,MATCH(B168,REFERENTIEL_BUDGET!$A$2:$A$101,0)),""),E168&lt;=IFERROR(INDEX(REFERENTIEL_BUDGET!$D$2:$D$101,MATCH(B168,REFERENTIEL_BUDGET!$A$2:$A$101,0)),"")),"Oui","Non"))</f>
        <v/>
      </c>
      <c r="Q168" t="str">
        <f t="shared" si="14"/>
        <v/>
      </c>
      <c r="R168" t="str">
        <f t="shared" si="15"/>
        <v/>
      </c>
      <c r="S168" t="str">
        <f t="shared" si="16"/>
        <v/>
      </c>
    </row>
    <row r="169" spans="1:19">
      <c r="A169">
        <f t="shared" si="12"/>
        <v>168</v>
      </c>
      <c r="E169" s="3"/>
      <c r="L169" s="5"/>
      <c r="M169" s="5">
        <f t="shared" si="17"/>
        <v>0</v>
      </c>
      <c r="N169" s="5"/>
      <c r="O169" s="5" t="str">
        <f t="shared" si="13"/>
        <v/>
      </c>
      <c r="P169" t="str">
        <f>IF(OR(B169="",E169=""),"",IF(AND(E169&gt;=IFERROR(INDEX(REFERENTIEL_BUDGET!$C$2:$C$101,MATCH(B169,REFERENTIEL_BUDGET!$A$2:$A$101,0)),""),E169&lt;=IFERROR(INDEX(REFERENTIEL_BUDGET!$D$2:$D$101,MATCH(B169,REFERENTIEL_BUDGET!$A$2:$A$101,0)),"")),"Oui","Non"))</f>
        <v/>
      </c>
      <c r="Q169" t="str">
        <f t="shared" si="14"/>
        <v/>
      </c>
      <c r="R169" t="str">
        <f t="shared" si="15"/>
        <v/>
      </c>
      <c r="S169" t="str">
        <f t="shared" si="16"/>
        <v/>
      </c>
    </row>
    <row r="170" spans="1:19">
      <c r="A170">
        <f t="shared" si="12"/>
        <v>169</v>
      </c>
      <c r="E170" s="3"/>
      <c r="L170" s="5"/>
      <c r="M170" s="5">
        <f t="shared" si="17"/>
        <v>0</v>
      </c>
      <c r="N170" s="5"/>
      <c r="O170" s="5" t="str">
        <f t="shared" si="13"/>
        <v/>
      </c>
      <c r="P170" t="str">
        <f>IF(OR(B170="",E170=""),"",IF(AND(E170&gt;=IFERROR(INDEX(REFERENTIEL_BUDGET!$C$2:$C$101,MATCH(B170,REFERENTIEL_BUDGET!$A$2:$A$101,0)),""),E170&lt;=IFERROR(INDEX(REFERENTIEL_BUDGET!$D$2:$D$101,MATCH(B170,REFERENTIEL_BUDGET!$A$2:$A$101,0)),"")),"Oui","Non"))</f>
        <v/>
      </c>
      <c r="Q170" t="str">
        <f t="shared" si="14"/>
        <v/>
      </c>
      <c r="R170" t="str">
        <f t="shared" si="15"/>
        <v/>
      </c>
      <c r="S170" t="str">
        <f t="shared" si="16"/>
        <v/>
      </c>
    </row>
    <row r="171" spans="1:19">
      <c r="A171">
        <f t="shared" si="12"/>
        <v>170</v>
      </c>
      <c r="E171" s="3"/>
      <c r="L171" s="5"/>
      <c r="M171" s="5">
        <f t="shared" si="17"/>
        <v>0</v>
      </c>
      <c r="N171" s="5"/>
      <c r="O171" s="5" t="str">
        <f t="shared" si="13"/>
        <v/>
      </c>
      <c r="P171" t="str">
        <f>IF(OR(B171="",E171=""),"",IF(AND(E171&gt;=IFERROR(INDEX(REFERENTIEL_BUDGET!$C$2:$C$101,MATCH(B171,REFERENTIEL_BUDGET!$A$2:$A$101,0)),""),E171&lt;=IFERROR(INDEX(REFERENTIEL_BUDGET!$D$2:$D$101,MATCH(B171,REFERENTIEL_BUDGET!$A$2:$A$101,0)),"")),"Oui","Non"))</f>
        <v/>
      </c>
      <c r="Q171" t="str">
        <f t="shared" si="14"/>
        <v/>
      </c>
      <c r="R171" t="str">
        <f t="shared" si="15"/>
        <v/>
      </c>
      <c r="S171" t="str">
        <f t="shared" si="16"/>
        <v/>
      </c>
    </row>
    <row r="172" spans="1:19">
      <c r="A172">
        <f t="shared" si="12"/>
        <v>171</v>
      </c>
      <c r="E172" s="3"/>
      <c r="L172" s="5"/>
      <c r="M172" s="5">
        <f t="shared" si="17"/>
        <v>0</v>
      </c>
      <c r="N172" s="5"/>
      <c r="O172" s="5" t="str">
        <f t="shared" si="13"/>
        <v/>
      </c>
      <c r="P172" t="str">
        <f>IF(OR(B172="",E172=""),"",IF(AND(E172&gt;=IFERROR(INDEX(REFERENTIEL_BUDGET!$C$2:$C$101,MATCH(B172,REFERENTIEL_BUDGET!$A$2:$A$101,0)),""),E172&lt;=IFERROR(INDEX(REFERENTIEL_BUDGET!$D$2:$D$101,MATCH(B172,REFERENTIEL_BUDGET!$A$2:$A$101,0)),"")),"Oui","Non"))</f>
        <v/>
      </c>
      <c r="Q172" t="str">
        <f t="shared" si="14"/>
        <v/>
      </c>
      <c r="R172" t="str">
        <f t="shared" si="15"/>
        <v/>
      </c>
      <c r="S172" t="str">
        <f t="shared" si="16"/>
        <v/>
      </c>
    </row>
    <row r="173" spans="1:19">
      <c r="A173">
        <f t="shared" si="12"/>
        <v>172</v>
      </c>
      <c r="E173" s="3"/>
      <c r="L173" s="5"/>
      <c r="M173" s="5">
        <f t="shared" si="17"/>
        <v>0</v>
      </c>
      <c r="N173" s="5"/>
      <c r="O173" s="5" t="str">
        <f t="shared" si="13"/>
        <v/>
      </c>
      <c r="P173" t="str">
        <f>IF(OR(B173="",E173=""),"",IF(AND(E173&gt;=IFERROR(INDEX(REFERENTIEL_BUDGET!$C$2:$C$101,MATCH(B173,REFERENTIEL_BUDGET!$A$2:$A$101,0)),""),E173&lt;=IFERROR(INDEX(REFERENTIEL_BUDGET!$D$2:$D$101,MATCH(B173,REFERENTIEL_BUDGET!$A$2:$A$101,0)),"")),"Oui","Non"))</f>
        <v/>
      </c>
      <c r="Q173" t="str">
        <f t="shared" si="14"/>
        <v/>
      </c>
      <c r="R173" t="str">
        <f t="shared" si="15"/>
        <v/>
      </c>
      <c r="S173" t="str">
        <f t="shared" si="16"/>
        <v/>
      </c>
    </row>
    <row r="174" spans="1:19">
      <c r="A174">
        <f t="shared" si="12"/>
        <v>173</v>
      </c>
      <c r="E174" s="3"/>
      <c r="L174" s="5"/>
      <c r="M174" s="5">
        <f t="shared" si="17"/>
        <v>0</v>
      </c>
      <c r="N174" s="5"/>
      <c r="O174" s="5" t="str">
        <f t="shared" si="13"/>
        <v/>
      </c>
      <c r="P174" t="str">
        <f>IF(OR(B174="",E174=""),"",IF(AND(E174&gt;=IFERROR(INDEX(REFERENTIEL_BUDGET!$C$2:$C$101,MATCH(B174,REFERENTIEL_BUDGET!$A$2:$A$101,0)),""),E174&lt;=IFERROR(INDEX(REFERENTIEL_BUDGET!$D$2:$D$101,MATCH(B174,REFERENTIEL_BUDGET!$A$2:$A$101,0)),"")),"Oui","Non"))</f>
        <v/>
      </c>
      <c r="Q174" t="str">
        <f t="shared" si="14"/>
        <v/>
      </c>
      <c r="R174" t="str">
        <f t="shared" si="15"/>
        <v/>
      </c>
      <c r="S174" t="str">
        <f t="shared" si="16"/>
        <v/>
      </c>
    </row>
    <row r="175" spans="1:19">
      <c r="A175">
        <f t="shared" si="12"/>
        <v>174</v>
      </c>
      <c r="E175" s="3"/>
      <c r="L175" s="5"/>
      <c r="M175" s="5">
        <f t="shared" si="17"/>
        <v>0</v>
      </c>
      <c r="N175" s="5"/>
      <c r="O175" s="5" t="str">
        <f t="shared" si="13"/>
        <v/>
      </c>
      <c r="P175" t="str">
        <f>IF(OR(B175="",E175=""),"",IF(AND(E175&gt;=IFERROR(INDEX(REFERENTIEL_BUDGET!$C$2:$C$101,MATCH(B175,REFERENTIEL_BUDGET!$A$2:$A$101,0)),""),E175&lt;=IFERROR(INDEX(REFERENTIEL_BUDGET!$D$2:$D$101,MATCH(B175,REFERENTIEL_BUDGET!$A$2:$A$101,0)),"")),"Oui","Non"))</f>
        <v/>
      </c>
      <c r="Q175" t="str">
        <f t="shared" si="14"/>
        <v/>
      </c>
      <c r="R175" t="str">
        <f t="shared" si="15"/>
        <v/>
      </c>
      <c r="S175" t="str">
        <f t="shared" si="16"/>
        <v/>
      </c>
    </row>
    <row r="176" spans="1:19">
      <c r="A176">
        <f t="shared" si="12"/>
        <v>175</v>
      </c>
      <c r="E176" s="3"/>
      <c r="L176" s="5"/>
      <c r="M176" s="5">
        <f t="shared" si="17"/>
        <v>0</v>
      </c>
      <c r="N176" s="5"/>
      <c r="O176" s="5" t="str">
        <f t="shared" si="13"/>
        <v/>
      </c>
      <c r="P176" t="str">
        <f>IF(OR(B176="",E176=""),"",IF(AND(E176&gt;=IFERROR(INDEX(REFERENTIEL_BUDGET!$C$2:$C$101,MATCH(B176,REFERENTIEL_BUDGET!$A$2:$A$101,0)),""),E176&lt;=IFERROR(INDEX(REFERENTIEL_BUDGET!$D$2:$D$101,MATCH(B176,REFERENTIEL_BUDGET!$A$2:$A$101,0)),"")),"Oui","Non"))</f>
        <v/>
      </c>
      <c r="Q176" t="str">
        <f t="shared" si="14"/>
        <v/>
      </c>
      <c r="R176" t="str">
        <f t="shared" si="15"/>
        <v/>
      </c>
      <c r="S176" t="str">
        <f t="shared" si="16"/>
        <v/>
      </c>
    </row>
    <row r="177" spans="1:19">
      <c r="A177">
        <f t="shared" si="12"/>
        <v>176</v>
      </c>
      <c r="E177" s="3"/>
      <c r="L177" s="5"/>
      <c r="M177" s="5">
        <f t="shared" si="17"/>
        <v>0</v>
      </c>
      <c r="N177" s="5"/>
      <c r="O177" s="5" t="str">
        <f t="shared" si="13"/>
        <v/>
      </c>
      <c r="P177" t="str">
        <f>IF(OR(B177="",E177=""),"",IF(AND(E177&gt;=IFERROR(INDEX(REFERENTIEL_BUDGET!$C$2:$C$101,MATCH(B177,REFERENTIEL_BUDGET!$A$2:$A$101,0)),""),E177&lt;=IFERROR(INDEX(REFERENTIEL_BUDGET!$D$2:$D$101,MATCH(B177,REFERENTIEL_BUDGET!$A$2:$A$101,0)),"")),"Oui","Non"))</f>
        <v/>
      </c>
      <c r="Q177" t="str">
        <f t="shared" si="14"/>
        <v/>
      </c>
      <c r="R177" t="str">
        <f t="shared" si="15"/>
        <v/>
      </c>
      <c r="S177" t="str">
        <f t="shared" si="16"/>
        <v/>
      </c>
    </row>
    <row r="178" spans="1:19">
      <c r="A178">
        <f t="shared" si="12"/>
        <v>177</v>
      </c>
      <c r="E178" s="3"/>
      <c r="L178" s="5"/>
      <c r="M178" s="5">
        <f t="shared" si="17"/>
        <v>0</v>
      </c>
      <c r="N178" s="5"/>
      <c r="O178" s="5" t="str">
        <f t="shared" si="13"/>
        <v/>
      </c>
      <c r="P178" t="str">
        <f>IF(OR(B178="",E178=""),"",IF(AND(E178&gt;=IFERROR(INDEX(REFERENTIEL_BUDGET!$C$2:$C$101,MATCH(B178,REFERENTIEL_BUDGET!$A$2:$A$101,0)),""),E178&lt;=IFERROR(INDEX(REFERENTIEL_BUDGET!$D$2:$D$101,MATCH(B178,REFERENTIEL_BUDGET!$A$2:$A$101,0)),"")),"Oui","Non"))</f>
        <v/>
      </c>
      <c r="Q178" t="str">
        <f t="shared" si="14"/>
        <v/>
      </c>
      <c r="R178" t="str">
        <f t="shared" si="15"/>
        <v/>
      </c>
      <c r="S178" t="str">
        <f t="shared" si="16"/>
        <v/>
      </c>
    </row>
    <row r="179" spans="1:19">
      <c r="A179">
        <f t="shared" si="12"/>
        <v>178</v>
      </c>
      <c r="E179" s="3"/>
      <c r="L179" s="5"/>
      <c r="M179" s="5">
        <f t="shared" si="17"/>
        <v>0</v>
      </c>
      <c r="N179" s="5"/>
      <c r="O179" s="5" t="str">
        <f t="shared" si="13"/>
        <v/>
      </c>
      <c r="P179" t="str">
        <f>IF(OR(B179="",E179=""),"",IF(AND(E179&gt;=IFERROR(INDEX(REFERENTIEL_BUDGET!$C$2:$C$101,MATCH(B179,REFERENTIEL_BUDGET!$A$2:$A$101,0)),""),E179&lt;=IFERROR(INDEX(REFERENTIEL_BUDGET!$D$2:$D$101,MATCH(B179,REFERENTIEL_BUDGET!$A$2:$A$101,0)),"")),"Oui","Non"))</f>
        <v/>
      </c>
      <c r="Q179" t="str">
        <f t="shared" si="14"/>
        <v/>
      </c>
      <c r="R179" t="str">
        <f t="shared" si="15"/>
        <v/>
      </c>
      <c r="S179" t="str">
        <f t="shared" si="16"/>
        <v/>
      </c>
    </row>
    <row r="180" spans="1:19">
      <c r="A180">
        <f t="shared" si="12"/>
        <v>179</v>
      </c>
      <c r="E180" s="3"/>
      <c r="L180" s="5"/>
      <c r="M180" s="5">
        <f t="shared" si="17"/>
        <v>0</v>
      </c>
      <c r="N180" s="5"/>
      <c r="O180" s="5" t="str">
        <f t="shared" si="13"/>
        <v/>
      </c>
      <c r="P180" t="str">
        <f>IF(OR(B180="",E180=""),"",IF(AND(E180&gt;=IFERROR(INDEX(REFERENTIEL_BUDGET!$C$2:$C$101,MATCH(B180,REFERENTIEL_BUDGET!$A$2:$A$101,0)),""),E180&lt;=IFERROR(INDEX(REFERENTIEL_BUDGET!$D$2:$D$101,MATCH(B180,REFERENTIEL_BUDGET!$A$2:$A$101,0)),"")),"Oui","Non"))</f>
        <v/>
      </c>
      <c r="Q180" t="str">
        <f t="shared" si="14"/>
        <v/>
      </c>
      <c r="R180" t="str">
        <f t="shared" si="15"/>
        <v/>
      </c>
      <c r="S180" t="str">
        <f t="shared" si="16"/>
        <v/>
      </c>
    </row>
    <row r="181" spans="1:19">
      <c r="A181">
        <f t="shared" si="12"/>
        <v>180</v>
      </c>
      <c r="E181" s="3"/>
      <c r="L181" s="5"/>
      <c r="M181" s="5">
        <f t="shared" si="17"/>
        <v>0</v>
      </c>
      <c r="N181" s="5"/>
      <c r="O181" s="5" t="str">
        <f t="shared" si="13"/>
        <v/>
      </c>
      <c r="P181" t="str">
        <f>IF(OR(B181="",E181=""),"",IF(AND(E181&gt;=IFERROR(INDEX(REFERENTIEL_BUDGET!$C$2:$C$101,MATCH(B181,REFERENTIEL_BUDGET!$A$2:$A$101,0)),""),E181&lt;=IFERROR(INDEX(REFERENTIEL_BUDGET!$D$2:$D$101,MATCH(B181,REFERENTIEL_BUDGET!$A$2:$A$101,0)),"")),"Oui","Non"))</f>
        <v/>
      </c>
      <c r="Q181" t="str">
        <f t="shared" si="14"/>
        <v/>
      </c>
      <c r="R181" t="str">
        <f t="shared" si="15"/>
        <v/>
      </c>
      <c r="S181" t="str">
        <f t="shared" si="16"/>
        <v/>
      </c>
    </row>
    <row r="182" spans="1:19">
      <c r="A182">
        <f t="shared" si="12"/>
        <v>181</v>
      </c>
      <c r="E182" s="3"/>
      <c r="L182" s="5"/>
      <c r="M182" s="5">
        <f t="shared" si="17"/>
        <v>0</v>
      </c>
      <c r="N182" s="5"/>
      <c r="O182" s="5" t="str">
        <f t="shared" si="13"/>
        <v/>
      </c>
      <c r="P182" t="str">
        <f>IF(OR(B182="",E182=""),"",IF(AND(E182&gt;=IFERROR(INDEX(REFERENTIEL_BUDGET!$C$2:$C$101,MATCH(B182,REFERENTIEL_BUDGET!$A$2:$A$101,0)),""),E182&lt;=IFERROR(INDEX(REFERENTIEL_BUDGET!$D$2:$D$101,MATCH(B182,REFERENTIEL_BUDGET!$A$2:$A$101,0)),"")),"Oui","Non"))</f>
        <v/>
      </c>
      <c r="Q182" t="str">
        <f t="shared" si="14"/>
        <v/>
      </c>
      <c r="R182" t="str">
        <f t="shared" si="15"/>
        <v/>
      </c>
      <c r="S182" t="str">
        <f t="shared" si="16"/>
        <v/>
      </c>
    </row>
    <row r="183" spans="1:19">
      <c r="A183">
        <f t="shared" si="12"/>
        <v>182</v>
      </c>
      <c r="E183" s="3"/>
      <c r="L183" s="5"/>
      <c r="M183" s="5">
        <f t="shared" si="17"/>
        <v>0</v>
      </c>
      <c r="N183" s="5"/>
      <c r="O183" s="5" t="str">
        <f t="shared" si="13"/>
        <v/>
      </c>
      <c r="P183" t="str">
        <f>IF(OR(B183="",E183=""),"",IF(AND(E183&gt;=IFERROR(INDEX(REFERENTIEL_BUDGET!$C$2:$C$101,MATCH(B183,REFERENTIEL_BUDGET!$A$2:$A$101,0)),""),E183&lt;=IFERROR(INDEX(REFERENTIEL_BUDGET!$D$2:$D$101,MATCH(B183,REFERENTIEL_BUDGET!$A$2:$A$101,0)),"")),"Oui","Non"))</f>
        <v/>
      </c>
      <c r="Q183" t="str">
        <f t="shared" si="14"/>
        <v/>
      </c>
      <c r="R183" t="str">
        <f t="shared" si="15"/>
        <v/>
      </c>
      <c r="S183" t="str">
        <f t="shared" si="16"/>
        <v/>
      </c>
    </row>
    <row r="184" spans="1:19">
      <c r="A184">
        <f t="shared" si="12"/>
        <v>183</v>
      </c>
      <c r="E184" s="3"/>
      <c r="L184" s="5"/>
      <c r="M184" s="5">
        <f t="shared" si="17"/>
        <v>0</v>
      </c>
      <c r="N184" s="5"/>
      <c r="O184" s="5" t="str">
        <f t="shared" si="13"/>
        <v/>
      </c>
      <c r="P184" t="str">
        <f>IF(OR(B184="",E184=""),"",IF(AND(E184&gt;=IFERROR(INDEX(REFERENTIEL_BUDGET!$C$2:$C$101,MATCH(B184,REFERENTIEL_BUDGET!$A$2:$A$101,0)),""),E184&lt;=IFERROR(INDEX(REFERENTIEL_BUDGET!$D$2:$D$101,MATCH(B184,REFERENTIEL_BUDGET!$A$2:$A$101,0)),"")),"Oui","Non"))</f>
        <v/>
      </c>
      <c r="Q184" t="str">
        <f t="shared" si="14"/>
        <v/>
      </c>
      <c r="R184" t="str">
        <f t="shared" si="15"/>
        <v/>
      </c>
      <c r="S184" t="str">
        <f t="shared" si="16"/>
        <v/>
      </c>
    </row>
    <row r="185" spans="1:19">
      <c r="A185">
        <f t="shared" si="12"/>
        <v>184</v>
      </c>
      <c r="E185" s="3"/>
      <c r="L185" s="5"/>
      <c r="M185" s="5">
        <f t="shared" si="17"/>
        <v>0</v>
      </c>
      <c r="N185" s="5"/>
      <c r="O185" s="5" t="str">
        <f t="shared" si="13"/>
        <v/>
      </c>
      <c r="P185" t="str">
        <f>IF(OR(B185="",E185=""),"",IF(AND(E185&gt;=IFERROR(INDEX(REFERENTIEL_BUDGET!$C$2:$C$101,MATCH(B185,REFERENTIEL_BUDGET!$A$2:$A$101,0)),""),E185&lt;=IFERROR(INDEX(REFERENTIEL_BUDGET!$D$2:$D$101,MATCH(B185,REFERENTIEL_BUDGET!$A$2:$A$101,0)),"")),"Oui","Non"))</f>
        <v/>
      </c>
      <c r="Q185" t="str">
        <f t="shared" si="14"/>
        <v/>
      </c>
      <c r="R185" t="str">
        <f t="shared" si="15"/>
        <v/>
      </c>
      <c r="S185" t="str">
        <f t="shared" si="16"/>
        <v/>
      </c>
    </row>
    <row r="186" spans="1:19">
      <c r="A186">
        <f t="shared" si="12"/>
        <v>185</v>
      </c>
      <c r="E186" s="3"/>
      <c r="L186" s="5"/>
      <c r="M186" s="5">
        <f t="shared" si="17"/>
        <v>0</v>
      </c>
      <c r="N186" s="5"/>
      <c r="O186" s="5" t="str">
        <f t="shared" si="13"/>
        <v/>
      </c>
      <c r="P186" t="str">
        <f>IF(OR(B186="",E186=""),"",IF(AND(E186&gt;=IFERROR(INDEX(REFERENTIEL_BUDGET!$C$2:$C$101,MATCH(B186,REFERENTIEL_BUDGET!$A$2:$A$101,0)),""),E186&lt;=IFERROR(INDEX(REFERENTIEL_BUDGET!$D$2:$D$101,MATCH(B186,REFERENTIEL_BUDGET!$A$2:$A$101,0)),"")),"Oui","Non"))</f>
        <v/>
      </c>
      <c r="Q186" t="str">
        <f t="shared" si="14"/>
        <v/>
      </c>
      <c r="R186" t="str">
        <f t="shared" si="15"/>
        <v/>
      </c>
      <c r="S186" t="str">
        <f t="shared" si="16"/>
        <v/>
      </c>
    </row>
    <row r="187" spans="1:19">
      <c r="A187">
        <f t="shared" si="12"/>
        <v>186</v>
      </c>
      <c r="E187" s="3"/>
      <c r="L187" s="5"/>
      <c r="M187" s="5">
        <f t="shared" si="17"/>
        <v>0</v>
      </c>
      <c r="N187" s="5"/>
      <c r="O187" s="5" t="str">
        <f t="shared" si="13"/>
        <v/>
      </c>
      <c r="P187" t="str">
        <f>IF(OR(B187="",E187=""),"",IF(AND(E187&gt;=IFERROR(INDEX(REFERENTIEL_BUDGET!$C$2:$C$101,MATCH(B187,REFERENTIEL_BUDGET!$A$2:$A$101,0)),""),E187&lt;=IFERROR(INDEX(REFERENTIEL_BUDGET!$D$2:$D$101,MATCH(B187,REFERENTIEL_BUDGET!$A$2:$A$101,0)),"")),"Oui","Non"))</f>
        <v/>
      </c>
      <c r="Q187" t="str">
        <f t="shared" si="14"/>
        <v/>
      </c>
      <c r="R187" t="str">
        <f t="shared" si="15"/>
        <v/>
      </c>
      <c r="S187" t="str">
        <f t="shared" si="16"/>
        <v/>
      </c>
    </row>
    <row r="188" spans="1:19">
      <c r="A188">
        <f t="shared" si="12"/>
        <v>187</v>
      </c>
      <c r="E188" s="3"/>
      <c r="L188" s="5"/>
      <c r="M188" s="5">
        <f t="shared" si="17"/>
        <v>0</v>
      </c>
      <c r="N188" s="5"/>
      <c r="O188" s="5" t="str">
        <f t="shared" si="13"/>
        <v/>
      </c>
      <c r="P188" t="str">
        <f>IF(OR(B188="",E188=""),"",IF(AND(E188&gt;=IFERROR(INDEX(REFERENTIEL_BUDGET!$C$2:$C$101,MATCH(B188,REFERENTIEL_BUDGET!$A$2:$A$101,0)),""),E188&lt;=IFERROR(INDEX(REFERENTIEL_BUDGET!$D$2:$D$101,MATCH(B188,REFERENTIEL_BUDGET!$A$2:$A$101,0)),"")),"Oui","Non"))</f>
        <v/>
      </c>
      <c r="Q188" t="str">
        <f t="shared" si="14"/>
        <v/>
      </c>
      <c r="R188" t="str">
        <f t="shared" si="15"/>
        <v/>
      </c>
      <c r="S188" t="str">
        <f t="shared" si="16"/>
        <v/>
      </c>
    </row>
    <row r="189" spans="1:19">
      <c r="A189">
        <f t="shared" si="12"/>
        <v>188</v>
      </c>
      <c r="E189" s="3"/>
      <c r="L189" s="5"/>
      <c r="M189" s="5">
        <f t="shared" si="17"/>
        <v>0</v>
      </c>
      <c r="N189" s="5"/>
      <c r="O189" s="5" t="str">
        <f t="shared" si="13"/>
        <v/>
      </c>
      <c r="P189" t="str">
        <f>IF(OR(B189="",E189=""),"",IF(AND(E189&gt;=IFERROR(INDEX(REFERENTIEL_BUDGET!$C$2:$C$101,MATCH(B189,REFERENTIEL_BUDGET!$A$2:$A$101,0)),""),E189&lt;=IFERROR(INDEX(REFERENTIEL_BUDGET!$D$2:$D$101,MATCH(B189,REFERENTIEL_BUDGET!$A$2:$A$101,0)),"")),"Oui","Non"))</f>
        <v/>
      </c>
      <c r="Q189" t="str">
        <f t="shared" si="14"/>
        <v/>
      </c>
      <c r="R189" t="str">
        <f t="shared" si="15"/>
        <v/>
      </c>
      <c r="S189" t="str">
        <f t="shared" si="16"/>
        <v/>
      </c>
    </row>
    <row r="190" spans="1:19">
      <c r="A190">
        <f t="shared" si="12"/>
        <v>189</v>
      </c>
      <c r="E190" s="3"/>
      <c r="L190" s="5"/>
      <c r="M190" s="5">
        <f t="shared" si="17"/>
        <v>0</v>
      </c>
      <c r="N190" s="5"/>
      <c r="O190" s="5" t="str">
        <f t="shared" si="13"/>
        <v/>
      </c>
      <c r="P190" t="str">
        <f>IF(OR(B190="",E190=""),"",IF(AND(E190&gt;=IFERROR(INDEX(REFERENTIEL_BUDGET!$C$2:$C$101,MATCH(B190,REFERENTIEL_BUDGET!$A$2:$A$101,0)),""),E190&lt;=IFERROR(INDEX(REFERENTIEL_BUDGET!$D$2:$D$101,MATCH(B190,REFERENTIEL_BUDGET!$A$2:$A$101,0)),"")),"Oui","Non"))</f>
        <v/>
      </c>
      <c r="Q190" t="str">
        <f t="shared" si="14"/>
        <v/>
      </c>
      <c r="R190" t="str">
        <f t="shared" si="15"/>
        <v/>
      </c>
      <c r="S190" t="str">
        <f t="shared" si="16"/>
        <v/>
      </c>
    </row>
    <row r="191" spans="1:19">
      <c r="A191">
        <f t="shared" si="12"/>
        <v>190</v>
      </c>
      <c r="E191" s="3"/>
      <c r="L191" s="5"/>
      <c r="M191" s="5">
        <f t="shared" si="17"/>
        <v>0</v>
      </c>
      <c r="N191" s="5"/>
      <c r="O191" s="5" t="str">
        <f t="shared" si="13"/>
        <v/>
      </c>
      <c r="P191" t="str">
        <f>IF(OR(B191="",E191=""),"",IF(AND(E191&gt;=IFERROR(INDEX(REFERENTIEL_BUDGET!$C$2:$C$101,MATCH(B191,REFERENTIEL_BUDGET!$A$2:$A$101,0)),""),E191&lt;=IFERROR(INDEX(REFERENTIEL_BUDGET!$D$2:$D$101,MATCH(B191,REFERENTIEL_BUDGET!$A$2:$A$101,0)),"")),"Oui","Non"))</f>
        <v/>
      </c>
      <c r="Q191" t="str">
        <f t="shared" si="14"/>
        <v/>
      </c>
      <c r="R191" t="str">
        <f t="shared" si="15"/>
        <v/>
      </c>
      <c r="S191" t="str">
        <f t="shared" si="16"/>
        <v/>
      </c>
    </row>
    <row r="192" spans="1:19">
      <c r="A192">
        <f t="shared" si="12"/>
        <v>191</v>
      </c>
      <c r="E192" s="3"/>
      <c r="L192" s="5"/>
      <c r="M192" s="5">
        <f t="shared" si="17"/>
        <v>0</v>
      </c>
      <c r="N192" s="5"/>
      <c r="O192" s="5" t="str">
        <f t="shared" si="13"/>
        <v/>
      </c>
      <c r="P192" t="str">
        <f>IF(OR(B192="",E192=""),"",IF(AND(E192&gt;=IFERROR(INDEX(REFERENTIEL_BUDGET!$C$2:$C$101,MATCH(B192,REFERENTIEL_BUDGET!$A$2:$A$101,0)),""),E192&lt;=IFERROR(INDEX(REFERENTIEL_BUDGET!$D$2:$D$101,MATCH(B192,REFERENTIEL_BUDGET!$A$2:$A$101,0)),"")),"Oui","Non"))</f>
        <v/>
      </c>
      <c r="Q192" t="str">
        <f t="shared" si="14"/>
        <v/>
      </c>
      <c r="R192" t="str">
        <f t="shared" si="15"/>
        <v/>
      </c>
      <c r="S192" t="str">
        <f t="shared" si="16"/>
        <v/>
      </c>
    </row>
    <row r="193" spans="1:19">
      <c r="A193">
        <f t="shared" si="12"/>
        <v>192</v>
      </c>
      <c r="E193" s="3"/>
      <c r="L193" s="5"/>
      <c r="M193" s="5">
        <f t="shared" si="17"/>
        <v>0</v>
      </c>
      <c r="N193" s="5"/>
      <c r="O193" s="5" t="str">
        <f t="shared" si="13"/>
        <v/>
      </c>
      <c r="P193" t="str">
        <f>IF(OR(B193="",E193=""),"",IF(AND(E193&gt;=IFERROR(INDEX(REFERENTIEL_BUDGET!$C$2:$C$101,MATCH(B193,REFERENTIEL_BUDGET!$A$2:$A$101,0)),""),E193&lt;=IFERROR(INDEX(REFERENTIEL_BUDGET!$D$2:$D$101,MATCH(B193,REFERENTIEL_BUDGET!$A$2:$A$101,0)),"")),"Oui","Non"))</f>
        <v/>
      </c>
      <c r="Q193" t="str">
        <f t="shared" si="14"/>
        <v/>
      </c>
      <c r="R193" t="str">
        <f t="shared" si="15"/>
        <v/>
      </c>
      <c r="S193" t="str">
        <f t="shared" si="16"/>
        <v/>
      </c>
    </row>
    <row r="194" spans="1:19">
      <c r="A194">
        <f t="shared" ref="A194:A257" si="18">ROW()-1</f>
        <v>193</v>
      </c>
      <c r="E194" s="3"/>
      <c r="L194" s="5"/>
      <c r="M194" s="5">
        <f t="shared" si="17"/>
        <v>0</v>
      </c>
      <c r="N194" s="5"/>
      <c r="O194" s="5" t="str">
        <f t="shared" ref="O194:O257" si="19">IF(OR(M194="",N194=""),"",N194-M194)</f>
        <v/>
      </c>
      <c r="P194" t="str">
        <f>IF(OR(B194="",E194=""),"",IF(AND(E194&gt;=IFERROR(INDEX(REFERENTIEL_BUDGET!$C$2:$C$101,MATCH(B194,REFERENTIEL_BUDGET!$A$2:$A$101,0)),""),E194&lt;=IFERROR(INDEX(REFERENTIEL_BUDGET!$D$2:$D$101,MATCH(B194,REFERENTIEL_BUDGET!$A$2:$A$101,0)),"")),"Oui","Non"))</f>
        <v/>
      </c>
      <c r="Q194" t="str">
        <f t="shared" ref="Q194:Q257" si="20">IF(J194="","",IF(AND(J194="Présent",K194&lt;&gt;""),"Oui",IF(J194="Absent","Non","À vérifier")))</f>
        <v/>
      </c>
      <c r="R194" t="str">
        <f t="shared" ref="R194:R257" si="21">IF(OR(M194="",N194=""),"",IF(O194=0,"Oui","Non"))</f>
        <v/>
      </c>
      <c r="S194" t="str">
        <f t="shared" ref="S194:S257" si="22">IF(B194="","",IF(P194="Non","DATE HORS PÉRIODE",IF(Q194="Non","PAIEMENT SANS PRÉSENCE",IF(Q194="À vérifier","PRÉSENCE À VÉRIFIER",IF(R194="Non","MONTANT NON CONFORME","CONFORME")))))</f>
        <v/>
      </c>
    </row>
    <row r="195" spans="1:19">
      <c r="A195">
        <f t="shared" si="18"/>
        <v>194</v>
      </c>
      <c r="E195" s="3"/>
      <c r="L195" s="5"/>
      <c r="M195" s="5">
        <f t="shared" ref="M195:M258" si="23">+COUNTIF(F195:J195,"Présent")*L195</f>
        <v>0</v>
      </c>
      <c r="N195" s="5"/>
      <c r="O195" s="5" t="str">
        <f t="shared" si="19"/>
        <v/>
      </c>
      <c r="P195" t="str">
        <f>IF(OR(B195="",E195=""),"",IF(AND(E195&gt;=IFERROR(INDEX(REFERENTIEL_BUDGET!$C$2:$C$101,MATCH(B195,REFERENTIEL_BUDGET!$A$2:$A$101,0)),""),E195&lt;=IFERROR(INDEX(REFERENTIEL_BUDGET!$D$2:$D$101,MATCH(B195,REFERENTIEL_BUDGET!$A$2:$A$101,0)),"")),"Oui","Non"))</f>
        <v/>
      </c>
      <c r="Q195" t="str">
        <f t="shared" si="20"/>
        <v/>
      </c>
      <c r="R195" t="str">
        <f t="shared" si="21"/>
        <v/>
      </c>
      <c r="S195" t="str">
        <f t="shared" si="22"/>
        <v/>
      </c>
    </row>
    <row r="196" spans="1:19">
      <c r="A196">
        <f t="shared" si="18"/>
        <v>195</v>
      </c>
      <c r="E196" s="3"/>
      <c r="L196" s="5"/>
      <c r="M196" s="5">
        <f t="shared" si="23"/>
        <v>0</v>
      </c>
      <c r="N196" s="5"/>
      <c r="O196" s="5" t="str">
        <f t="shared" si="19"/>
        <v/>
      </c>
      <c r="P196" t="str">
        <f>IF(OR(B196="",E196=""),"",IF(AND(E196&gt;=IFERROR(INDEX(REFERENTIEL_BUDGET!$C$2:$C$101,MATCH(B196,REFERENTIEL_BUDGET!$A$2:$A$101,0)),""),E196&lt;=IFERROR(INDEX(REFERENTIEL_BUDGET!$D$2:$D$101,MATCH(B196,REFERENTIEL_BUDGET!$A$2:$A$101,0)),"")),"Oui","Non"))</f>
        <v/>
      </c>
      <c r="Q196" t="str">
        <f t="shared" si="20"/>
        <v/>
      </c>
      <c r="R196" t="str">
        <f t="shared" si="21"/>
        <v/>
      </c>
      <c r="S196" t="str">
        <f t="shared" si="22"/>
        <v/>
      </c>
    </row>
    <row r="197" spans="1:19">
      <c r="A197">
        <f t="shared" si="18"/>
        <v>196</v>
      </c>
      <c r="E197" s="3"/>
      <c r="L197" s="5"/>
      <c r="M197" s="5">
        <f t="shared" si="23"/>
        <v>0</v>
      </c>
      <c r="N197" s="5"/>
      <c r="O197" s="5" t="str">
        <f t="shared" si="19"/>
        <v/>
      </c>
      <c r="P197" t="str">
        <f>IF(OR(B197="",E197=""),"",IF(AND(E197&gt;=IFERROR(INDEX(REFERENTIEL_BUDGET!$C$2:$C$101,MATCH(B197,REFERENTIEL_BUDGET!$A$2:$A$101,0)),""),E197&lt;=IFERROR(INDEX(REFERENTIEL_BUDGET!$D$2:$D$101,MATCH(B197,REFERENTIEL_BUDGET!$A$2:$A$101,0)),"")),"Oui","Non"))</f>
        <v/>
      </c>
      <c r="Q197" t="str">
        <f t="shared" si="20"/>
        <v/>
      </c>
      <c r="R197" t="str">
        <f t="shared" si="21"/>
        <v/>
      </c>
      <c r="S197" t="str">
        <f t="shared" si="22"/>
        <v/>
      </c>
    </row>
    <row r="198" spans="1:19">
      <c r="A198">
        <f t="shared" si="18"/>
        <v>197</v>
      </c>
      <c r="E198" s="3"/>
      <c r="L198" s="5"/>
      <c r="M198" s="5">
        <f t="shared" si="23"/>
        <v>0</v>
      </c>
      <c r="N198" s="5"/>
      <c r="O198" s="5" t="str">
        <f t="shared" si="19"/>
        <v/>
      </c>
      <c r="P198" t="str">
        <f>IF(OR(B198="",E198=""),"",IF(AND(E198&gt;=IFERROR(INDEX(REFERENTIEL_BUDGET!$C$2:$C$101,MATCH(B198,REFERENTIEL_BUDGET!$A$2:$A$101,0)),""),E198&lt;=IFERROR(INDEX(REFERENTIEL_BUDGET!$D$2:$D$101,MATCH(B198,REFERENTIEL_BUDGET!$A$2:$A$101,0)),"")),"Oui","Non"))</f>
        <v/>
      </c>
      <c r="Q198" t="str">
        <f t="shared" si="20"/>
        <v/>
      </c>
      <c r="R198" t="str">
        <f t="shared" si="21"/>
        <v/>
      </c>
      <c r="S198" t="str">
        <f t="shared" si="22"/>
        <v/>
      </c>
    </row>
    <row r="199" spans="1:19">
      <c r="A199">
        <f t="shared" si="18"/>
        <v>198</v>
      </c>
      <c r="E199" s="3"/>
      <c r="L199" s="5"/>
      <c r="M199" s="5">
        <f t="shared" si="23"/>
        <v>0</v>
      </c>
      <c r="N199" s="5"/>
      <c r="O199" s="5" t="str">
        <f t="shared" si="19"/>
        <v/>
      </c>
      <c r="P199" t="str">
        <f>IF(OR(B199="",E199=""),"",IF(AND(E199&gt;=IFERROR(INDEX(REFERENTIEL_BUDGET!$C$2:$C$101,MATCH(B199,REFERENTIEL_BUDGET!$A$2:$A$101,0)),""),E199&lt;=IFERROR(INDEX(REFERENTIEL_BUDGET!$D$2:$D$101,MATCH(B199,REFERENTIEL_BUDGET!$A$2:$A$101,0)),"")),"Oui","Non"))</f>
        <v/>
      </c>
      <c r="Q199" t="str">
        <f t="shared" si="20"/>
        <v/>
      </c>
      <c r="R199" t="str">
        <f t="shared" si="21"/>
        <v/>
      </c>
      <c r="S199" t="str">
        <f t="shared" si="22"/>
        <v/>
      </c>
    </row>
    <row r="200" spans="1:19">
      <c r="A200">
        <f t="shared" si="18"/>
        <v>199</v>
      </c>
      <c r="E200" s="3"/>
      <c r="L200" s="5"/>
      <c r="M200" s="5">
        <f t="shared" si="23"/>
        <v>0</v>
      </c>
      <c r="N200" s="5"/>
      <c r="O200" s="5" t="str">
        <f t="shared" si="19"/>
        <v/>
      </c>
      <c r="P200" t="str">
        <f>IF(OR(B200="",E200=""),"",IF(AND(E200&gt;=IFERROR(INDEX(REFERENTIEL_BUDGET!$C$2:$C$101,MATCH(B200,REFERENTIEL_BUDGET!$A$2:$A$101,0)),""),E200&lt;=IFERROR(INDEX(REFERENTIEL_BUDGET!$D$2:$D$101,MATCH(B200,REFERENTIEL_BUDGET!$A$2:$A$101,0)),"")),"Oui","Non"))</f>
        <v/>
      </c>
      <c r="Q200" t="str">
        <f t="shared" si="20"/>
        <v/>
      </c>
      <c r="R200" t="str">
        <f t="shared" si="21"/>
        <v/>
      </c>
      <c r="S200" t="str">
        <f t="shared" si="22"/>
        <v/>
      </c>
    </row>
    <row r="201" spans="1:19">
      <c r="A201">
        <f t="shared" si="18"/>
        <v>200</v>
      </c>
      <c r="E201" s="3"/>
      <c r="L201" s="5"/>
      <c r="M201" s="5">
        <f t="shared" si="23"/>
        <v>0</v>
      </c>
      <c r="N201" s="5"/>
      <c r="O201" s="5" t="str">
        <f t="shared" si="19"/>
        <v/>
      </c>
      <c r="P201" t="str">
        <f>IF(OR(B201="",E201=""),"",IF(AND(E201&gt;=IFERROR(INDEX(REFERENTIEL_BUDGET!$C$2:$C$101,MATCH(B201,REFERENTIEL_BUDGET!$A$2:$A$101,0)),""),E201&lt;=IFERROR(INDEX(REFERENTIEL_BUDGET!$D$2:$D$101,MATCH(B201,REFERENTIEL_BUDGET!$A$2:$A$101,0)),"")),"Oui","Non"))</f>
        <v/>
      </c>
      <c r="Q201" t="str">
        <f t="shared" si="20"/>
        <v/>
      </c>
      <c r="R201" t="str">
        <f t="shared" si="21"/>
        <v/>
      </c>
      <c r="S201" t="str">
        <f t="shared" si="22"/>
        <v/>
      </c>
    </row>
    <row r="202" spans="1:19">
      <c r="A202">
        <f t="shared" si="18"/>
        <v>201</v>
      </c>
      <c r="E202" s="3"/>
      <c r="L202" s="5"/>
      <c r="M202" s="5">
        <f t="shared" si="23"/>
        <v>0</v>
      </c>
      <c r="N202" s="5"/>
      <c r="O202" s="5" t="str">
        <f t="shared" si="19"/>
        <v/>
      </c>
      <c r="P202" t="str">
        <f>IF(OR(B202="",E202=""),"",IF(AND(E202&gt;=IFERROR(INDEX(REFERENTIEL_BUDGET!$C$2:$C$101,MATCH(B202,REFERENTIEL_BUDGET!$A$2:$A$101,0)),""),E202&lt;=IFERROR(INDEX(REFERENTIEL_BUDGET!$D$2:$D$101,MATCH(B202,REFERENTIEL_BUDGET!$A$2:$A$101,0)),"")),"Oui","Non"))</f>
        <v/>
      </c>
      <c r="Q202" t="str">
        <f t="shared" si="20"/>
        <v/>
      </c>
      <c r="R202" t="str">
        <f t="shared" si="21"/>
        <v/>
      </c>
      <c r="S202" t="str">
        <f t="shared" si="22"/>
        <v/>
      </c>
    </row>
    <row r="203" spans="1:19">
      <c r="A203">
        <f t="shared" si="18"/>
        <v>202</v>
      </c>
      <c r="E203" s="3"/>
      <c r="L203" s="5"/>
      <c r="M203" s="5">
        <f t="shared" si="23"/>
        <v>0</v>
      </c>
      <c r="N203" s="5"/>
      <c r="O203" s="5" t="str">
        <f t="shared" si="19"/>
        <v/>
      </c>
      <c r="P203" t="str">
        <f>IF(OR(B203="",E203=""),"",IF(AND(E203&gt;=IFERROR(INDEX(REFERENTIEL_BUDGET!$C$2:$C$101,MATCH(B203,REFERENTIEL_BUDGET!$A$2:$A$101,0)),""),E203&lt;=IFERROR(INDEX(REFERENTIEL_BUDGET!$D$2:$D$101,MATCH(B203,REFERENTIEL_BUDGET!$A$2:$A$101,0)),"")),"Oui","Non"))</f>
        <v/>
      </c>
      <c r="Q203" t="str">
        <f t="shared" si="20"/>
        <v/>
      </c>
      <c r="R203" t="str">
        <f t="shared" si="21"/>
        <v/>
      </c>
      <c r="S203" t="str">
        <f t="shared" si="22"/>
        <v/>
      </c>
    </row>
    <row r="204" spans="1:19">
      <c r="A204">
        <f t="shared" si="18"/>
        <v>203</v>
      </c>
      <c r="E204" s="3"/>
      <c r="L204" s="5"/>
      <c r="M204" s="5">
        <f t="shared" si="23"/>
        <v>0</v>
      </c>
      <c r="N204" s="5"/>
      <c r="O204" s="5" t="str">
        <f t="shared" si="19"/>
        <v/>
      </c>
      <c r="P204" t="str">
        <f>IF(OR(B204="",E204=""),"",IF(AND(E204&gt;=IFERROR(INDEX(REFERENTIEL_BUDGET!$C$2:$C$101,MATCH(B204,REFERENTIEL_BUDGET!$A$2:$A$101,0)),""),E204&lt;=IFERROR(INDEX(REFERENTIEL_BUDGET!$D$2:$D$101,MATCH(B204,REFERENTIEL_BUDGET!$A$2:$A$101,0)),"")),"Oui","Non"))</f>
        <v/>
      </c>
      <c r="Q204" t="str">
        <f t="shared" si="20"/>
        <v/>
      </c>
      <c r="R204" t="str">
        <f t="shared" si="21"/>
        <v/>
      </c>
      <c r="S204" t="str">
        <f t="shared" si="22"/>
        <v/>
      </c>
    </row>
    <row r="205" spans="1:19">
      <c r="A205">
        <f t="shared" si="18"/>
        <v>204</v>
      </c>
      <c r="E205" s="3"/>
      <c r="L205" s="5"/>
      <c r="M205" s="5">
        <f t="shared" si="23"/>
        <v>0</v>
      </c>
      <c r="N205" s="5"/>
      <c r="O205" s="5" t="str">
        <f t="shared" si="19"/>
        <v/>
      </c>
      <c r="P205" t="str">
        <f>IF(OR(B205="",E205=""),"",IF(AND(E205&gt;=IFERROR(INDEX(REFERENTIEL_BUDGET!$C$2:$C$101,MATCH(B205,REFERENTIEL_BUDGET!$A$2:$A$101,0)),""),E205&lt;=IFERROR(INDEX(REFERENTIEL_BUDGET!$D$2:$D$101,MATCH(B205,REFERENTIEL_BUDGET!$A$2:$A$101,0)),"")),"Oui","Non"))</f>
        <v/>
      </c>
      <c r="Q205" t="str">
        <f t="shared" si="20"/>
        <v/>
      </c>
      <c r="R205" t="str">
        <f t="shared" si="21"/>
        <v/>
      </c>
      <c r="S205" t="str">
        <f t="shared" si="22"/>
        <v/>
      </c>
    </row>
    <row r="206" spans="1:19">
      <c r="A206">
        <f t="shared" si="18"/>
        <v>205</v>
      </c>
      <c r="E206" s="3"/>
      <c r="L206" s="5"/>
      <c r="M206" s="5">
        <f t="shared" si="23"/>
        <v>0</v>
      </c>
      <c r="N206" s="5"/>
      <c r="O206" s="5" t="str">
        <f t="shared" si="19"/>
        <v/>
      </c>
      <c r="P206" t="str">
        <f>IF(OR(B206="",E206=""),"",IF(AND(E206&gt;=IFERROR(INDEX(REFERENTIEL_BUDGET!$C$2:$C$101,MATCH(B206,REFERENTIEL_BUDGET!$A$2:$A$101,0)),""),E206&lt;=IFERROR(INDEX(REFERENTIEL_BUDGET!$D$2:$D$101,MATCH(B206,REFERENTIEL_BUDGET!$A$2:$A$101,0)),"")),"Oui","Non"))</f>
        <v/>
      </c>
      <c r="Q206" t="str">
        <f t="shared" si="20"/>
        <v/>
      </c>
      <c r="R206" t="str">
        <f t="shared" si="21"/>
        <v/>
      </c>
      <c r="S206" t="str">
        <f t="shared" si="22"/>
        <v/>
      </c>
    </row>
    <row r="207" spans="1:19">
      <c r="A207">
        <f t="shared" si="18"/>
        <v>206</v>
      </c>
      <c r="E207" s="3"/>
      <c r="L207" s="5"/>
      <c r="M207" s="5">
        <f t="shared" si="23"/>
        <v>0</v>
      </c>
      <c r="N207" s="5"/>
      <c r="O207" s="5" t="str">
        <f t="shared" si="19"/>
        <v/>
      </c>
      <c r="P207" t="str">
        <f>IF(OR(B207="",E207=""),"",IF(AND(E207&gt;=IFERROR(INDEX(REFERENTIEL_BUDGET!$C$2:$C$101,MATCH(B207,REFERENTIEL_BUDGET!$A$2:$A$101,0)),""),E207&lt;=IFERROR(INDEX(REFERENTIEL_BUDGET!$D$2:$D$101,MATCH(B207,REFERENTIEL_BUDGET!$A$2:$A$101,0)),"")),"Oui","Non"))</f>
        <v/>
      </c>
      <c r="Q207" t="str">
        <f t="shared" si="20"/>
        <v/>
      </c>
      <c r="R207" t="str">
        <f t="shared" si="21"/>
        <v/>
      </c>
      <c r="S207" t="str">
        <f t="shared" si="22"/>
        <v/>
      </c>
    </row>
    <row r="208" spans="1:19">
      <c r="A208">
        <f t="shared" si="18"/>
        <v>207</v>
      </c>
      <c r="E208" s="3"/>
      <c r="L208" s="5"/>
      <c r="M208" s="5">
        <f t="shared" si="23"/>
        <v>0</v>
      </c>
      <c r="N208" s="5"/>
      <c r="O208" s="5" t="str">
        <f t="shared" si="19"/>
        <v/>
      </c>
      <c r="P208" t="str">
        <f>IF(OR(B208="",E208=""),"",IF(AND(E208&gt;=IFERROR(INDEX(REFERENTIEL_BUDGET!$C$2:$C$101,MATCH(B208,REFERENTIEL_BUDGET!$A$2:$A$101,0)),""),E208&lt;=IFERROR(INDEX(REFERENTIEL_BUDGET!$D$2:$D$101,MATCH(B208,REFERENTIEL_BUDGET!$A$2:$A$101,0)),"")),"Oui","Non"))</f>
        <v/>
      </c>
      <c r="Q208" t="str">
        <f t="shared" si="20"/>
        <v/>
      </c>
      <c r="R208" t="str">
        <f t="shared" si="21"/>
        <v/>
      </c>
      <c r="S208" t="str">
        <f t="shared" si="22"/>
        <v/>
      </c>
    </row>
    <row r="209" spans="1:19">
      <c r="A209">
        <f t="shared" si="18"/>
        <v>208</v>
      </c>
      <c r="E209" s="3"/>
      <c r="L209" s="5"/>
      <c r="M209" s="5">
        <f t="shared" si="23"/>
        <v>0</v>
      </c>
      <c r="N209" s="5"/>
      <c r="O209" s="5" t="str">
        <f t="shared" si="19"/>
        <v/>
      </c>
      <c r="P209" t="str">
        <f>IF(OR(B209="",E209=""),"",IF(AND(E209&gt;=IFERROR(INDEX(REFERENTIEL_BUDGET!$C$2:$C$101,MATCH(B209,REFERENTIEL_BUDGET!$A$2:$A$101,0)),""),E209&lt;=IFERROR(INDEX(REFERENTIEL_BUDGET!$D$2:$D$101,MATCH(B209,REFERENTIEL_BUDGET!$A$2:$A$101,0)),"")),"Oui","Non"))</f>
        <v/>
      </c>
      <c r="Q209" t="str">
        <f t="shared" si="20"/>
        <v/>
      </c>
      <c r="R209" t="str">
        <f t="shared" si="21"/>
        <v/>
      </c>
      <c r="S209" t="str">
        <f t="shared" si="22"/>
        <v/>
      </c>
    </row>
    <row r="210" spans="1:19">
      <c r="A210">
        <f t="shared" si="18"/>
        <v>209</v>
      </c>
      <c r="E210" s="3"/>
      <c r="L210" s="5"/>
      <c r="M210" s="5">
        <f t="shared" si="23"/>
        <v>0</v>
      </c>
      <c r="N210" s="5"/>
      <c r="O210" s="5" t="str">
        <f t="shared" si="19"/>
        <v/>
      </c>
      <c r="P210" t="str">
        <f>IF(OR(B210="",E210=""),"",IF(AND(E210&gt;=IFERROR(INDEX(REFERENTIEL_BUDGET!$C$2:$C$101,MATCH(B210,REFERENTIEL_BUDGET!$A$2:$A$101,0)),""),E210&lt;=IFERROR(INDEX(REFERENTIEL_BUDGET!$D$2:$D$101,MATCH(B210,REFERENTIEL_BUDGET!$A$2:$A$101,0)),"")),"Oui","Non"))</f>
        <v/>
      </c>
      <c r="Q210" t="str">
        <f t="shared" si="20"/>
        <v/>
      </c>
      <c r="R210" t="str">
        <f t="shared" si="21"/>
        <v/>
      </c>
      <c r="S210" t="str">
        <f t="shared" si="22"/>
        <v/>
      </c>
    </row>
    <row r="211" spans="1:19">
      <c r="A211">
        <f t="shared" si="18"/>
        <v>210</v>
      </c>
      <c r="E211" s="3"/>
      <c r="L211" s="5"/>
      <c r="M211" s="5">
        <f t="shared" si="23"/>
        <v>0</v>
      </c>
      <c r="N211" s="5"/>
      <c r="O211" s="5" t="str">
        <f t="shared" si="19"/>
        <v/>
      </c>
      <c r="P211" t="str">
        <f>IF(OR(B211="",E211=""),"",IF(AND(E211&gt;=IFERROR(INDEX(REFERENTIEL_BUDGET!$C$2:$C$101,MATCH(B211,REFERENTIEL_BUDGET!$A$2:$A$101,0)),""),E211&lt;=IFERROR(INDEX(REFERENTIEL_BUDGET!$D$2:$D$101,MATCH(B211,REFERENTIEL_BUDGET!$A$2:$A$101,0)),"")),"Oui","Non"))</f>
        <v/>
      </c>
      <c r="Q211" t="str">
        <f t="shared" si="20"/>
        <v/>
      </c>
      <c r="R211" t="str">
        <f t="shared" si="21"/>
        <v/>
      </c>
      <c r="S211" t="str">
        <f t="shared" si="22"/>
        <v/>
      </c>
    </row>
    <row r="212" spans="1:19">
      <c r="A212">
        <f t="shared" si="18"/>
        <v>211</v>
      </c>
      <c r="E212" s="3"/>
      <c r="L212" s="5"/>
      <c r="M212" s="5">
        <f t="shared" si="23"/>
        <v>0</v>
      </c>
      <c r="N212" s="5"/>
      <c r="O212" s="5" t="str">
        <f t="shared" si="19"/>
        <v/>
      </c>
      <c r="P212" t="str">
        <f>IF(OR(B212="",E212=""),"",IF(AND(E212&gt;=IFERROR(INDEX(REFERENTIEL_BUDGET!$C$2:$C$101,MATCH(B212,REFERENTIEL_BUDGET!$A$2:$A$101,0)),""),E212&lt;=IFERROR(INDEX(REFERENTIEL_BUDGET!$D$2:$D$101,MATCH(B212,REFERENTIEL_BUDGET!$A$2:$A$101,0)),"")),"Oui","Non"))</f>
        <v/>
      </c>
      <c r="Q212" t="str">
        <f t="shared" si="20"/>
        <v/>
      </c>
      <c r="R212" t="str">
        <f t="shared" si="21"/>
        <v/>
      </c>
      <c r="S212" t="str">
        <f t="shared" si="22"/>
        <v/>
      </c>
    </row>
    <row r="213" spans="1:19">
      <c r="A213">
        <f t="shared" si="18"/>
        <v>212</v>
      </c>
      <c r="E213" s="3"/>
      <c r="L213" s="5"/>
      <c r="M213" s="5">
        <f t="shared" si="23"/>
        <v>0</v>
      </c>
      <c r="N213" s="5"/>
      <c r="O213" s="5" t="str">
        <f t="shared" si="19"/>
        <v/>
      </c>
      <c r="P213" t="str">
        <f>IF(OR(B213="",E213=""),"",IF(AND(E213&gt;=IFERROR(INDEX(REFERENTIEL_BUDGET!$C$2:$C$101,MATCH(B213,REFERENTIEL_BUDGET!$A$2:$A$101,0)),""),E213&lt;=IFERROR(INDEX(REFERENTIEL_BUDGET!$D$2:$D$101,MATCH(B213,REFERENTIEL_BUDGET!$A$2:$A$101,0)),"")),"Oui","Non"))</f>
        <v/>
      </c>
      <c r="Q213" t="str">
        <f t="shared" si="20"/>
        <v/>
      </c>
      <c r="R213" t="str">
        <f t="shared" si="21"/>
        <v/>
      </c>
      <c r="S213" t="str">
        <f t="shared" si="22"/>
        <v/>
      </c>
    </row>
    <row r="214" spans="1:19">
      <c r="A214">
        <f t="shared" si="18"/>
        <v>213</v>
      </c>
      <c r="E214" s="3"/>
      <c r="L214" s="5"/>
      <c r="M214" s="5">
        <f t="shared" si="23"/>
        <v>0</v>
      </c>
      <c r="N214" s="5"/>
      <c r="O214" s="5" t="str">
        <f t="shared" si="19"/>
        <v/>
      </c>
      <c r="P214" t="str">
        <f>IF(OR(B214="",E214=""),"",IF(AND(E214&gt;=IFERROR(INDEX(REFERENTIEL_BUDGET!$C$2:$C$101,MATCH(B214,REFERENTIEL_BUDGET!$A$2:$A$101,0)),""),E214&lt;=IFERROR(INDEX(REFERENTIEL_BUDGET!$D$2:$D$101,MATCH(B214,REFERENTIEL_BUDGET!$A$2:$A$101,0)),"")),"Oui","Non"))</f>
        <v/>
      </c>
      <c r="Q214" t="str">
        <f t="shared" si="20"/>
        <v/>
      </c>
      <c r="R214" t="str">
        <f t="shared" si="21"/>
        <v/>
      </c>
      <c r="S214" t="str">
        <f t="shared" si="22"/>
        <v/>
      </c>
    </row>
    <row r="215" spans="1:19">
      <c r="A215">
        <f t="shared" si="18"/>
        <v>214</v>
      </c>
      <c r="E215" s="3"/>
      <c r="L215" s="5"/>
      <c r="M215" s="5">
        <f t="shared" si="23"/>
        <v>0</v>
      </c>
      <c r="N215" s="5"/>
      <c r="O215" s="5" t="str">
        <f t="shared" si="19"/>
        <v/>
      </c>
      <c r="P215" t="str">
        <f>IF(OR(B215="",E215=""),"",IF(AND(E215&gt;=IFERROR(INDEX(REFERENTIEL_BUDGET!$C$2:$C$101,MATCH(B215,REFERENTIEL_BUDGET!$A$2:$A$101,0)),""),E215&lt;=IFERROR(INDEX(REFERENTIEL_BUDGET!$D$2:$D$101,MATCH(B215,REFERENTIEL_BUDGET!$A$2:$A$101,0)),"")),"Oui","Non"))</f>
        <v/>
      </c>
      <c r="Q215" t="str">
        <f t="shared" si="20"/>
        <v/>
      </c>
      <c r="R215" t="str">
        <f t="shared" si="21"/>
        <v/>
      </c>
      <c r="S215" t="str">
        <f t="shared" si="22"/>
        <v/>
      </c>
    </row>
    <row r="216" spans="1:19">
      <c r="A216">
        <f t="shared" si="18"/>
        <v>215</v>
      </c>
      <c r="E216" s="3"/>
      <c r="L216" s="5"/>
      <c r="M216" s="5">
        <f t="shared" si="23"/>
        <v>0</v>
      </c>
      <c r="N216" s="5"/>
      <c r="O216" s="5" t="str">
        <f t="shared" si="19"/>
        <v/>
      </c>
      <c r="P216" t="str">
        <f>IF(OR(B216="",E216=""),"",IF(AND(E216&gt;=IFERROR(INDEX(REFERENTIEL_BUDGET!$C$2:$C$101,MATCH(B216,REFERENTIEL_BUDGET!$A$2:$A$101,0)),""),E216&lt;=IFERROR(INDEX(REFERENTIEL_BUDGET!$D$2:$D$101,MATCH(B216,REFERENTIEL_BUDGET!$A$2:$A$101,0)),"")),"Oui","Non"))</f>
        <v/>
      </c>
      <c r="Q216" t="str">
        <f t="shared" si="20"/>
        <v/>
      </c>
      <c r="R216" t="str">
        <f t="shared" si="21"/>
        <v/>
      </c>
      <c r="S216" t="str">
        <f t="shared" si="22"/>
        <v/>
      </c>
    </row>
    <row r="217" spans="1:19">
      <c r="A217">
        <f t="shared" si="18"/>
        <v>216</v>
      </c>
      <c r="E217" s="3"/>
      <c r="L217" s="5"/>
      <c r="M217" s="5">
        <f t="shared" si="23"/>
        <v>0</v>
      </c>
      <c r="N217" s="5"/>
      <c r="O217" s="5" t="str">
        <f t="shared" si="19"/>
        <v/>
      </c>
      <c r="P217" t="str">
        <f>IF(OR(B217="",E217=""),"",IF(AND(E217&gt;=IFERROR(INDEX(REFERENTIEL_BUDGET!$C$2:$C$101,MATCH(B217,REFERENTIEL_BUDGET!$A$2:$A$101,0)),""),E217&lt;=IFERROR(INDEX(REFERENTIEL_BUDGET!$D$2:$D$101,MATCH(B217,REFERENTIEL_BUDGET!$A$2:$A$101,0)),"")),"Oui","Non"))</f>
        <v/>
      </c>
      <c r="Q217" t="str">
        <f t="shared" si="20"/>
        <v/>
      </c>
      <c r="R217" t="str">
        <f t="shared" si="21"/>
        <v/>
      </c>
      <c r="S217" t="str">
        <f t="shared" si="22"/>
        <v/>
      </c>
    </row>
    <row r="218" spans="1:19">
      <c r="A218">
        <f t="shared" si="18"/>
        <v>217</v>
      </c>
      <c r="E218" s="3"/>
      <c r="L218" s="5"/>
      <c r="M218" s="5">
        <f t="shared" si="23"/>
        <v>0</v>
      </c>
      <c r="N218" s="5"/>
      <c r="O218" s="5" t="str">
        <f t="shared" si="19"/>
        <v/>
      </c>
      <c r="P218" t="str">
        <f>IF(OR(B218="",E218=""),"",IF(AND(E218&gt;=IFERROR(INDEX(REFERENTIEL_BUDGET!$C$2:$C$101,MATCH(B218,REFERENTIEL_BUDGET!$A$2:$A$101,0)),""),E218&lt;=IFERROR(INDEX(REFERENTIEL_BUDGET!$D$2:$D$101,MATCH(B218,REFERENTIEL_BUDGET!$A$2:$A$101,0)),"")),"Oui","Non"))</f>
        <v/>
      </c>
      <c r="Q218" t="str">
        <f t="shared" si="20"/>
        <v/>
      </c>
      <c r="R218" t="str">
        <f t="shared" si="21"/>
        <v/>
      </c>
      <c r="S218" t="str">
        <f t="shared" si="22"/>
        <v/>
      </c>
    </row>
    <row r="219" spans="1:19">
      <c r="A219">
        <f t="shared" si="18"/>
        <v>218</v>
      </c>
      <c r="E219" s="3"/>
      <c r="L219" s="5"/>
      <c r="M219" s="5">
        <f t="shared" si="23"/>
        <v>0</v>
      </c>
      <c r="N219" s="5"/>
      <c r="O219" s="5" t="str">
        <f t="shared" si="19"/>
        <v/>
      </c>
      <c r="P219" t="str">
        <f>IF(OR(B219="",E219=""),"",IF(AND(E219&gt;=IFERROR(INDEX(REFERENTIEL_BUDGET!$C$2:$C$101,MATCH(B219,REFERENTIEL_BUDGET!$A$2:$A$101,0)),""),E219&lt;=IFERROR(INDEX(REFERENTIEL_BUDGET!$D$2:$D$101,MATCH(B219,REFERENTIEL_BUDGET!$A$2:$A$101,0)),"")),"Oui","Non"))</f>
        <v/>
      </c>
      <c r="Q219" t="str">
        <f t="shared" si="20"/>
        <v/>
      </c>
      <c r="R219" t="str">
        <f t="shared" si="21"/>
        <v/>
      </c>
      <c r="S219" t="str">
        <f t="shared" si="22"/>
        <v/>
      </c>
    </row>
    <row r="220" spans="1:19">
      <c r="A220">
        <f t="shared" si="18"/>
        <v>219</v>
      </c>
      <c r="E220" s="3"/>
      <c r="L220" s="5"/>
      <c r="M220" s="5">
        <f t="shared" si="23"/>
        <v>0</v>
      </c>
      <c r="N220" s="5"/>
      <c r="O220" s="5" t="str">
        <f t="shared" si="19"/>
        <v/>
      </c>
      <c r="P220" t="str">
        <f>IF(OR(B220="",E220=""),"",IF(AND(E220&gt;=IFERROR(INDEX(REFERENTIEL_BUDGET!$C$2:$C$101,MATCH(B220,REFERENTIEL_BUDGET!$A$2:$A$101,0)),""),E220&lt;=IFERROR(INDEX(REFERENTIEL_BUDGET!$D$2:$D$101,MATCH(B220,REFERENTIEL_BUDGET!$A$2:$A$101,0)),"")),"Oui","Non"))</f>
        <v/>
      </c>
      <c r="Q220" t="str">
        <f t="shared" si="20"/>
        <v/>
      </c>
      <c r="R220" t="str">
        <f t="shared" si="21"/>
        <v/>
      </c>
      <c r="S220" t="str">
        <f t="shared" si="22"/>
        <v/>
      </c>
    </row>
    <row r="221" spans="1:19">
      <c r="A221">
        <f t="shared" si="18"/>
        <v>220</v>
      </c>
      <c r="E221" s="3"/>
      <c r="L221" s="5"/>
      <c r="M221" s="5">
        <f t="shared" si="23"/>
        <v>0</v>
      </c>
      <c r="N221" s="5"/>
      <c r="O221" s="5" t="str">
        <f t="shared" si="19"/>
        <v/>
      </c>
      <c r="P221" t="str">
        <f>IF(OR(B221="",E221=""),"",IF(AND(E221&gt;=IFERROR(INDEX(REFERENTIEL_BUDGET!$C$2:$C$101,MATCH(B221,REFERENTIEL_BUDGET!$A$2:$A$101,0)),""),E221&lt;=IFERROR(INDEX(REFERENTIEL_BUDGET!$D$2:$D$101,MATCH(B221,REFERENTIEL_BUDGET!$A$2:$A$101,0)),"")),"Oui","Non"))</f>
        <v/>
      </c>
      <c r="Q221" t="str">
        <f t="shared" si="20"/>
        <v/>
      </c>
      <c r="R221" t="str">
        <f t="shared" si="21"/>
        <v/>
      </c>
      <c r="S221" t="str">
        <f t="shared" si="22"/>
        <v/>
      </c>
    </row>
    <row r="222" spans="1:19">
      <c r="A222">
        <f t="shared" si="18"/>
        <v>221</v>
      </c>
      <c r="E222" s="3"/>
      <c r="L222" s="5"/>
      <c r="M222" s="5">
        <f t="shared" si="23"/>
        <v>0</v>
      </c>
      <c r="N222" s="5"/>
      <c r="O222" s="5" t="str">
        <f t="shared" si="19"/>
        <v/>
      </c>
      <c r="P222" t="str">
        <f>IF(OR(B222="",E222=""),"",IF(AND(E222&gt;=IFERROR(INDEX(REFERENTIEL_BUDGET!$C$2:$C$101,MATCH(B222,REFERENTIEL_BUDGET!$A$2:$A$101,0)),""),E222&lt;=IFERROR(INDEX(REFERENTIEL_BUDGET!$D$2:$D$101,MATCH(B222,REFERENTIEL_BUDGET!$A$2:$A$101,0)),"")),"Oui","Non"))</f>
        <v/>
      </c>
      <c r="Q222" t="str">
        <f t="shared" si="20"/>
        <v/>
      </c>
      <c r="R222" t="str">
        <f t="shared" si="21"/>
        <v/>
      </c>
      <c r="S222" t="str">
        <f t="shared" si="22"/>
        <v/>
      </c>
    </row>
    <row r="223" spans="1:19">
      <c r="A223">
        <f t="shared" si="18"/>
        <v>222</v>
      </c>
      <c r="E223" s="3"/>
      <c r="L223" s="5"/>
      <c r="M223" s="5">
        <f t="shared" si="23"/>
        <v>0</v>
      </c>
      <c r="N223" s="5"/>
      <c r="O223" s="5" t="str">
        <f t="shared" si="19"/>
        <v/>
      </c>
      <c r="P223" t="str">
        <f>IF(OR(B223="",E223=""),"",IF(AND(E223&gt;=IFERROR(INDEX(REFERENTIEL_BUDGET!$C$2:$C$101,MATCH(B223,REFERENTIEL_BUDGET!$A$2:$A$101,0)),""),E223&lt;=IFERROR(INDEX(REFERENTIEL_BUDGET!$D$2:$D$101,MATCH(B223,REFERENTIEL_BUDGET!$A$2:$A$101,0)),"")),"Oui","Non"))</f>
        <v/>
      </c>
      <c r="Q223" t="str">
        <f t="shared" si="20"/>
        <v/>
      </c>
      <c r="R223" t="str">
        <f t="shared" si="21"/>
        <v/>
      </c>
      <c r="S223" t="str">
        <f t="shared" si="22"/>
        <v/>
      </c>
    </row>
    <row r="224" spans="1:19">
      <c r="A224">
        <f t="shared" si="18"/>
        <v>223</v>
      </c>
      <c r="E224" s="3"/>
      <c r="L224" s="5"/>
      <c r="M224" s="5">
        <f t="shared" si="23"/>
        <v>0</v>
      </c>
      <c r="N224" s="5"/>
      <c r="O224" s="5" t="str">
        <f t="shared" si="19"/>
        <v/>
      </c>
      <c r="P224" t="str">
        <f>IF(OR(B224="",E224=""),"",IF(AND(E224&gt;=IFERROR(INDEX(REFERENTIEL_BUDGET!$C$2:$C$101,MATCH(B224,REFERENTIEL_BUDGET!$A$2:$A$101,0)),""),E224&lt;=IFERROR(INDEX(REFERENTIEL_BUDGET!$D$2:$D$101,MATCH(B224,REFERENTIEL_BUDGET!$A$2:$A$101,0)),"")),"Oui","Non"))</f>
        <v/>
      </c>
      <c r="Q224" t="str">
        <f t="shared" si="20"/>
        <v/>
      </c>
      <c r="R224" t="str">
        <f t="shared" si="21"/>
        <v/>
      </c>
      <c r="S224" t="str">
        <f t="shared" si="22"/>
        <v/>
      </c>
    </row>
    <row r="225" spans="1:19">
      <c r="A225">
        <f t="shared" si="18"/>
        <v>224</v>
      </c>
      <c r="E225" s="3"/>
      <c r="L225" s="5"/>
      <c r="M225" s="5">
        <f t="shared" si="23"/>
        <v>0</v>
      </c>
      <c r="N225" s="5"/>
      <c r="O225" s="5" t="str">
        <f t="shared" si="19"/>
        <v/>
      </c>
      <c r="P225" t="str">
        <f>IF(OR(B225="",E225=""),"",IF(AND(E225&gt;=IFERROR(INDEX(REFERENTIEL_BUDGET!$C$2:$C$101,MATCH(B225,REFERENTIEL_BUDGET!$A$2:$A$101,0)),""),E225&lt;=IFERROR(INDEX(REFERENTIEL_BUDGET!$D$2:$D$101,MATCH(B225,REFERENTIEL_BUDGET!$A$2:$A$101,0)),"")),"Oui","Non"))</f>
        <v/>
      </c>
      <c r="Q225" t="str">
        <f t="shared" si="20"/>
        <v/>
      </c>
      <c r="R225" t="str">
        <f t="shared" si="21"/>
        <v/>
      </c>
      <c r="S225" t="str">
        <f t="shared" si="22"/>
        <v/>
      </c>
    </row>
    <row r="226" spans="1:19">
      <c r="A226">
        <f t="shared" si="18"/>
        <v>225</v>
      </c>
      <c r="E226" s="3"/>
      <c r="L226" s="5"/>
      <c r="M226" s="5">
        <f t="shared" si="23"/>
        <v>0</v>
      </c>
      <c r="N226" s="5"/>
      <c r="O226" s="5" t="str">
        <f t="shared" si="19"/>
        <v/>
      </c>
      <c r="P226" t="str">
        <f>IF(OR(B226="",E226=""),"",IF(AND(E226&gt;=IFERROR(INDEX(REFERENTIEL_BUDGET!$C$2:$C$101,MATCH(B226,REFERENTIEL_BUDGET!$A$2:$A$101,0)),""),E226&lt;=IFERROR(INDEX(REFERENTIEL_BUDGET!$D$2:$D$101,MATCH(B226,REFERENTIEL_BUDGET!$A$2:$A$101,0)),"")),"Oui","Non"))</f>
        <v/>
      </c>
      <c r="Q226" t="str">
        <f t="shared" si="20"/>
        <v/>
      </c>
      <c r="R226" t="str">
        <f t="shared" si="21"/>
        <v/>
      </c>
      <c r="S226" t="str">
        <f t="shared" si="22"/>
        <v/>
      </c>
    </row>
    <row r="227" spans="1:19">
      <c r="A227">
        <f t="shared" si="18"/>
        <v>226</v>
      </c>
      <c r="E227" s="3"/>
      <c r="L227" s="5"/>
      <c r="M227" s="5">
        <f t="shared" si="23"/>
        <v>0</v>
      </c>
      <c r="N227" s="5"/>
      <c r="O227" s="5" t="str">
        <f t="shared" si="19"/>
        <v/>
      </c>
      <c r="P227" t="str">
        <f>IF(OR(B227="",E227=""),"",IF(AND(E227&gt;=IFERROR(INDEX(REFERENTIEL_BUDGET!$C$2:$C$101,MATCH(B227,REFERENTIEL_BUDGET!$A$2:$A$101,0)),""),E227&lt;=IFERROR(INDEX(REFERENTIEL_BUDGET!$D$2:$D$101,MATCH(B227,REFERENTIEL_BUDGET!$A$2:$A$101,0)),"")),"Oui","Non"))</f>
        <v/>
      </c>
      <c r="Q227" t="str">
        <f t="shared" si="20"/>
        <v/>
      </c>
      <c r="R227" t="str">
        <f t="shared" si="21"/>
        <v/>
      </c>
      <c r="S227" t="str">
        <f t="shared" si="22"/>
        <v/>
      </c>
    </row>
    <row r="228" spans="1:19">
      <c r="A228">
        <f t="shared" si="18"/>
        <v>227</v>
      </c>
      <c r="E228" s="3"/>
      <c r="L228" s="5"/>
      <c r="M228" s="5">
        <f t="shared" si="23"/>
        <v>0</v>
      </c>
      <c r="N228" s="5"/>
      <c r="O228" s="5" t="str">
        <f t="shared" si="19"/>
        <v/>
      </c>
      <c r="P228" t="str">
        <f>IF(OR(B228="",E228=""),"",IF(AND(E228&gt;=IFERROR(INDEX(REFERENTIEL_BUDGET!$C$2:$C$101,MATCH(B228,REFERENTIEL_BUDGET!$A$2:$A$101,0)),""),E228&lt;=IFERROR(INDEX(REFERENTIEL_BUDGET!$D$2:$D$101,MATCH(B228,REFERENTIEL_BUDGET!$A$2:$A$101,0)),"")),"Oui","Non"))</f>
        <v/>
      </c>
      <c r="Q228" t="str">
        <f t="shared" si="20"/>
        <v/>
      </c>
      <c r="R228" t="str">
        <f t="shared" si="21"/>
        <v/>
      </c>
      <c r="S228" t="str">
        <f t="shared" si="22"/>
        <v/>
      </c>
    </row>
    <row r="229" spans="1:19">
      <c r="A229">
        <f t="shared" si="18"/>
        <v>228</v>
      </c>
      <c r="E229" s="3"/>
      <c r="L229" s="5"/>
      <c r="M229" s="5">
        <f t="shared" si="23"/>
        <v>0</v>
      </c>
      <c r="N229" s="5"/>
      <c r="O229" s="5" t="str">
        <f t="shared" si="19"/>
        <v/>
      </c>
      <c r="P229" t="str">
        <f>IF(OR(B229="",E229=""),"",IF(AND(E229&gt;=IFERROR(INDEX(REFERENTIEL_BUDGET!$C$2:$C$101,MATCH(B229,REFERENTIEL_BUDGET!$A$2:$A$101,0)),""),E229&lt;=IFERROR(INDEX(REFERENTIEL_BUDGET!$D$2:$D$101,MATCH(B229,REFERENTIEL_BUDGET!$A$2:$A$101,0)),"")),"Oui","Non"))</f>
        <v/>
      </c>
      <c r="Q229" t="str">
        <f t="shared" si="20"/>
        <v/>
      </c>
      <c r="R229" t="str">
        <f t="shared" si="21"/>
        <v/>
      </c>
      <c r="S229" t="str">
        <f t="shared" si="22"/>
        <v/>
      </c>
    </row>
    <row r="230" spans="1:19">
      <c r="A230">
        <f t="shared" si="18"/>
        <v>229</v>
      </c>
      <c r="E230" s="3"/>
      <c r="L230" s="5"/>
      <c r="M230" s="5">
        <f t="shared" si="23"/>
        <v>0</v>
      </c>
      <c r="N230" s="5"/>
      <c r="O230" s="5" t="str">
        <f t="shared" si="19"/>
        <v/>
      </c>
      <c r="P230" t="str">
        <f>IF(OR(B230="",E230=""),"",IF(AND(E230&gt;=IFERROR(INDEX(REFERENTIEL_BUDGET!$C$2:$C$101,MATCH(B230,REFERENTIEL_BUDGET!$A$2:$A$101,0)),""),E230&lt;=IFERROR(INDEX(REFERENTIEL_BUDGET!$D$2:$D$101,MATCH(B230,REFERENTIEL_BUDGET!$A$2:$A$101,0)),"")),"Oui","Non"))</f>
        <v/>
      </c>
      <c r="Q230" t="str">
        <f t="shared" si="20"/>
        <v/>
      </c>
      <c r="R230" t="str">
        <f t="shared" si="21"/>
        <v/>
      </c>
      <c r="S230" t="str">
        <f t="shared" si="22"/>
        <v/>
      </c>
    </row>
    <row r="231" spans="1:19">
      <c r="A231">
        <f t="shared" si="18"/>
        <v>230</v>
      </c>
      <c r="E231" s="3"/>
      <c r="L231" s="5"/>
      <c r="M231" s="5">
        <f t="shared" si="23"/>
        <v>0</v>
      </c>
      <c r="N231" s="5"/>
      <c r="O231" s="5" t="str">
        <f t="shared" si="19"/>
        <v/>
      </c>
      <c r="P231" t="str">
        <f>IF(OR(B231="",E231=""),"",IF(AND(E231&gt;=IFERROR(INDEX(REFERENTIEL_BUDGET!$C$2:$C$101,MATCH(B231,REFERENTIEL_BUDGET!$A$2:$A$101,0)),""),E231&lt;=IFERROR(INDEX(REFERENTIEL_BUDGET!$D$2:$D$101,MATCH(B231,REFERENTIEL_BUDGET!$A$2:$A$101,0)),"")),"Oui","Non"))</f>
        <v/>
      </c>
      <c r="Q231" t="str">
        <f t="shared" si="20"/>
        <v/>
      </c>
      <c r="R231" t="str">
        <f t="shared" si="21"/>
        <v/>
      </c>
      <c r="S231" t="str">
        <f t="shared" si="22"/>
        <v/>
      </c>
    </row>
    <row r="232" spans="1:19">
      <c r="A232">
        <f t="shared" si="18"/>
        <v>231</v>
      </c>
      <c r="E232" s="3"/>
      <c r="L232" s="5"/>
      <c r="M232" s="5">
        <f t="shared" si="23"/>
        <v>0</v>
      </c>
      <c r="N232" s="5"/>
      <c r="O232" s="5" t="str">
        <f t="shared" si="19"/>
        <v/>
      </c>
      <c r="P232" t="str">
        <f>IF(OR(B232="",E232=""),"",IF(AND(E232&gt;=IFERROR(INDEX(REFERENTIEL_BUDGET!$C$2:$C$101,MATCH(B232,REFERENTIEL_BUDGET!$A$2:$A$101,0)),""),E232&lt;=IFERROR(INDEX(REFERENTIEL_BUDGET!$D$2:$D$101,MATCH(B232,REFERENTIEL_BUDGET!$A$2:$A$101,0)),"")),"Oui","Non"))</f>
        <v/>
      </c>
      <c r="Q232" t="str">
        <f t="shared" si="20"/>
        <v/>
      </c>
      <c r="R232" t="str">
        <f t="shared" si="21"/>
        <v/>
      </c>
      <c r="S232" t="str">
        <f t="shared" si="22"/>
        <v/>
      </c>
    </row>
    <row r="233" spans="1:19">
      <c r="A233">
        <f t="shared" si="18"/>
        <v>232</v>
      </c>
      <c r="E233" s="3"/>
      <c r="L233" s="5"/>
      <c r="M233" s="5">
        <f t="shared" si="23"/>
        <v>0</v>
      </c>
      <c r="N233" s="5"/>
      <c r="O233" s="5" t="str">
        <f t="shared" si="19"/>
        <v/>
      </c>
      <c r="P233" t="str">
        <f>IF(OR(B233="",E233=""),"",IF(AND(E233&gt;=IFERROR(INDEX(REFERENTIEL_BUDGET!$C$2:$C$101,MATCH(B233,REFERENTIEL_BUDGET!$A$2:$A$101,0)),""),E233&lt;=IFERROR(INDEX(REFERENTIEL_BUDGET!$D$2:$D$101,MATCH(B233,REFERENTIEL_BUDGET!$A$2:$A$101,0)),"")),"Oui","Non"))</f>
        <v/>
      </c>
      <c r="Q233" t="str">
        <f t="shared" si="20"/>
        <v/>
      </c>
      <c r="R233" t="str">
        <f t="shared" si="21"/>
        <v/>
      </c>
      <c r="S233" t="str">
        <f t="shared" si="22"/>
        <v/>
      </c>
    </row>
    <row r="234" spans="1:19">
      <c r="A234">
        <f t="shared" si="18"/>
        <v>233</v>
      </c>
      <c r="E234" s="3"/>
      <c r="L234" s="5"/>
      <c r="M234" s="5">
        <f t="shared" si="23"/>
        <v>0</v>
      </c>
      <c r="N234" s="5"/>
      <c r="O234" s="5" t="str">
        <f t="shared" si="19"/>
        <v/>
      </c>
      <c r="P234" t="str">
        <f>IF(OR(B234="",E234=""),"",IF(AND(E234&gt;=IFERROR(INDEX(REFERENTIEL_BUDGET!$C$2:$C$101,MATCH(B234,REFERENTIEL_BUDGET!$A$2:$A$101,0)),""),E234&lt;=IFERROR(INDEX(REFERENTIEL_BUDGET!$D$2:$D$101,MATCH(B234,REFERENTIEL_BUDGET!$A$2:$A$101,0)),"")),"Oui","Non"))</f>
        <v/>
      </c>
      <c r="Q234" t="str">
        <f t="shared" si="20"/>
        <v/>
      </c>
      <c r="R234" t="str">
        <f t="shared" si="21"/>
        <v/>
      </c>
      <c r="S234" t="str">
        <f t="shared" si="22"/>
        <v/>
      </c>
    </row>
    <row r="235" spans="1:19">
      <c r="A235">
        <f t="shared" si="18"/>
        <v>234</v>
      </c>
      <c r="E235" s="3"/>
      <c r="L235" s="5"/>
      <c r="M235" s="5">
        <f t="shared" si="23"/>
        <v>0</v>
      </c>
      <c r="N235" s="5"/>
      <c r="O235" s="5" t="str">
        <f t="shared" si="19"/>
        <v/>
      </c>
      <c r="P235" t="str">
        <f>IF(OR(B235="",E235=""),"",IF(AND(E235&gt;=IFERROR(INDEX(REFERENTIEL_BUDGET!$C$2:$C$101,MATCH(B235,REFERENTIEL_BUDGET!$A$2:$A$101,0)),""),E235&lt;=IFERROR(INDEX(REFERENTIEL_BUDGET!$D$2:$D$101,MATCH(B235,REFERENTIEL_BUDGET!$A$2:$A$101,0)),"")),"Oui","Non"))</f>
        <v/>
      </c>
      <c r="Q235" t="str">
        <f t="shared" si="20"/>
        <v/>
      </c>
      <c r="R235" t="str">
        <f t="shared" si="21"/>
        <v/>
      </c>
      <c r="S235" t="str">
        <f t="shared" si="22"/>
        <v/>
      </c>
    </row>
    <row r="236" spans="1:19">
      <c r="A236">
        <f t="shared" si="18"/>
        <v>235</v>
      </c>
      <c r="E236" s="3"/>
      <c r="L236" s="5"/>
      <c r="M236" s="5">
        <f t="shared" si="23"/>
        <v>0</v>
      </c>
      <c r="N236" s="5"/>
      <c r="O236" s="5" t="str">
        <f t="shared" si="19"/>
        <v/>
      </c>
      <c r="P236" t="str">
        <f>IF(OR(B236="",E236=""),"",IF(AND(E236&gt;=IFERROR(INDEX(REFERENTIEL_BUDGET!$C$2:$C$101,MATCH(B236,REFERENTIEL_BUDGET!$A$2:$A$101,0)),""),E236&lt;=IFERROR(INDEX(REFERENTIEL_BUDGET!$D$2:$D$101,MATCH(B236,REFERENTIEL_BUDGET!$A$2:$A$101,0)),"")),"Oui","Non"))</f>
        <v/>
      </c>
      <c r="Q236" t="str">
        <f t="shared" si="20"/>
        <v/>
      </c>
      <c r="R236" t="str">
        <f t="shared" si="21"/>
        <v/>
      </c>
      <c r="S236" t="str">
        <f t="shared" si="22"/>
        <v/>
      </c>
    </row>
    <row r="237" spans="1:19">
      <c r="A237">
        <f t="shared" si="18"/>
        <v>236</v>
      </c>
      <c r="E237" s="3"/>
      <c r="L237" s="5"/>
      <c r="M237" s="5">
        <f t="shared" si="23"/>
        <v>0</v>
      </c>
      <c r="N237" s="5"/>
      <c r="O237" s="5" t="str">
        <f t="shared" si="19"/>
        <v/>
      </c>
      <c r="P237" t="str">
        <f>IF(OR(B237="",E237=""),"",IF(AND(E237&gt;=IFERROR(INDEX(REFERENTIEL_BUDGET!$C$2:$C$101,MATCH(B237,REFERENTIEL_BUDGET!$A$2:$A$101,0)),""),E237&lt;=IFERROR(INDEX(REFERENTIEL_BUDGET!$D$2:$D$101,MATCH(B237,REFERENTIEL_BUDGET!$A$2:$A$101,0)),"")),"Oui","Non"))</f>
        <v/>
      </c>
      <c r="Q237" t="str">
        <f t="shared" si="20"/>
        <v/>
      </c>
      <c r="R237" t="str">
        <f t="shared" si="21"/>
        <v/>
      </c>
      <c r="S237" t="str">
        <f t="shared" si="22"/>
        <v/>
      </c>
    </row>
    <row r="238" spans="1:19">
      <c r="A238">
        <f t="shared" si="18"/>
        <v>237</v>
      </c>
      <c r="E238" s="3"/>
      <c r="L238" s="5"/>
      <c r="M238" s="5">
        <f t="shared" si="23"/>
        <v>0</v>
      </c>
      <c r="N238" s="5"/>
      <c r="O238" s="5" t="str">
        <f t="shared" si="19"/>
        <v/>
      </c>
      <c r="P238" t="str">
        <f>IF(OR(B238="",E238=""),"",IF(AND(E238&gt;=IFERROR(INDEX(REFERENTIEL_BUDGET!$C$2:$C$101,MATCH(B238,REFERENTIEL_BUDGET!$A$2:$A$101,0)),""),E238&lt;=IFERROR(INDEX(REFERENTIEL_BUDGET!$D$2:$D$101,MATCH(B238,REFERENTIEL_BUDGET!$A$2:$A$101,0)),"")),"Oui","Non"))</f>
        <v/>
      </c>
      <c r="Q238" t="str">
        <f t="shared" si="20"/>
        <v/>
      </c>
      <c r="R238" t="str">
        <f t="shared" si="21"/>
        <v/>
      </c>
      <c r="S238" t="str">
        <f t="shared" si="22"/>
        <v/>
      </c>
    </row>
    <row r="239" spans="1:19">
      <c r="A239">
        <f t="shared" si="18"/>
        <v>238</v>
      </c>
      <c r="E239" s="3"/>
      <c r="L239" s="5"/>
      <c r="M239" s="5">
        <f t="shared" si="23"/>
        <v>0</v>
      </c>
      <c r="N239" s="5"/>
      <c r="O239" s="5" t="str">
        <f t="shared" si="19"/>
        <v/>
      </c>
      <c r="P239" t="str">
        <f>IF(OR(B239="",E239=""),"",IF(AND(E239&gt;=IFERROR(INDEX(REFERENTIEL_BUDGET!$C$2:$C$101,MATCH(B239,REFERENTIEL_BUDGET!$A$2:$A$101,0)),""),E239&lt;=IFERROR(INDEX(REFERENTIEL_BUDGET!$D$2:$D$101,MATCH(B239,REFERENTIEL_BUDGET!$A$2:$A$101,0)),"")),"Oui","Non"))</f>
        <v/>
      </c>
      <c r="Q239" t="str">
        <f t="shared" si="20"/>
        <v/>
      </c>
      <c r="R239" t="str">
        <f t="shared" si="21"/>
        <v/>
      </c>
      <c r="S239" t="str">
        <f t="shared" si="22"/>
        <v/>
      </c>
    </row>
    <row r="240" spans="1:19">
      <c r="A240">
        <f t="shared" si="18"/>
        <v>239</v>
      </c>
      <c r="E240" s="3"/>
      <c r="L240" s="5"/>
      <c r="M240" s="5">
        <f t="shared" si="23"/>
        <v>0</v>
      </c>
      <c r="N240" s="5"/>
      <c r="O240" s="5" t="str">
        <f t="shared" si="19"/>
        <v/>
      </c>
      <c r="P240" t="str">
        <f>IF(OR(B240="",E240=""),"",IF(AND(E240&gt;=IFERROR(INDEX(REFERENTIEL_BUDGET!$C$2:$C$101,MATCH(B240,REFERENTIEL_BUDGET!$A$2:$A$101,0)),""),E240&lt;=IFERROR(INDEX(REFERENTIEL_BUDGET!$D$2:$D$101,MATCH(B240,REFERENTIEL_BUDGET!$A$2:$A$101,0)),"")),"Oui","Non"))</f>
        <v/>
      </c>
      <c r="Q240" t="str">
        <f t="shared" si="20"/>
        <v/>
      </c>
      <c r="R240" t="str">
        <f t="shared" si="21"/>
        <v/>
      </c>
      <c r="S240" t="str">
        <f t="shared" si="22"/>
        <v/>
      </c>
    </row>
    <row r="241" spans="1:19">
      <c r="A241">
        <f t="shared" si="18"/>
        <v>240</v>
      </c>
      <c r="E241" s="3"/>
      <c r="L241" s="5"/>
      <c r="M241" s="5">
        <f t="shared" si="23"/>
        <v>0</v>
      </c>
      <c r="N241" s="5"/>
      <c r="O241" s="5" t="str">
        <f t="shared" si="19"/>
        <v/>
      </c>
      <c r="P241" t="str">
        <f>IF(OR(B241="",E241=""),"",IF(AND(E241&gt;=IFERROR(INDEX(REFERENTIEL_BUDGET!$C$2:$C$101,MATCH(B241,REFERENTIEL_BUDGET!$A$2:$A$101,0)),""),E241&lt;=IFERROR(INDEX(REFERENTIEL_BUDGET!$D$2:$D$101,MATCH(B241,REFERENTIEL_BUDGET!$A$2:$A$101,0)),"")),"Oui","Non"))</f>
        <v/>
      </c>
      <c r="Q241" t="str">
        <f t="shared" si="20"/>
        <v/>
      </c>
      <c r="R241" t="str">
        <f t="shared" si="21"/>
        <v/>
      </c>
      <c r="S241" t="str">
        <f t="shared" si="22"/>
        <v/>
      </c>
    </row>
    <row r="242" spans="1:19">
      <c r="A242">
        <f t="shared" si="18"/>
        <v>241</v>
      </c>
      <c r="E242" s="3"/>
      <c r="L242" s="5"/>
      <c r="M242" s="5">
        <f t="shared" si="23"/>
        <v>0</v>
      </c>
      <c r="N242" s="5"/>
      <c r="O242" s="5" t="str">
        <f t="shared" si="19"/>
        <v/>
      </c>
      <c r="P242" t="str">
        <f>IF(OR(B242="",E242=""),"",IF(AND(E242&gt;=IFERROR(INDEX(REFERENTIEL_BUDGET!$C$2:$C$101,MATCH(B242,REFERENTIEL_BUDGET!$A$2:$A$101,0)),""),E242&lt;=IFERROR(INDEX(REFERENTIEL_BUDGET!$D$2:$D$101,MATCH(B242,REFERENTIEL_BUDGET!$A$2:$A$101,0)),"")),"Oui","Non"))</f>
        <v/>
      </c>
      <c r="Q242" t="str">
        <f t="shared" si="20"/>
        <v/>
      </c>
      <c r="R242" t="str">
        <f t="shared" si="21"/>
        <v/>
      </c>
      <c r="S242" t="str">
        <f t="shared" si="22"/>
        <v/>
      </c>
    </row>
    <row r="243" spans="1:19">
      <c r="A243">
        <f t="shared" si="18"/>
        <v>242</v>
      </c>
      <c r="E243" s="3"/>
      <c r="L243" s="5"/>
      <c r="M243" s="5">
        <f t="shared" si="23"/>
        <v>0</v>
      </c>
      <c r="N243" s="5"/>
      <c r="O243" s="5" t="str">
        <f t="shared" si="19"/>
        <v/>
      </c>
      <c r="P243" t="str">
        <f>IF(OR(B243="",E243=""),"",IF(AND(E243&gt;=IFERROR(INDEX(REFERENTIEL_BUDGET!$C$2:$C$101,MATCH(B243,REFERENTIEL_BUDGET!$A$2:$A$101,0)),""),E243&lt;=IFERROR(INDEX(REFERENTIEL_BUDGET!$D$2:$D$101,MATCH(B243,REFERENTIEL_BUDGET!$A$2:$A$101,0)),"")),"Oui","Non"))</f>
        <v/>
      </c>
      <c r="Q243" t="str">
        <f t="shared" si="20"/>
        <v/>
      </c>
      <c r="R243" t="str">
        <f t="shared" si="21"/>
        <v/>
      </c>
      <c r="S243" t="str">
        <f t="shared" si="22"/>
        <v/>
      </c>
    </row>
    <row r="244" spans="1:19">
      <c r="A244">
        <f t="shared" si="18"/>
        <v>243</v>
      </c>
      <c r="E244" s="3"/>
      <c r="L244" s="5"/>
      <c r="M244" s="5">
        <f t="shared" si="23"/>
        <v>0</v>
      </c>
      <c r="N244" s="5"/>
      <c r="O244" s="5" t="str">
        <f t="shared" si="19"/>
        <v/>
      </c>
      <c r="P244" t="str">
        <f>IF(OR(B244="",E244=""),"",IF(AND(E244&gt;=IFERROR(INDEX(REFERENTIEL_BUDGET!$C$2:$C$101,MATCH(B244,REFERENTIEL_BUDGET!$A$2:$A$101,0)),""),E244&lt;=IFERROR(INDEX(REFERENTIEL_BUDGET!$D$2:$D$101,MATCH(B244,REFERENTIEL_BUDGET!$A$2:$A$101,0)),"")),"Oui","Non"))</f>
        <v/>
      </c>
      <c r="Q244" t="str">
        <f t="shared" si="20"/>
        <v/>
      </c>
      <c r="R244" t="str">
        <f t="shared" si="21"/>
        <v/>
      </c>
      <c r="S244" t="str">
        <f t="shared" si="22"/>
        <v/>
      </c>
    </row>
    <row r="245" spans="1:19">
      <c r="A245">
        <f t="shared" si="18"/>
        <v>244</v>
      </c>
      <c r="E245" s="3"/>
      <c r="L245" s="5"/>
      <c r="M245" s="5">
        <f t="shared" si="23"/>
        <v>0</v>
      </c>
      <c r="N245" s="5"/>
      <c r="O245" s="5" t="str">
        <f t="shared" si="19"/>
        <v/>
      </c>
      <c r="P245" t="str">
        <f>IF(OR(B245="",E245=""),"",IF(AND(E245&gt;=IFERROR(INDEX(REFERENTIEL_BUDGET!$C$2:$C$101,MATCH(B245,REFERENTIEL_BUDGET!$A$2:$A$101,0)),""),E245&lt;=IFERROR(INDEX(REFERENTIEL_BUDGET!$D$2:$D$101,MATCH(B245,REFERENTIEL_BUDGET!$A$2:$A$101,0)),"")),"Oui","Non"))</f>
        <v/>
      </c>
      <c r="Q245" t="str">
        <f t="shared" si="20"/>
        <v/>
      </c>
      <c r="R245" t="str">
        <f t="shared" si="21"/>
        <v/>
      </c>
      <c r="S245" t="str">
        <f t="shared" si="22"/>
        <v/>
      </c>
    </row>
    <row r="246" spans="1:19">
      <c r="A246">
        <f t="shared" si="18"/>
        <v>245</v>
      </c>
      <c r="E246" s="3"/>
      <c r="L246" s="5"/>
      <c r="M246" s="5">
        <f t="shared" si="23"/>
        <v>0</v>
      </c>
      <c r="N246" s="5"/>
      <c r="O246" s="5" t="str">
        <f t="shared" si="19"/>
        <v/>
      </c>
      <c r="P246" t="str">
        <f>IF(OR(B246="",E246=""),"",IF(AND(E246&gt;=IFERROR(INDEX(REFERENTIEL_BUDGET!$C$2:$C$101,MATCH(B246,REFERENTIEL_BUDGET!$A$2:$A$101,0)),""),E246&lt;=IFERROR(INDEX(REFERENTIEL_BUDGET!$D$2:$D$101,MATCH(B246,REFERENTIEL_BUDGET!$A$2:$A$101,0)),"")),"Oui","Non"))</f>
        <v/>
      </c>
      <c r="Q246" t="str">
        <f t="shared" si="20"/>
        <v/>
      </c>
      <c r="R246" t="str">
        <f t="shared" si="21"/>
        <v/>
      </c>
      <c r="S246" t="str">
        <f t="shared" si="22"/>
        <v/>
      </c>
    </row>
    <row r="247" spans="1:19">
      <c r="A247">
        <f t="shared" si="18"/>
        <v>246</v>
      </c>
      <c r="E247" s="3"/>
      <c r="L247" s="5"/>
      <c r="M247" s="5">
        <f t="shared" si="23"/>
        <v>0</v>
      </c>
      <c r="N247" s="5"/>
      <c r="O247" s="5" t="str">
        <f t="shared" si="19"/>
        <v/>
      </c>
      <c r="P247" t="str">
        <f>IF(OR(B247="",E247=""),"",IF(AND(E247&gt;=IFERROR(INDEX(REFERENTIEL_BUDGET!$C$2:$C$101,MATCH(B247,REFERENTIEL_BUDGET!$A$2:$A$101,0)),""),E247&lt;=IFERROR(INDEX(REFERENTIEL_BUDGET!$D$2:$D$101,MATCH(B247,REFERENTIEL_BUDGET!$A$2:$A$101,0)),"")),"Oui","Non"))</f>
        <v/>
      </c>
      <c r="Q247" t="str">
        <f t="shared" si="20"/>
        <v/>
      </c>
      <c r="R247" t="str">
        <f t="shared" si="21"/>
        <v/>
      </c>
      <c r="S247" t="str">
        <f t="shared" si="22"/>
        <v/>
      </c>
    </row>
    <row r="248" spans="1:19">
      <c r="A248">
        <f t="shared" si="18"/>
        <v>247</v>
      </c>
      <c r="E248" s="3"/>
      <c r="L248" s="5"/>
      <c r="M248" s="5">
        <f t="shared" si="23"/>
        <v>0</v>
      </c>
      <c r="N248" s="5"/>
      <c r="O248" s="5" t="str">
        <f t="shared" si="19"/>
        <v/>
      </c>
      <c r="P248" t="str">
        <f>IF(OR(B248="",E248=""),"",IF(AND(E248&gt;=IFERROR(INDEX(REFERENTIEL_BUDGET!$C$2:$C$101,MATCH(B248,REFERENTIEL_BUDGET!$A$2:$A$101,0)),""),E248&lt;=IFERROR(INDEX(REFERENTIEL_BUDGET!$D$2:$D$101,MATCH(B248,REFERENTIEL_BUDGET!$A$2:$A$101,0)),"")),"Oui","Non"))</f>
        <v/>
      </c>
      <c r="Q248" t="str">
        <f t="shared" si="20"/>
        <v/>
      </c>
      <c r="R248" t="str">
        <f t="shared" si="21"/>
        <v/>
      </c>
      <c r="S248" t="str">
        <f t="shared" si="22"/>
        <v/>
      </c>
    </row>
    <row r="249" spans="1:19">
      <c r="A249">
        <f t="shared" si="18"/>
        <v>248</v>
      </c>
      <c r="E249" s="3"/>
      <c r="L249" s="5"/>
      <c r="M249" s="5">
        <f t="shared" si="23"/>
        <v>0</v>
      </c>
      <c r="N249" s="5"/>
      <c r="O249" s="5" t="str">
        <f t="shared" si="19"/>
        <v/>
      </c>
      <c r="P249" t="str">
        <f>IF(OR(B249="",E249=""),"",IF(AND(E249&gt;=IFERROR(INDEX(REFERENTIEL_BUDGET!$C$2:$C$101,MATCH(B249,REFERENTIEL_BUDGET!$A$2:$A$101,0)),""),E249&lt;=IFERROR(INDEX(REFERENTIEL_BUDGET!$D$2:$D$101,MATCH(B249,REFERENTIEL_BUDGET!$A$2:$A$101,0)),"")),"Oui","Non"))</f>
        <v/>
      </c>
      <c r="Q249" t="str">
        <f t="shared" si="20"/>
        <v/>
      </c>
      <c r="R249" t="str">
        <f t="shared" si="21"/>
        <v/>
      </c>
      <c r="S249" t="str">
        <f t="shared" si="22"/>
        <v/>
      </c>
    </row>
    <row r="250" spans="1:19">
      <c r="A250">
        <f t="shared" si="18"/>
        <v>249</v>
      </c>
      <c r="E250" s="3"/>
      <c r="L250" s="5"/>
      <c r="M250" s="5">
        <f t="shared" si="23"/>
        <v>0</v>
      </c>
      <c r="N250" s="5"/>
      <c r="O250" s="5" t="str">
        <f t="shared" si="19"/>
        <v/>
      </c>
      <c r="P250" t="str">
        <f>IF(OR(B250="",E250=""),"",IF(AND(E250&gt;=IFERROR(INDEX(REFERENTIEL_BUDGET!$C$2:$C$101,MATCH(B250,REFERENTIEL_BUDGET!$A$2:$A$101,0)),""),E250&lt;=IFERROR(INDEX(REFERENTIEL_BUDGET!$D$2:$D$101,MATCH(B250,REFERENTIEL_BUDGET!$A$2:$A$101,0)),"")),"Oui","Non"))</f>
        <v/>
      </c>
      <c r="Q250" t="str">
        <f t="shared" si="20"/>
        <v/>
      </c>
      <c r="R250" t="str">
        <f t="shared" si="21"/>
        <v/>
      </c>
      <c r="S250" t="str">
        <f t="shared" si="22"/>
        <v/>
      </c>
    </row>
    <row r="251" spans="1:19">
      <c r="A251">
        <f t="shared" si="18"/>
        <v>250</v>
      </c>
      <c r="E251" s="3"/>
      <c r="L251" s="5"/>
      <c r="M251" s="5">
        <f t="shared" si="23"/>
        <v>0</v>
      </c>
      <c r="N251" s="5"/>
      <c r="O251" s="5" t="str">
        <f t="shared" si="19"/>
        <v/>
      </c>
      <c r="P251" t="str">
        <f>IF(OR(B251="",E251=""),"",IF(AND(E251&gt;=IFERROR(INDEX(REFERENTIEL_BUDGET!$C$2:$C$101,MATCH(B251,REFERENTIEL_BUDGET!$A$2:$A$101,0)),""),E251&lt;=IFERROR(INDEX(REFERENTIEL_BUDGET!$D$2:$D$101,MATCH(B251,REFERENTIEL_BUDGET!$A$2:$A$101,0)),"")),"Oui","Non"))</f>
        <v/>
      </c>
      <c r="Q251" t="str">
        <f t="shared" si="20"/>
        <v/>
      </c>
      <c r="R251" t="str">
        <f t="shared" si="21"/>
        <v/>
      </c>
      <c r="S251" t="str">
        <f t="shared" si="22"/>
        <v/>
      </c>
    </row>
    <row r="252" spans="1:19">
      <c r="A252">
        <f t="shared" si="18"/>
        <v>251</v>
      </c>
      <c r="E252" s="3"/>
      <c r="L252" s="5"/>
      <c r="M252" s="5">
        <f t="shared" si="23"/>
        <v>0</v>
      </c>
      <c r="N252" s="5"/>
      <c r="O252" s="5" t="str">
        <f t="shared" si="19"/>
        <v/>
      </c>
      <c r="P252" t="str">
        <f>IF(OR(B252="",E252=""),"",IF(AND(E252&gt;=IFERROR(INDEX(REFERENTIEL_BUDGET!$C$2:$C$101,MATCH(B252,REFERENTIEL_BUDGET!$A$2:$A$101,0)),""),E252&lt;=IFERROR(INDEX(REFERENTIEL_BUDGET!$D$2:$D$101,MATCH(B252,REFERENTIEL_BUDGET!$A$2:$A$101,0)),"")),"Oui","Non"))</f>
        <v/>
      </c>
      <c r="Q252" t="str">
        <f t="shared" si="20"/>
        <v/>
      </c>
      <c r="R252" t="str">
        <f t="shared" si="21"/>
        <v/>
      </c>
      <c r="S252" t="str">
        <f t="shared" si="22"/>
        <v/>
      </c>
    </row>
    <row r="253" spans="1:19">
      <c r="A253">
        <f t="shared" si="18"/>
        <v>252</v>
      </c>
      <c r="E253" s="3"/>
      <c r="L253" s="5"/>
      <c r="M253" s="5">
        <f t="shared" si="23"/>
        <v>0</v>
      </c>
      <c r="N253" s="5"/>
      <c r="O253" s="5" t="str">
        <f t="shared" si="19"/>
        <v/>
      </c>
      <c r="P253" t="str">
        <f>IF(OR(B253="",E253=""),"",IF(AND(E253&gt;=IFERROR(INDEX(REFERENTIEL_BUDGET!$C$2:$C$101,MATCH(B253,REFERENTIEL_BUDGET!$A$2:$A$101,0)),""),E253&lt;=IFERROR(INDEX(REFERENTIEL_BUDGET!$D$2:$D$101,MATCH(B253,REFERENTIEL_BUDGET!$A$2:$A$101,0)),"")),"Oui","Non"))</f>
        <v/>
      </c>
      <c r="Q253" t="str">
        <f t="shared" si="20"/>
        <v/>
      </c>
      <c r="R253" t="str">
        <f t="shared" si="21"/>
        <v/>
      </c>
      <c r="S253" t="str">
        <f t="shared" si="22"/>
        <v/>
      </c>
    </row>
    <row r="254" spans="1:19">
      <c r="A254">
        <f t="shared" si="18"/>
        <v>253</v>
      </c>
      <c r="E254" s="3"/>
      <c r="L254" s="5"/>
      <c r="M254" s="5">
        <f t="shared" si="23"/>
        <v>0</v>
      </c>
      <c r="N254" s="5"/>
      <c r="O254" s="5" t="str">
        <f t="shared" si="19"/>
        <v/>
      </c>
      <c r="P254" t="str">
        <f>IF(OR(B254="",E254=""),"",IF(AND(E254&gt;=IFERROR(INDEX(REFERENTIEL_BUDGET!$C$2:$C$101,MATCH(B254,REFERENTIEL_BUDGET!$A$2:$A$101,0)),""),E254&lt;=IFERROR(INDEX(REFERENTIEL_BUDGET!$D$2:$D$101,MATCH(B254,REFERENTIEL_BUDGET!$A$2:$A$101,0)),"")),"Oui","Non"))</f>
        <v/>
      </c>
      <c r="Q254" t="str">
        <f t="shared" si="20"/>
        <v/>
      </c>
      <c r="R254" t="str">
        <f t="shared" si="21"/>
        <v/>
      </c>
      <c r="S254" t="str">
        <f t="shared" si="22"/>
        <v/>
      </c>
    </row>
    <row r="255" spans="1:19">
      <c r="A255">
        <f t="shared" si="18"/>
        <v>254</v>
      </c>
      <c r="E255" s="3"/>
      <c r="L255" s="5"/>
      <c r="M255" s="5">
        <f t="shared" si="23"/>
        <v>0</v>
      </c>
      <c r="N255" s="5"/>
      <c r="O255" s="5" t="str">
        <f t="shared" si="19"/>
        <v/>
      </c>
      <c r="P255" t="str">
        <f>IF(OR(B255="",E255=""),"",IF(AND(E255&gt;=IFERROR(INDEX(REFERENTIEL_BUDGET!$C$2:$C$101,MATCH(B255,REFERENTIEL_BUDGET!$A$2:$A$101,0)),""),E255&lt;=IFERROR(INDEX(REFERENTIEL_BUDGET!$D$2:$D$101,MATCH(B255,REFERENTIEL_BUDGET!$A$2:$A$101,0)),"")),"Oui","Non"))</f>
        <v/>
      </c>
      <c r="Q255" t="str">
        <f t="shared" si="20"/>
        <v/>
      </c>
      <c r="R255" t="str">
        <f t="shared" si="21"/>
        <v/>
      </c>
      <c r="S255" t="str">
        <f t="shared" si="22"/>
        <v/>
      </c>
    </row>
    <row r="256" spans="1:19">
      <c r="A256">
        <f t="shared" si="18"/>
        <v>255</v>
      </c>
      <c r="E256" s="3"/>
      <c r="L256" s="5"/>
      <c r="M256" s="5">
        <f t="shared" si="23"/>
        <v>0</v>
      </c>
      <c r="N256" s="5"/>
      <c r="O256" s="5" t="str">
        <f t="shared" si="19"/>
        <v/>
      </c>
      <c r="P256" t="str">
        <f>IF(OR(B256="",E256=""),"",IF(AND(E256&gt;=IFERROR(INDEX(REFERENTIEL_BUDGET!$C$2:$C$101,MATCH(B256,REFERENTIEL_BUDGET!$A$2:$A$101,0)),""),E256&lt;=IFERROR(INDEX(REFERENTIEL_BUDGET!$D$2:$D$101,MATCH(B256,REFERENTIEL_BUDGET!$A$2:$A$101,0)),"")),"Oui","Non"))</f>
        <v/>
      </c>
      <c r="Q256" t="str">
        <f t="shared" si="20"/>
        <v/>
      </c>
      <c r="R256" t="str">
        <f t="shared" si="21"/>
        <v/>
      </c>
      <c r="S256" t="str">
        <f t="shared" si="22"/>
        <v/>
      </c>
    </row>
    <row r="257" spans="1:19">
      <c r="A257">
        <f t="shared" si="18"/>
        <v>256</v>
      </c>
      <c r="E257" s="3"/>
      <c r="L257" s="5"/>
      <c r="M257" s="5">
        <f t="shared" si="23"/>
        <v>0</v>
      </c>
      <c r="N257" s="5"/>
      <c r="O257" s="5" t="str">
        <f t="shared" si="19"/>
        <v/>
      </c>
      <c r="P257" t="str">
        <f>IF(OR(B257="",E257=""),"",IF(AND(E257&gt;=IFERROR(INDEX(REFERENTIEL_BUDGET!$C$2:$C$101,MATCH(B257,REFERENTIEL_BUDGET!$A$2:$A$101,0)),""),E257&lt;=IFERROR(INDEX(REFERENTIEL_BUDGET!$D$2:$D$101,MATCH(B257,REFERENTIEL_BUDGET!$A$2:$A$101,0)),"")),"Oui","Non"))</f>
        <v/>
      </c>
      <c r="Q257" t="str">
        <f t="shared" si="20"/>
        <v/>
      </c>
      <c r="R257" t="str">
        <f t="shared" si="21"/>
        <v/>
      </c>
      <c r="S257" t="str">
        <f t="shared" si="22"/>
        <v/>
      </c>
    </row>
    <row r="258" spans="1:19">
      <c r="A258">
        <f t="shared" ref="A258:A321" si="24">ROW()-1</f>
        <v>257</v>
      </c>
      <c r="E258" s="3"/>
      <c r="L258" s="5"/>
      <c r="M258" s="5">
        <f t="shared" si="23"/>
        <v>0</v>
      </c>
      <c r="N258" s="5"/>
      <c r="O258" s="5" t="str">
        <f t="shared" ref="O258:O321" si="25">IF(OR(M258="",N258=""),"",N258-M258)</f>
        <v/>
      </c>
      <c r="P258" t="str">
        <f>IF(OR(B258="",E258=""),"",IF(AND(E258&gt;=IFERROR(INDEX(REFERENTIEL_BUDGET!$C$2:$C$101,MATCH(B258,REFERENTIEL_BUDGET!$A$2:$A$101,0)),""),E258&lt;=IFERROR(INDEX(REFERENTIEL_BUDGET!$D$2:$D$101,MATCH(B258,REFERENTIEL_BUDGET!$A$2:$A$101,0)),"")),"Oui","Non"))</f>
        <v/>
      </c>
      <c r="Q258" t="str">
        <f t="shared" ref="Q258:Q321" si="26">IF(J258="","",IF(AND(J258="Présent",K258&lt;&gt;""),"Oui",IF(J258="Absent","Non","À vérifier")))</f>
        <v/>
      </c>
      <c r="R258" t="str">
        <f t="shared" ref="R258:R321" si="27">IF(OR(M258="",N258=""),"",IF(O258=0,"Oui","Non"))</f>
        <v/>
      </c>
      <c r="S258" t="str">
        <f t="shared" ref="S258:S321" si="28">IF(B258="","",IF(P258="Non","DATE HORS PÉRIODE",IF(Q258="Non","PAIEMENT SANS PRÉSENCE",IF(Q258="À vérifier","PRÉSENCE À VÉRIFIER",IF(R258="Non","MONTANT NON CONFORME","CONFORME")))))</f>
        <v/>
      </c>
    </row>
    <row r="259" spans="1:19">
      <c r="A259">
        <f t="shared" si="24"/>
        <v>258</v>
      </c>
      <c r="E259" s="3"/>
      <c r="L259" s="5"/>
      <c r="M259" s="5">
        <f t="shared" ref="M259:M322" si="29">+COUNTIF(F259:J259,"Présent")*L259</f>
        <v>0</v>
      </c>
      <c r="N259" s="5"/>
      <c r="O259" s="5" t="str">
        <f t="shared" si="25"/>
        <v/>
      </c>
      <c r="P259" t="str">
        <f>IF(OR(B259="",E259=""),"",IF(AND(E259&gt;=IFERROR(INDEX(REFERENTIEL_BUDGET!$C$2:$C$101,MATCH(B259,REFERENTIEL_BUDGET!$A$2:$A$101,0)),""),E259&lt;=IFERROR(INDEX(REFERENTIEL_BUDGET!$D$2:$D$101,MATCH(B259,REFERENTIEL_BUDGET!$A$2:$A$101,0)),"")),"Oui","Non"))</f>
        <v/>
      </c>
      <c r="Q259" t="str">
        <f t="shared" si="26"/>
        <v/>
      </c>
      <c r="R259" t="str">
        <f t="shared" si="27"/>
        <v/>
      </c>
      <c r="S259" t="str">
        <f t="shared" si="28"/>
        <v/>
      </c>
    </row>
    <row r="260" spans="1:19">
      <c r="A260">
        <f t="shared" si="24"/>
        <v>259</v>
      </c>
      <c r="E260" s="3"/>
      <c r="L260" s="5"/>
      <c r="M260" s="5">
        <f t="shared" si="29"/>
        <v>0</v>
      </c>
      <c r="N260" s="5"/>
      <c r="O260" s="5" t="str">
        <f t="shared" si="25"/>
        <v/>
      </c>
      <c r="P260" t="str">
        <f>IF(OR(B260="",E260=""),"",IF(AND(E260&gt;=IFERROR(INDEX(REFERENTIEL_BUDGET!$C$2:$C$101,MATCH(B260,REFERENTIEL_BUDGET!$A$2:$A$101,0)),""),E260&lt;=IFERROR(INDEX(REFERENTIEL_BUDGET!$D$2:$D$101,MATCH(B260,REFERENTIEL_BUDGET!$A$2:$A$101,0)),"")),"Oui","Non"))</f>
        <v/>
      </c>
      <c r="Q260" t="str">
        <f t="shared" si="26"/>
        <v/>
      </c>
      <c r="R260" t="str">
        <f t="shared" si="27"/>
        <v/>
      </c>
      <c r="S260" t="str">
        <f t="shared" si="28"/>
        <v/>
      </c>
    </row>
    <row r="261" spans="1:19">
      <c r="A261">
        <f t="shared" si="24"/>
        <v>260</v>
      </c>
      <c r="E261" s="3"/>
      <c r="L261" s="5"/>
      <c r="M261" s="5">
        <f t="shared" si="29"/>
        <v>0</v>
      </c>
      <c r="N261" s="5"/>
      <c r="O261" s="5" t="str">
        <f t="shared" si="25"/>
        <v/>
      </c>
      <c r="P261" t="str">
        <f>IF(OR(B261="",E261=""),"",IF(AND(E261&gt;=IFERROR(INDEX(REFERENTIEL_BUDGET!$C$2:$C$101,MATCH(B261,REFERENTIEL_BUDGET!$A$2:$A$101,0)),""),E261&lt;=IFERROR(INDEX(REFERENTIEL_BUDGET!$D$2:$D$101,MATCH(B261,REFERENTIEL_BUDGET!$A$2:$A$101,0)),"")),"Oui","Non"))</f>
        <v/>
      </c>
      <c r="Q261" t="str">
        <f t="shared" si="26"/>
        <v/>
      </c>
      <c r="R261" t="str">
        <f t="shared" si="27"/>
        <v/>
      </c>
      <c r="S261" t="str">
        <f t="shared" si="28"/>
        <v/>
      </c>
    </row>
    <row r="262" spans="1:19">
      <c r="A262">
        <f t="shared" si="24"/>
        <v>261</v>
      </c>
      <c r="E262" s="3"/>
      <c r="L262" s="5"/>
      <c r="M262" s="5">
        <f t="shared" si="29"/>
        <v>0</v>
      </c>
      <c r="N262" s="5"/>
      <c r="O262" s="5" t="str">
        <f t="shared" si="25"/>
        <v/>
      </c>
      <c r="P262" t="str">
        <f>IF(OR(B262="",E262=""),"",IF(AND(E262&gt;=IFERROR(INDEX(REFERENTIEL_BUDGET!$C$2:$C$101,MATCH(B262,REFERENTIEL_BUDGET!$A$2:$A$101,0)),""),E262&lt;=IFERROR(INDEX(REFERENTIEL_BUDGET!$D$2:$D$101,MATCH(B262,REFERENTIEL_BUDGET!$A$2:$A$101,0)),"")),"Oui","Non"))</f>
        <v/>
      </c>
      <c r="Q262" t="str">
        <f t="shared" si="26"/>
        <v/>
      </c>
      <c r="R262" t="str">
        <f t="shared" si="27"/>
        <v/>
      </c>
      <c r="S262" t="str">
        <f t="shared" si="28"/>
        <v/>
      </c>
    </row>
    <row r="263" spans="1:19">
      <c r="A263">
        <f t="shared" si="24"/>
        <v>262</v>
      </c>
      <c r="E263" s="3"/>
      <c r="L263" s="5"/>
      <c r="M263" s="5">
        <f t="shared" si="29"/>
        <v>0</v>
      </c>
      <c r="N263" s="5"/>
      <c r="O263" s="5" t="str">
        <f t="shared" si="25"/>
        <v/>
      </c>
      <c r="P263" t="str">
        <f>IF(OR(B263="",E263=""),"",IF(AND(E263&gt;=IFERROR(INDEX(REFERENTIEL_BUDGET!$C$2:$C$101,MATCH(B263,REFERENTIEL_BUDGET!$A$2:$A$101,0)),""),E263&lt;=IFERROR(INDEX(REFERENTIEL_BUDGET!$D$2:$D$101,MATCH(B263,REFERENTIEL_BUDGET!$A$2:$A$101,0)),"")),"Oui","Non"))</f>
        <v/>
      </c>
      <c r="Q263" t="str">
        <f t="shared" si="26"/>
        <v/>
      </c>
      <c r="R263" t="str">
        <f t="shared" si="27"/>
        <v/>
      </c>
      <c r="S263" t="str">
        <f t="shared" si="28"/>
        <v/>
      </c>
    </row>
    <row r="264" spans="1:19">
      <c r="A264">
        <f t="shared" si="24"/>
        <v>263</v>
      </c>
      <c r="E264" s="3"/>
      <c r="L264" s="5"/>
      <c r="M264" s="5">
        <f t="shared" si="29"/>
        <v>0</v>
      </c>
      <c r="N264" s="5"/>
      <c r="O264" s="5" t="str">
        <f t="shared" si="25"/>
        <v/>
      </c>
      <c r="P264" t="str">
        <f>IF(OR(B264="",E264=""),"",IF(AND(E264&gt;=IFERROR(INDEX(REFERENTIEL_BUDGET!$C$2:$C$101,MATCH(B264,REFERENTIEL_BUDGET!$A$2:$A$101,0)),""),E264&lt;=IFERROR(INDEX(REFERENTIEL_BUDGET!$D$2:$D$101,MATCH(B264,REFERENTIEL_BUDGET!$A$2:$A$101,0)),"")),"Oui","Non"))</f>
        <v/>
      </c>
      <c r="Q264" t="str">
        <f t="shared" si="26"/>
        <v/>
      </c>
      <c r="R264" t="str">
        <f t="shared" si="27"/>
        <v/>
      </c>
      <c r="S264" t="str">
        <f t="shared" si="28"/>
        <v/>
      </c>
    </row>
    <row r="265" spans="1:19">
      <c r="A265">
        <f t="shared" si="24"/>
        <v>264</v>
      </c>
      <c r="E265" s="3"/>
      <c r="L265" s="5"/>
      <c r="M265" s="5">
        <f t="shared" si="29"/>
        <v>0</v>
      </c>
      <c r="N265" s="5"/>
      <c r="O265" s="5" t="str">
        <f t="shared" si="25"/>
        <v/>
      </c>
      <c r="P265" t="str">
        <f>IF(OR(B265="",E265=""),"",IF(AND(E265&gt;=IFERROR(INDEX(REFERENTIEL_BUDGET!$C$2:$C$101,MATCH(B265,REFERENTIEL_BUDGET!$A$2:$A$101,0)),""),E265&lt;=IFERROR(INDEX(REFERENTIEL_BUDGET!$D$2:$D$101,MATCH(B265,REFERENTIEL_BUDGET!$A$2:$A$101,0)),"")),"Oui","Non"))</f>
        <v/>
      </c>
      <c r="Q265" t="str">
        <f t="shared" si="26"/>
        <v/>
      </c>
      <c r="R265" t="str">
        <f t="shared" si="27"/>
        <v/>
      </c>
      <c r="S265" t="str">
        <f t="shared" si="28"/>
        <v/>
      </c>
    </row>
    <row r="266" spans="1:19">
      <c r="A266">
        <f t="shared" si="24"/>
        <v>265</v>
      </c>
      <c r="E266" s="3"/>
      <c r="L266" s="5"/>
      <c r="M266" s="5">
        <f t="shared" si="29"/>
        <v>0</v>
      </c>
      <c r="N266" s="5"/>
      <c r="O266" s="5" t="str">
        <f t="shared" si="25"/>
        <v/>
      </c>
      <c r="P266" t="str">
        <f>IF(OR(B266="",E266=""),"",IF(AND(E266&gt;=IFERROR(INDEX(REFERENTIEL_BUDGET!$C$2:$C$101,MATCH(B266,REFERENTIEL_BUDGET!$A$2:$A$101,0)),""),E266&lt;=IFERROR(INDEX(REFERENTIEL_BUDGET!$D$2:$D$101,MATCH(B266,REFERENTIEL_BUDGET!$A$2:$A$101,0)),"")),"Oui","Non"))</f>
        <v/>
      </c>
      <c r="Q266" t="str">
        <f t="shared" si="26"/>
        <v/>
      </c>
      <c r="R266" t="str">
        <f t="shared" si="27"/>
        <v/>
      </c>
      <c r="S266" t="str">
        <f t="shared" si="28"/>
        <v/>
      </c>
    </row>
    <row r="267" spans="1:19">
      <c r="A267">
        <f t="shared" si="24"/>
        <v>266</v>
      </c>
      <c r="E267" s="3"/>
      <c r="L267" s="5"/>
      <c r="M267" s="5">
        <f t="shared" si="29"/>
        <v>0</v>
      </c>
      <c r="N267" s="5"/>
      <c r="O267" s="5" t="str">
        <f t="shared" si="25"/>
        <v/>
      </c>
      <c r="P267" t="str">
        <f>IF(OR(B267="",E267=""),"",IF(AND(E267&gt;=IFERROR(INDEX(REFERENTIEL_BUDGET!$C$2:$C$101,MATCH(B267,REFERENTIEL_BUDGET!$A$2:$A$101,0)),""),E267&lt;=IFERROR(INDEX(REFERENTIEL_BUDGET!$D$2:$D$101,MATCH(B267,REFERENTIEL_BUDGET!$A$2:$A$101,0)),"")),"Oui","Non"))</f>
        <v/>
      </c>
      <c r="Q267" t="str">
        <f t="shared" si="26"/>
        <v/>
      </c>
      <c r="R267" t="str">
        <f t="shared" si="27"/>
        <v/>
      </c>
      <c r="S267" t="str">
        <f t="shared" si="28"/>
        <v/>
      </c>
    </row>
    <row r="268" spans="1:19">
      <c r="A268">
        <f t="shared" si="24"/>
        <v>267</v>
      </c>
      <c r="E268" s="3"/>
      <c r="L268" s="5"/>
      <c r="M268" s="5">
        <f t="shared" si="29"/>
        <v>0</v>
      </c>
      <c r="N268" s="5"/>
      <c r="O268" s="5" t="str">
        <f t="shared" si="25"/>
        <v/>
      </c>
      <c r="P268" t="str">
        <f>IF(OR(B268="",E268=""),"",IF(AND(E268&gt;=IFERROR(INDEX(REFERENTIEL_BUDGET!$C$2:$C$101,MATCH(B268,REFERENTIEL_BUDGET!$A$2:$A$101,0)),""),E268&lt;=IFERROR(INDEX(REFERENTIEL_BUDGET!$D$2:$D$101,MATCH(B268,REFERENTIEL_BUDGET!$A$2:$A$101,0)),"")),"Oui","Non"))</f>
        <v/>
      </c>
      <c r="Q268" t="str">
        <f t="shared" si="26"/>
        <v/>
      </c>
      <c r="R268" t="str">
        <f t="shared" si="27"/>
        <v/>
      </c>
      <c r="S268" t="str">
        <f t="shared" si="28"/>
        <v/>
      </c>
    </row>
    <row r="269" spans="1:19">
      <c r="A269">
        <f t="shared" si="24"/>
        <v>268</v>
      </c>
      <c r="E269" s="3"/>
      <c r="L269" s="5"/>
      <c r="M269" s="5">
        <f t="shared" si="29"/>
        <v>0</v>
      </c>
      <c r="N269" s="5"/>
      <c r="O269" s="5" t="str">
        <f t="shared" si="25"/>
        <v/>
      </c>
      <c r="P269" t="str">
        <f>IF(OR(B269="",E269=""),"",IF(AND(E269&gt;=IFERROR(INDEX(REFERENTIEL_BUDGET!$C$2:$C$101,MATCH(B269,REFERENTIEL_BUDGET!$A$2:$A$101,0)),""),E269&lt;=IFERROR(INDEX(REFERENTIEL_BUDGET!$D$2:$D$101,MATCH(B269,REFERENTIEL_BUDGET!$A$2:$A$101,0)),"")),"Oui","Non"))</f>
        <v/>
      </c>
      <c r="Q269" t="str">
        <f t="shared" si="26"/>
        <v/>
      </c>
      <c r="R269" t="str">
        <f t="shared" si="27"/>
        <v/>
      </c>
      <c r="S269" t="str">
        <f t="shared" si="28"/>
        <v/>
      </c>
    </row>
    <row r="270" spans="1:19">
      <c r="A270">
        <f t="shared" si="24"/>
        <v>269</v>
      </c>
      <c r="E270" s="3"/>
      <c r="L270" s="5"/>
      <c r="M270" s="5">
        <f t="shared" si="29"/>
        <v>0</v>
      </c>
      <c r="N270" s="5"/>
      <c r="O270" s="5" t="str">
        <f t="shared" si="25"/>
        <v/>
      </c>
      <c r="P270" t="str">
        <f>IF(OR(B270="",E270=""),"",IF(AND(E270&gt;=IFERROR(INDEX(REFERENTIEL_BUDGET!$C$2:$C$101,MATCH(B270,REFERENTIEL_BUDGET!$A$2:$A$101,0)),""),E270&lt;=IFERROR(INDEX(REFERENTIEL_BUDGET!$D$2:$D$101,MATCH(B270,REFERENTIEL_BUDGET!$A$2:$A$101,0)),"")),"Oui","Non"))</f>
        <v/>
      </c>
      <c r="Q270" t="str">
        <f t="shared" si="26"/>
        <v/>
      </c>
      <c r="R270" t="str">
        <f t="shared" si="27"/>
        <v/>
      </c>
      <c r="S270" t="str">
        <f t="shared" si="28"/>
        <v/>
      </c>
    </row>
    <row r="271" spans="1:19">
      <c r="A271">
        <f t="shared" si="24"/>
        <v>270</v>
      </c>
      <c r="E271" s="3"/>
      <c r="L271" s="5"/>
      <c r="M271" s="5">
        <f t="shared" si="29"/>
        <v>0</v>
      </c>
      <c r="N271" s="5"/>
      <c r="O271" s="5" t="str">
        <f t="shared" si="25"/>
        <v/>
      </c>
      <c r="P271" t="str">
        <f>IF(OR(B271="",E271=""),"",IF(AND(E271&gt;=IFERROR(INDEX(REFERENTIEL_BUDGET!$C$2:$C$101,MATCH(B271,REFERENTIEL_BUDGET!$A$2:$A$101,0)),""),E271&lt;=IFERROR(INDEX(REFERENTIEL_BUDGET!$D$2:$D$101,MATCH(B271,REFERENTIEL_BUDGET!$A$2:$A$101,0)),"")),"Oui","Non"))</f>
        <v/>
      </c>
      <c r="Q271" t="str">
        <f t="shared" si="26"/>
        <v/>
      </c>
      <c r="R271" t="str">
        <f t="shared" si="27"/>
        <v/>
      </c>
      <c r="S271" t="str">
        <f t="shared" si="28"/>
        <v/>
      </c>
    </row>
    <row r="272" spans="1:19">
      <c r="A272">
        <f t="shared" si="24"/>
        <v>271</v>
      </c>
      <c r="E272" s="3"/>
      <c r="L272" s="5"/>
      <c r="M272" s="5">
        <f t="shared" si="29"/>
        <v>0</v>
      </c>
      <c r="N272" s="5"/>
      <c r="O272" s="5" t="str">
        <f t="shared" si="25"/>
        <v/>
      </c>
      <c r="P272" t="str">
        <f>IF(OR(B272="",E272=""),"",IF(AND(E272&gt;=IFERROR(INDEX(REFERENTIEL_BUDGET!$C$2:$C$101,MATCH(B272,REFERENTIEL_BUDGET!$A$2:$A$101,0)),""),E272&lt;=IFERROR(INDEX(REFERENTIEL_BUDGET!$D$2:$D$101,MATCH(B272,REFERENTIEL_BUDGET!$A$2:$A$101,0)),"")),"Oui","Non"))</f>
        <v/>
      </c>
      <c r="Q272" t="str">
        <f t="shared" si="26"/>
        <v/>
      </c>
      <c r="R272" t="str">
        <f t="shared" si="27"/>
        <v/>
      </c>
      <c r="S272" t="str">
        <f t="shared" si="28"/>
        <v/>
      </c>
    </row>
    <row r="273" spans="1:19">
      <c r="A273">
        <f t="shared" si="24"/>
        <v>272</v>
      </c>
      <c r="E273" s="3"/>
      <c r="L273" s="5"/>
      <c r="M273" s="5">
        <f t="shared" si="29"/>
        <v>0</v>
      </c>
      <c r="N273" s="5"/>
      <c r="O273" s="5" t="str">
        <f t="shared" si="25"/>
        <v/>
      </c>
      <c r="P273" t="str">
        <f>IF(OR(B273="",E273=""),"",IF(AND(E273&gt;=IFERROR(INDEX(REFERENTIEL_BUDGET!$C$2:$C$101,MATCH(B273,REFERENTIEL_BUDGET!$A$2:$A$101,0)),""),E273&lt;=IFERROR(INDEX(REFERENTIEL_BUDGET!$D$2:$D$101,MATCH(B273,REFERENTIEL_BUDGET!$A$2:$A$101,0)),"")),"Oui","Non"))</f>
        <v/>
      </c>
      <c r="Q273" t="str">
        <f t="shared" si="26"/>
        <v/>
      </c>
      <c r="R273" t="str">
        <f t="shared" si="27"/>
        <v/>
      </c>
      <c r="S273" t="str">
        <f t="shared" si="28"/>
        <v/>
      </c>
    </row>
    <row r="274" spans="1:19">
      <c r="A274">
        <f t="shared" si="24"/>
        <v>273</v>
      </c>
      <c r="E274" s="3"/>
      <c r="L274" s="5"/>
      <c r="M274" s="5">
        <f t="shared" si="29"/>
        <v>0</v>
      </c>
      <c r="N274" s="5"/>
      <c r="O274" s="5" t="str">
        <f t="shared" si="25"/>
        <v/>
      </c>
      <c r="P274" t="str">
        <f>IF(OR(B274="",E274=""),"",IF(AND(E274&gt;=IFERROR(INDEX(REFERENTIEL_BUDGET!$C$2:$C$101,MATCH(B274,REFERENTIEL_BUDGET!$A$2:$A$101,0)),""),E274&lt;=IFERROR(INDEX(REFERENTIEL_BUDGET!$D$2:$D$101,MATCH(B274,REFERENTIEL_BUDGET!$A$2:$A$101,0)),"")),"Oui","Non"))</f>
        <v/>
      </c>
      <c r="Q274" t="str">
        <f t="shared" si="26"/>
        <v/>
      </c>
      <c r="R274" t="str">
        <f t="shared" si="27"/>
        <v/>
      </c>
      <c r="S274" t="str">
        <f t="shared" si="28"/>
        <v/>
      </c>
    </row>
    <row r="275" spans="1:19">
      <c r="A275">
        <f t="shared" si="24"/>
        <v>274</v>
      </c>
      <c r="E275" s="3"/>
      <c r="L275" s="5"/>
      <c r="M275" s="5">
        <f t="shared" si="29"/>
        <v>0</v>
      </c>
      <c r="N275" s="5"/>
      <c r="O275" s="5" t="str">
        <f t="shared" si="25"/>
        <v/>
      </c>
      <c r="P275" t="str">
        <f>IF(OR(B275="",E275=""),"",IF(AND(E275&gt;=IFERROR(INDEX(REFERENTIEL_BUDGET!$C$2:$C$101,MATCH(B275,REFERENTIEL_BUDGET!$A$2:$A$101,0)),""),E275&lt;=IFERROR(INDEX(REFERENTIEL_BUDGET!$D$2:$D$101,MATCH(B275,REFERENTIEL_BUDGET!$A$2:$A$101,0)),"")),"Oui","Non"))</f>
        <v/>
      </c>
      <c r="Q275" t="str">
        <f t="shared" si="26"/>
        <v/>
      </c>
      <c r="R275" t="str">
        <f t="shared" si="27"/>
        <v/>
      </c>
      <c r="S275" t="str">
        <f t="shared" si="28"/>
        <v/>
      </c>
    </row>
    <row r="276" spans="1:19">
      <c r="A276">
        <f t="shared" si="24"/>
        <v>275</v>
      </c>
      <c r="E276" s="3"/>
      <c r="L276" s="5"/>
      <c r="M276" s="5">
        <f t="shared" si="29"/>
        <v>0</v>
      </c>
      <c r="N276" s="5"/>
      <c r="O276" s="5" t="str">
        <f t="shared" si="25"/>
        <v/>
      </c>
      <c r="P276" t="str">
        <f>IF(OR(B276="",E276=""),"",IF(AND(E276&gt;=IFERROR(INDEX(REFERENTIEL_BUDGET!$C$2:$C$101,MATCH(B276,REFERENTIEL_BUDGET!$A$2:$A$101,0)),""),E276&lt;=IFERROR(INDEX(REFERENTIEL_BUDGET!$D$2:$D$101,MATCH(B276,REFERENTIEL_BUDGET!$A$2:$A$101,0)),"")),"Oui","Non"))</f>
        <v/>
      </c>
      <c r="Q276" t="str">
        <f t="shared" si="26"/>
        <v/>
      </c>
      <c r="R276" t="str">
        <f t="shared" si="27"/>
        <v/>
      </c>
      <c r="S276" t="str">
        <f t="shared" si="28"/>
        <v/>
      </c>
    </row>
    <row r="277" spans="1:19">
      <c r="A277">
        <f t="shared" si="24"/>
        <v>276</v>
      </c>
      <c r="E277" s="3"/>
      <c r="L277" s="5"/>
      <c r="M277" s="5">
        <f t="shared" si="29"/>
        <v>0</v>
      </c>
      <c r="N277" s="5"/>
      <c r="O277" s="5" t="str">
        <f t="shared" si="25"/>
        <v/>
      </c>
      <c r="P277" t="str">
        <f>IF(OR(B277="",E277=""),"",IF(AND(E277&gt;=IFERROR(INDEX(REFERENTIEL_BUDGET!$C$2:$C$101,MATCH(B277,REFERENTIEL_BUDGET!$A$2:$A$101,0)),""),E277&lt;=IFERROR(INDEX(REFERENTIEL_BUDGET!$D$2:$D$101,MATCH(B277,REFERENTIEL_BUDGET!$A$2:$A$101,0)),"")),"Oui","Non"))</f>
        <v/>
      </c>
      <c r="Q277" t="str">
        <f t="shared" si="26"/>
        <v/>
      </c>
      <c r="R277" t="str">
        <f t="shared" si="27"/>
        <v/>
      </c>
      <c r="S277" t="str">
        <f t="shared" si="28"/>
        <v/>
      </c>
    </row>
    <row r="278" spans="1:19">
      <c r="A278">
        <f t="shared" si="24"/>
        <v>277</v>
      </c>
      <c r="E278" s="3"/>
      <c r="L278" s="5"/>
      <c r="M278" s="5">
        <f t="shared" si="29"/>
        <v>0</v>
      </c>
      <c r="N278" s="5"/>
      <c r="O278" s="5" t="str">
        <f t="shared" si="25"/>
        <v/>
      </c>
      <c r="P278" t="str">
        <f>IF(OR(B278="",E278=""),"",IF(AND(E278&gt;=IFERROR(INDEX(REFERENTIEL_BUDGET!$C$2:$C$101,MATCH(B278,REFERENTIEL_BUDGET!$A$2:$A$101,0)),""),E278&lt;=IFERROR(INDEX(REFERENTIEL_BUDGET!$D$2:$D$101,MATCH(B278,REFERENTIEL_BUDGET!$A$2:$A$101,0)),"")),"Oui","Non"))</f>
        <v/>
      </c>
      <c r="Q278" t="str">
        <f t="shared" si="26"/>
        <v/>
      </c>
      <c r="R278" t="str">
        <f t="shared" si="27"/>
        <v/>
      </c>
      <c r="S278" t="str">
        <f t="shared" si="28"/>
        <v/>
      </c>
    </row>
    <row r="279" spans="1:19">
      <c r="A279">
        <f t="shared" si="24"/>
        <v>278</v>
      </c>
      <c r="E279" s="3"/>
      <c r="L279" s="5"/>
      <c r="M279" s="5">
        <f t="shared" si="29"/>
        <v>0</v>
      </c>
      <c r="N279" s="5"/>
      <c r="O279" s="5" t="str">
        <f t="shared" si="25"/>
        <v/>
      </c>
      <c r="P279" t="str">
        <f>IF(OR(B279="",E279=""),"",IF(AND(E279&gt;=IFERROR(INDEX(REFERENTIEL_BUDGET!$C$2:$C$101,MATCH(B279,REFERENTIEL_BUDGET!$A$2:$A$101,0)),""),E279&lt;=IFERROR(INDEX(REFERENTIEL_BUDGET!$D$2:$D$101,MATCH(B279,REFERENTIEL_BUDGET!$A$2:$A$101,0)),"")),"Oui","Non"))</f>
        <v/>
      </c>
      <c r="Q279" t="str">
        <f t="shared" si="26"/>
        <v/>
      </c>
      <c r="R279" t="str">
        <f t="shared" si="27"/>
        <v/>
      </c>
      <c r="S279" t="str">
        <f t="shared" si="28"/>
        <v/>
      </c>
    </row>
    <row r="280" spans="1:19">
      <c r="A280">
        <f t="shared" si="24"/>
        <v>279</v>
      </c>
      <c r="E280" s="3"/>
      <c r="L280" s="5"/>
      <c r="M280" s="5">
        <f t="shared" si="29"/>
        <v>0</v>
      </c>
      <c r="N280" s="5"/>
      <c r="O280" s="5" t="str">
        <f t="shared" si="25"/>
        <v/>
      </c>
      <c r="P280" t="str">
        <f>IF(OR(B280="",E280=""),"",IF(AND(E280&gt;=IFERROR(INDEX(REFERENTIEL_BUDGET!$C$2:$C$101,MATCH(B280,REFERENTIEL_BUDGET!$A$2:$A$101,0)),""),E280&lt;=IFERROR(INDEX(REFERENTIEL_BUDGET!$D$2:$D$101,MATCH(B280,REFERENTIEL_BUDGET!$A$2:$A$101,0)),"")),"Oui","Non"))</f>
        <v/>
      </c>
      <c r="Q280" t="str">
        <f t="shared" si="26"/>
        <v/>
      </c>
      <c r="R280" t="str">
        <f t="shared" si="27"/>
        <v/>
      </c>
      <c r="S280" t="str">
        <f t="shared" si="28"/>
        <v/>
      </c>
    </row>
    <row r="281" spans="1:19">
      <c r="A281">
        <f t="shared" si="24"/>
        <v>280</v>
      </c>
      <c r="E281" s="3"/>
      <c r="L281" s="5"/>
      <c r="M281" s="5">
        <f t="shared" si="29"/>
        <v>0</v>
      </c>
      <c r="N281" s="5"/>
      <c r="O281" s="5" t="str">
        <f t="shared" si="25"/>
        <v/>
      </c>
      <c r="P281" t="str">
        <f>IF(OR(B281="",E281=""),"",IF(AND(E281&gt;=IFERROR(INDEX(REFERENTIEL_BUDGET!$C$2:$C$101,MATCH(B281,REFERENTIEL_BUDGET!$A$2:$A$101,0)),""),E281&lt;=IFERROR(INDEX(REFERENTIEL_BUDGET!$D$2:$D$101,MATCH(B281,REFERENTIEL_BUDGET!$A$2:$A$101,0)),"")),"Oui","Non"))</f>
        <v/>
      </c>
      <c r="Q281" t="str">
        <f t="shared" si="26"/>
        <v/>
      </c>
      <c r="R281" t="str">
        <f t="shared" si="27"/>
        <v/>
      </c>
      <c r="S281" t="str">
        <f t="shared" si="28"/>
        <v/>
      </c>
    </row>
    <row r="282" spans="1:19">
      <c r="A282">
        <f t="shared" si="24"/>
        <v>281</v>
      </c>
      <c r="E282" s="3"/>
      <c r="L282" s="5"/>
      <c r="M282" s="5">
        <f t="shared" si="29"/>
        <v>0</v>
      </c>
      <c r="N282" s="5"/>
      <c r="O282" s="5" t="str">
        <f t="shared" si="25"/>
        <v/>
      </c>
      <c r="P282" t="str">
        <f>IF(OR(B282="",E282=""),"",IF(AND(E282&gt;=IFERROR(INDEX(REFERENTIEL_BUDGET!$C$2:$C$101,MATCH(B282,REFERENTIEL_BUDGET!$A$2:$A$101,0)),""),E282&lt;=IFERROR(INDEX(REFERENTIEL_BUDGET!$D$2:$D$101,MATCH(B282,REFERENTIEL_BUDGET!$A$2:$A$101,0)),"")),"Oui","Non"))</f>
        <v/>
      </c>
      <c r="Q282" t="str">
        <f t="shared" si="26"/>
        <v/>
      </c>
      <c r="R282" t="str">
        <f t="shared" si="27"/>
        <v/>
      </c>
      <c r="S282" t="str">
        <f t="shared" si="28"/>
        <v/>
      </c>
    </row>
    <row r="283" spans="1:19">
      <c r="A283">
        <f t="shared" si="24"/>
        <v>282</v>
      </c>
      <c r="E283" s="3"/>
      <c r="L283" s="5"/>
      <c r="M283" s="5">
        <f t="shared" si="29"/>
        <v>0</v>
      </c>
      <c r="N283" s="5"/>
      <c r="O283" s="5" t="str">
        <f t="shared" si="25"/>
        <v/>
      </c>
      <c r="P283" t="str">
        <f>IF(OR(B283="",E283=""),"",IF(AND(E283&gt;=IFERROR(INDEX(REFERENTIEL_BUDGET!$C$2:$C$101,MATCH(B283,REFERENTIEL_BUDGET!$A$2:$A$101,0)),""),E283&lt;=IFERROR(INDEX(REFERENTIEL_BUDGET!$D$2:$D$101,MATCH(B283,REFERENTIEL_BUDGET!$A$2:$A$101,0)),"")),"Oui","Non"))</f>
        <v/>
      </c>
      <c r="Q283" t="str">
        <f t="shared" si="26"/>
        <v/>
      </c>
      <c r="R283" t="str">
        <f t="shared" si="27"/>
        <v/>
      </c>
      <c r="S283" t="str">
        <f t="shared" si="28"/>
        <v/>
      </c>
    </row>
    <row r="284" spans="1:19">
      <c r="A284">
        <f t="shared" si="24"/>
        <v>283</v>
      </c>
      <c r="E284" s="3"/>
      <c r="L284" s="5"/>
      <c r="M284" s="5">
        <f t="shared" si="29"/>
        <v>0</v>
      </c>
      <c r="N284" s="5"/>
      <c r="O284" s="5" t="str">
        <f t="shared" si="25"/>
        <v/>
      </c>
      <c r="P284" t="str">
        <f>IF(OR(B284="",E284=""),"",IF(AND(E284&gt;=IFERROR(INDEX(REFERENTIEL_BUDGET!$C$2:$C$101,MATCH(B284,REFERENTIEL_BUDGET!$A$2:$A$101,0)),""),E284&lt;=IFERROR(INDEX(REFERENTIEL_BUDGET!$D$2:$D$101,MATCH(B284,REFERENTIEL_BUDGET!$A$2:$A$101,0)),"")),"Oui","Non"))</f>
        <v/>
      </c>
      <c r="Q284" t="str">
        <f t="shared" si="26"/>
        <v/>
      </c>
      <c r="R284" t="str">
        <f t="shared" si="27"/>
        <v/>
      </c>
      <c r="S284" t="str">
        <f t="shared" si="28"/>
        <v/>
      </c>
    </row>
    <row r="285" spans="1:19">
      <c r="A285">
        <f t="shared" si="24"/>
        <v>284</v>
      </c>
      <c r="E285" s="3"/>
      <c r="L285" s="5"/>
      <c r="M285" s="5">
        <f t="shared" si="29"/>
        <v>0</v>
      </c>
      <c r="N285" s="5"/>
      <c r="O285" s="5" t="str">
        <f t="shared" si="25"/>
        <v/>
      </c>
      <c r="P285" t="str">
        <f>IF(OR(B285="",E285=""),"",IF(AND(E285&gt;=IFERROR(INDEX(REFERENTIEL_BUDGET!$C$2:$C$101,MATCH(B285,REFERENTIEL_BUDGET!$A$2:$A$101,0)),""),E285&lt;=IFERROR(INDEX(REFERENTIEL_BUDGET!$D$2:$D$101,MATCH(B285,REFERENTIEL_BUDGET!$A$2:$A$101,0)),"")),"Oui","Non"))</f>
        <v/>
      </c>
      <c r="Q285" t="str">
        <f t="shared" si="26"/>
        <v/>
      </c>
      <c r="R285" t="str">
        <f t="shared" si="27"/>
        <v/>
      </c>
      <c r="S285" t="str">
        <f t="shared" si="28"/>
        <v/>
      </c>
    </row>
    <row r="286" spans="1:19">
      <c r="A286">
        <f t="shared" si="24"/>
        <v>285</v>
      </c>
      <c r="E286" s="3"/>
      <c r="L286" s="5"/>
      <c r="M286" s="5">
        <f t="shared" si="29"/>
        <v>0</v>
      </c>
      <c r="N286" s="5"/>
      <c r="O286" s="5" t="str">
        <f t="shared" si="25"/>
        <v/>
      </c>
      <c r="P286" t="str">
        <f>IF(OR(B286="",E286=""),"",IF(AND(E286&gt;=IFERROR(INDEX(REFERENTIEL_BUDGET!$C$2:$C$101,MATCH(B286,REFERENTIEL_BUDGET!$A$2:$A$101,0)),""),E286&lt;=IFERROR(INDEX(REFERENTIEL_BUDGET!$D$2:$D$101,MATCH(B286,REFERENTIEL_BUDGET!$A$2:$A$101,0)),"")),"Oui","Non"))</f>
        <v/>
      </c>
      <c r="Q286" t="str">
        <f t="shared" si="26"/>
        <v/>
      </c>
      <c r="R286" t="str">
        <f t="shared" si="27"/>
        <v/>
      </c>
      <c r="S286" t="str">
        <f t="shared" si="28"/>
        <v/>
      </c>
    </row>
    <row r="287" spans="1:19">
      <c r="A287">
        <f t="shared" si="24"/>
        <v>286</v>
      </c>
      <c r="E287" s="3"/>
      <c r="L287" s="5"/>
      <c r="M287" s="5">
        <f t="shared" si="29"/>
        <v>0</v>
      </c>
      <c r="N287" s="5"/>
      <c r="O287" s="5" t="str">
        <f t="shared" si="25"/>
        <v/>
      </c>
      <c r="P287" t="str">
        <f>IF(OR(B287="",E287=""),"",IF(AND(E287&gt;=IFERROR(INDEX(REFERENTIEL_BUDGET!$C$2:$C$101,MATCH(B287,REFERENTIEL_BUDGET!$A$2:$A$101,0)),""),E287&lt;=IFERROR(INDEX(REFERENTIEL_BUDGET!$D$2:$D$101,MATCH(B287,REFERENTIEL_BUDGET!$A$2:$A$101,0)),"")),"Oui","Non"))</f>
        <v/>
      </c>
      <c r="Q287" t="str">
        <f t="shared" si="26"/>
        <v/>
      </c>
      <c r="R287" t="str">
        <f t="shared" si="27"/>
        <v/>
      </c>
      <c r="S287" t="str">
        <f t="shared" si="28"/>
        <v/>
      </c>
    </row>
    <row r="288" spans="1:19">
      <c r="A288">
        <f t="shared" si="24"/>
        <v>287</v>
      </c>
      <c r="E288" s="3"/>
      <c r="L288" s="5"/>
      <c r="M288" s="5">
        <f t="shared" si="29"/>
        <v>0</v>
      </c>
      <c r="N288" s="5"/>
      <c r="O288" s="5" t="str">
        <f t="shared" si="25"/>
        <v/>
      </c>
      <c r="P288" t="str">
        <f>IF(OR(B288="",E288=""),"",IF(AND(E288&gt;=IFERROR(INDEX(REFERENTIEL_BUDGET!$C$2:$C$101,MATCH(B288,REFERENTIEL_BUDGET!$A$2:$A$101,0)),""),E288&lt;=IFERROR(INDEX(REFERENTIEL_BUDGET!$D$2:$D$101,MATCH(B288,REFERENTIEL_BUDGET!$A$2:$A$101,0)),"")),"Oui","Non"))</f>
        <v/>
      </c>
      <c r="Q288" t="str">
        <f t="shared" si="26"/>
        <v/>
      </c>
      <c r="R288" t="str">
        <f t="shared" si="27"/>
        <v/>
      </c>
      <c r="S288" t="str">
        <f t="shared" si="28"/>
        <v/>
      </c>
    </row>
    <row r="289" spans="1:19">
      <c r="A289">
        <f t="shared" si="24"/>
        <v>288</v>
      </c>
      <c r="E289" s="3"/>
      <c r="L289" s="5"/>
      <c r="M289" s="5">
        <f t="shared" si="29"/>
        <v>0</v>
      </c>
      <c r="N289" s="5"/>
      <c r="O289" s="5" t="str">
        <f t="shared" si="25"/>
        <v/>
      </c>
      <c r="P289" t="str">
        <f>IF(OR(B289="",E289=""),"",IF(AND(E289&gt;=IFERROR(INDEX(REFERENTIEL_BUDGET!$C$2:$C$101,MATCH(B289,REFERENTIEL_BUDGET!$A$2:$A$101,0)),""),E289&lt;=IFERROR(INDEX(REFERENTIEL_BUDGET!$D$2:$D$101,MATCH(B289,REFERENTIEL_BUDGET!$A$2:$A$101,0)),"")),"Oui","Non"))</f>
        <v/>
      </c>
      <c r="Q289" t="str">
        <f t="shared" si="26"/>
        <v/>
      </c>
      <c r="R289" t="str">
        <f t="shared" si="27"/>
        <v/>
      </c>
      <c r="S289" t="str">
        <f t="shared" si="28"/>
        <v/>
      </c>
    </row>
    <row r="290" spans="1:19">
      <c r="A290">
        <f t="shared" si="24"/>
        <v>289</v>
      </c>
      <c r="E290" s="3"/>
      <c r="L290" s="5"/>
      <c r="M290" s="5">
        <f t="shared" si="29"/>
        <v>0</v>
      </c>
      <c r="N290" s="5"/>
      <c r="O290" s="5" t="str">
        <f t="shared" si="25"/>
        <v/>
      </c>
      <c r="P290" t="str">
        <f>IF(OR(B290="",E290=""),"",IF(AND(E290&gt;=IFERROR(INDEX(REFERENTIEL_BUDGET!$C$2:$C$101,MATCH(B290,REFERENTIEL_BUDGET!$A$2:$A$101,0)),""),E290&lt;=IFERROR(INDEX(REFERENTIEL_BUDGET!$D$2:$D$101,MATCH(B290,REFERENTIEL_BUDGET!$A$2:$A$101,0)),"")),"Oui","Non"))</f>
        <v/>
      </c>
      <c r="Q290" t="str">
        <f t="shared" si="26"/>
        <v/>
      </c>
      <c r="R290" t="str">
        <f t="shared" si="27"/>
        <v/>
      </c>
      <c r="S290" t="str">
        <f t="shared" si="28"/>
        <v/>
      </c>
    </row>
    <row r="291" spans="1:19">
      <c r="A291">
        <f t="shared" si="24"/>
        <v>290</v>
      </c>
      <c r="E291" s="3"/>
      <c r="L291" s="5"/>
      <c r="M291" s="5">
        <f t="shared" si="29"/>
        <v>0</v>
      </c>
      <c r="N291" s="5"/>
      <c r="O291" s="5" t="str">
        <f t="shared" si="25"/>
        <v/>
      </c>
      <c r="P291" t="str">
        <f>IF(OR(B291="",E291=""),"",IF(AND(E291&gt;=IFERROR(INDEX(REFERENTIEL_BUDGET!$C$2:$C$101,MATCH(B291,REFERENTIEL_BUDGET!$A$2:$A$101,0)),""),E291&lt;=IFERROR(INDEX(REFERENTIEL_BUDGET!$D$2:$D$101,MATCH(B291,REFERENTIEL_BUDGET!$A$2:$A$101,0)),"")),"Oui","Non"))</f>
        <v/>
      </c>
      <c r="Q291" t="str">
        <f t="shared" si="26"/>
        <v/>
      </c>
      <c r="R291" t="str">
        <f t="shared" si="27"/>
        <v/>
      </c>
      <c r="S291" t="str">
        <f t="shared" si="28"/>
        <v/>
      </c>
    </row>
    <row r="292" spans="1:19">
      <c r="A292">
        <f t="shared" si="24"/>
        <v>291</v>
      </c>
      <c r="E292" s="3"/>
      <c r="L292" s="5"/>
      <c r="M292" s="5">
        <f t="shared" si="29"/>
        <v>0</v>
      </c>
      <c r="N292" s="5"/>
      <c r="O292" s="5" t="str">
        <f t="shared" si="25"/>
        <v/>
      </c>
      <c r="P292" t="str">
        <f>IF(OR(B292="",E292=""),"",IF(AND(E292&gt;=IFERROR(INDEX(REFERENTIEL_BUDGET!$C$2:$C$101,MATCH(B292,REFERENTIEL_BUDGET!$A$2:$A$101,0)),""),E292&lt;=IFERROR(INDEX(REFERENTIEL_BUDGET!$D$2:$D$101,MATCH(B292,REFERENTIEL_BUDGET!$A$2:$A$101,0)),"")),"Oui","Non"))</f>
        <v/>
      </c>
      <c r="Q292" t="str">
        <f t="shared" si="26"/>
        <v/>
      </c>
      <c r="R292" t="str">
        <f t="shared" si="27"/>
        <v/>
      </c>
      <c r="S292" t="str">
        <f t="shared" si="28"/>
        <v/>
      </c>
    </row>
    <row r="293" spans="1:19">
      <c r="A293">
        <f t="shared" si="24"/>
        <v>292</v>
      </c>
      <c r="E293" s="3"/>
      <c r="L293" s="5"/>
      <c r="M293" s="5">
        <f t="shared" si="29"/>
        <v>0</v>
      </c>
      <c r="N293" s="5"/>
      <c r="O293" s="5" t="str">
        <f t="shared" si="25"/>
        <v/>
      </c>
      <c r="P293" t="str">
        <f>IF(OR(B293="",E293=""),"",IF(AND(E293&gt;=IFERROR(INDEX(REFERENTIEL_BUDGET!$C$2:$C$101,MATCH(B293,REFERENTIEL_BUDGET!$A$2:$A$101,0)),""),E293&lt;=IFERROR(INDEX(REFERENTIEL_BUDGET!$D$2:$D$101,MATCH(B293,REFERENTIEL_BUDGET!$A$2:$A$101,0)),"")),"Oui","Non"))</f>
        <v/>
      </c>
      <c r="Q293" t="str">
        <f t="shared" si="26"/>
        <v/>
      </c>
      <c r="R293" t="str">
        <f t="shared" si="27"/>
        <v/>
      </c>
      <c r="S293" t="str">
        <f t="shared" si="28"/>
        <v/>
      </c>
    </row>
    <row r="294" spans="1:19">
      <c r="A294">
        <f t="shared" si="24"/>
        <v>293</v>
      </c>
      <c r="E294" s="3"/>
      <c r="L294" s="5"/>
      <c r="M294" s="5">
        <f t="shared" si="29"/>
        <v>0</v>
      </c>
      <c r="N294" s="5"/>
      <c r="O294" s="5" t="str">
        <f t="shared" si="25"/>
        <v/>
      </c>
      <c r="P294" t="str">
        <f>IF(OR(B294="",E294=""),"",IF(AND(E294&gt;=IFERROR(INDEX(REFERENTIEL_BUDGET!$C$2:$C$101,MATCH(B294,REFERENTIEL_BUDGET!$A$2:$A$101,0)),""),E294&lt;=IFERROR(INDEX(REFERENTIEL_BUDGET!$D$2:$D$101,MATCH(B294,REFERENTIEL_BUDGET!$A$2:$A$101,0)),"")),"Oui","Non"))</f>
        <v/>
      </c>
      <c r="Q294" t="str">
        <f t="shared" si="26"/>
        <v/>
      </c>
      <c r="R294" t="str">
        <f t="shared" si="27"/>
        <v/>
      </c>
      <c r="S294" t="str">
        <f t="shared" si="28"/>
        <v/>
      </c>
    </row>
    <row r="295" spans="1:19">
      <c r="A295">
        <f t="shared" si="24"/>
        <v>294</v>
      </c>
      <c r="E295" s="3"/>
      <c r="L295" s="5"/>
      <c r="M295" s="5">
        <f t="shared" si="29"/>
        <v>0</v>
      </c>
      <c r="N295" s="5"/>
      <c r="O295" s="5" t="str">
        <f t="shared" si="25"/>
        <v/>
      </c>
      <c r="P295" t="str">
        <f>IF(OR(B295="",E295=""),"",IF(AND(E295&gt;=IFERROR(INDEX(REFERENTIEL_BUDGET!$C$2:$C$101,MATCH(B295,REFERENTIEL_BUDGET!$A$2:$A$101,0)),""),E295&lt;=IFERROR(INDEX(REFERENTIEL_BUDGET!$D$2:$D$101,MATCH(B295,REFERENTIEL_BUDGET!$A$2:$A$101,0)),"")),"Oui","Non"))</f>
        <v/>
      </c>
      <c r="Q295" t="str">
        <f t="shared" si="26"/>
        <v/>
      </c>
      <c r="R295" t="str">
        <f t="shared" si="27"/>
        <v/>
      </c>
      <c r="S295" t="str">
        <f t="shared" si="28"/>
        <v/>
      </c>
    </row>
    <row r="296" spans="1:19">
      <c r="A296">
        <f t="shared" si="24"/>
        <v>295</v>
      </c>
      <c r="E296" s="3"/>
      <c r="L296" s="5"/>
      <c r="M296" s="5">
        <f t="shared" si="29"/>
        <v>0</v>
      </c>
      <c r="N296" s="5"/>
      <c r="O296" s="5" t="str">
        <f t="shared" si="25"/>
        <v/>
      </c>
      <c r="P296" t="str">
        <f>IF(OR(B296="",E296=""),"",IF(AND(E296&gt;=IFERROR(INDEX(REFERENTIEL_BUDGET!$C$2:$C$101,MATCH(B296,REFERENTIEL_BUDGET!$A$2:$A$101,0)),""),E296&lt;=IFERROR(INDEX(REFERENTIEL_BUDGET!$D$2:$D$101,MATCH(B296,REFERENTIEL_BUDGET!$A$2:$A$101,0)),"")),"Oui","Non"))</f>
        <v/>
      </c>
      <c r="Q296" t="str">
        <f t="shared" si="26"/>
        <v/>
      </c>
      <c r="R296" t="str">
        <f t="shared" si="27"/>
        <v/>
      </c>
      <c r="S296" t="str">
        <f t="shared" si="28"/>
        <v/>
      </c>
    </row>
    <row r="297" spans="1:19">
      <c r="A297">
        <f t="shared" si="24"/>
        <v>296</v>
      </c>
      <c r="E297" s="3"/>
      <c r="L297" s="5"/>
      <c r="M297" s="5">
        <f t="shared" si="29"/>
        <v>0</v>
      </c>
      <c r="N297" s="5"/>
      <c r="O297" s="5" t="str">
        <f t="shared" si="25"/>
        <v/>
      </c>
      <c r="P297" t="str">
        <f>IF(OR(B297="",E297=""),"",IF(AND(E297&gt;=IFERROR(INDEX(REFERENTIEL_BUDGET!$C$2:$C$101,MATCH(B297,REFERENTIEL_BUDGET!$A$2:$A$101,0)),""),E297&lt;=IFERROR(INDEX(REFERENTIEL_BUDGET!$D$2:$D$101,MATCH(B297,REFERENTIEL_BUDGET!$A$2:$A$101,0)),"")),"Oui","Non"))</f>
        <v/>
      </c>
      <c r="Q297" t="str">
        <f t="shared" si="26"/>
        <v/>
      </c>
      <c r="R297" t="str">
        <f t="shared" si="27"/>
        <v/>
      </c>
      <c r="S297" t="str">
        <f t="shared" si="28"/>
        <v/>
      </c>
    </row>
    <row r="298" spans="1:19">
      <c r="A298">
        <f t="shared" si="24"/>
        <v>297</v>
      </c>
      <c r="E298" s="3"/>
      <c r="L298" s="5"/>
      <c r="M298" s="5">
        <f t="shared" si="29"/>
        <v>0</v>
      </c>
      <c r="N298" s="5"/>
      <c r="O298" s="5" t="str">
        <f t="shared" si="25"/>
        <v/>
      </c>
      <c r="P298" t="str">
        <f>IF(OR(B298="",E298=""),"",IF(AND(E298&gt;=IFERROR(INDEX(REFERENTIEL_BUDGET!$C$2:$C$101,MATCH(B298,REFERENTIEL_BUDGET!$A$2:$A$101,0)),""),E298&lt;=IFERROR(INDEX(REFERENTIEL_BUDGET!$D$2:$D$101,MATCH(B298,REFERENTIEL_BUDGET!$A$2:$A$101,0)),"")),"Oui","Non"))</f>
        <v/>
      </c>
      <c r="Q298" t="str">
        <f t="shared" si="26"/>
        <v/>
      </c>
      <c r="R298" t="str">
        <f t="shared" si="27"/>
        <v/>
      </c>
      <c r="S298" t="str">
        <f t="shared" si="28"/>
        <v/>
      </c>
    </row>
    <row r="299" spans="1:19">
      <c r="A299">
        <f t="shared" si="24"/>
        <v>298</v>
      </c>
      <c r="E299" s="3"/>
      <c r="L299" s="5"/>
      <c r="M299" s="5">
        <f t="shared" si="29"/>
        <v>0</v>
      </c>
      <c r="N299" s="5"/>
      <c r="O299" s="5" t="str">
        <f t="shared" si="25"/>
        <v/>
      </c>
      <c r="P299" t="str">
        <f>IF(OR(B299="",E299=""),"",IF(AND(E299&gt;=IFERROR(INDEX(REFERENTIEL_BUDGET!$C$2:$C$101,MATCH(B299,REFERENTIEL_BUDGET!$A$2:$A$101,0)),""),E299&lt;=IFERROR(INDEX(REFERENTIEL_BUDGET!$D$2:$D$101,MATCH(B299,REFERENTIEL_BUDGET!$A$2:$A$101,0)),"")),"Oui","Non"))</f>
        <v/>
      </c>
      <c r="Q299" t="str">
        <f t="shared" si="26"/>
        <v/>
      </c>
      <c r="R299" t="str">
        <f t="shared" si="27"/>
        <v/>
      </c>
      <c r="S299" t="str">
        <f t="shared" si="28"/>
        <v/>
      </c>
    </row>
    <row r="300" spans="1:19">
      <c r="A300">
        <f t="shared" si="24"/>
        <v>299</v>
      </c>
      <c r="E300" s="3"/>
      <c r="L300" s="5"/>
      <c r="M300" s="5">
        <f t="shared" si="29"/>
        <v>0</v>
      </c>
      <c r="N300" s="5"/>
      <c r="O300" s="5" t="str">
        <f t="shared" si="25"/>
        <v/>
      </c>
      <c r="P300" t="str">
        <f>IF(OR(B300="",E300=""),"",IF(AND(E300&gt;=IFERROR(INDEX(REFERENTIEL_BUDGET!$C$2:$C$101,MATCH(B300,REFERENTIEL_BUDGET!$A$2:$A$101,0)),""),E300&lt;=IFERROR(INDEX(REFERENTIEL_BUDGET!$D$2:$D$101,MATCH(B300,REFERENTIEL_BUDGET!$A$2:$A$101,0)),"")),"Oui","Non"))</f>
        <v/>
      </c>
      <c r="Q300" t="str">
        <f t="shared" si="26"/>
        <v/>
      </c>
      <c r="R300" t="str">
        <f t="shared" si="27"/>
        <v/>
      </c>
      <c r="S300" t="str">
        <f t="shared" si="28"/>
        <v/>
      </c>
    </row>
    <row r="301" spans="1:19">
      <c r="A301">
        <f t="shared" si="24"/>
        <v>300</v>
      </c>
      <c r="E301" s="3"/>
      <c r="L301" s="5"/>
      <c r="M301" s="5">
        <f t="shared" si="29"/>
        <v>0</v>
      </c>
      <c r="N301" s="5"/>
      <c r="O301" s="5" t="str">
        <f t="shared" si="25"/>
        <v/>
      </c>
      <c r="P301" t="str">
        <f>IF(OR(B301="",E301=""),"",IF(AND(E301&gt;=IFERROR(INDEX(REFERENTIEL_BUDGET!$C$2:$C$101,MATCH(B301,REFERENTIEL_BUDGET!$A$2:$A$101,0)),""),E301&lt;=IFERROR(INDEX(REFERENTIEL_BUDGET!$D$2:$D$101,MATCH(B301,REFERENTIEL_BUDGET!$A$2:$A$101,0)),"")),"Oui","Non"))</f>
        <v/>
      </c>
      <c r="Q301" t="str">
        <f t="shared" si="26"/>
        <v/>
      </c>
      <c r="R301" t="str">
        <f t="shared" si="27"/>
        <v/>
      </c>
      <c r="S301" t="str">
        <f t="shared" si="28"/>
        <v/>
      </c>
    </row>
    <row r="302" spans="1:19">
      <c r="A302">
        <f t="shared" si="24"/>
        <v>301</v>
      </c>
      <c r="E302" s="3"/>
      <c r="L302" s="5"/>
      <c r="M302" s="5">
        <f t="shared" si="29"/>
        <v>0</v>
      </c>
      <c r="N302" s="5"/>
      <c r="O302" s="5" t="str">
        <f t="shared" si="25"/>
        <v/>
      </c>
      <c r="P302" t="str">
        <f>IF(OR(B302="",E302=""),"",IF(AND(E302&gt;=IFERROR(INDEX(REFERENTIEL_BUDGET!$C$2:$C$101,MATCH(B302,REFERENTIEL_BUDGET!$A$2:$A$101,0)),""),E302&lt;=IFERROR(INDEX(REFERENTIEL_BUDGET!$D$2:$D$101,MATCH(B302,REFERENTIEL_BUDGET!$A$2:$A$101,0)),"")),"Oui","Non"))</f>
        <v/>
      </c>
      <c r="Q302" t="str">
        <f t="shared" si="26"/>
        <v/>
      </c>
      <c r="R302" t="str">
        <f t="shared" si="27"/>
        <v/>
      </c>
      <c r="S302" t="str">
        <f t="shared" si="28"/>
        <v/>
      </c>
    </row>
    <row r="303" spans="1:19">
      <c r="A303">
        <f t="shared" si="24"/>
        <v>302</v>
      </c>
      <c r="E303" s="3"/>
      <c r="L303" s="5"/>
      <c r="M303" s="5">
        <f t="shared" si="29"/>
        <v>0</v>
      </c>
      <c r="N303" s="5"/>
      <c r="O303" s="5" t="str">
        <f t="shared" si="25"/>
        <v/>
      </c>
      <c r="P303" t="str">
        <f>IF(OR(B303="",E303=""),"",IF(AND(E303&gt;=IFERROR(INDEX(REFERENTIEL_BUDGET!$C$2:$C$101,MATCH(B303,REFERENTIEL_BUDGET!$A$2:$A$101,0)),""),E303&lt;=IFERROR(INDEX(REFERENTIEL_BUDGET!$D$2:$D$101,MATCH(B303,REFERENTIEL_BUDGET!$A$2:$A$101,0)),"")),"Oui","Non"))</f>
        <v/>
      </c>
      <c r="Q303" t="str">
        <f t="shared" si="26"/>
        <v/>
      </c>
      <c r="R303" t="str">
        <f t="shared" si="27"/>
        <v/>
      </c>
      <c r="S303" t="str">
        <f t="shared" si="28"/>
        <v/>
      </c>
    </row>
    <row r="304" spans="1:19">
      <c r="A304">
        <f t="shared" si="24"/>
        <v>303</v>
      </c>
      <c r="E304" s="3"/>
      <c r="L304" s="5"/>
      <c r="M304" s="5">
        <f t="shared" si="29"/>
        <v>0</v>
      </c>
      <c r="N304" s="5"/>
      <c r="O304" s="5" t="str">
        <f t="shared" si="25"/>
        <v/>
      </c>
      <c r="P304" t="str">
        <f>IF(OR(B304="",E304=""),"",IF(AND(E304&gt;=IFERROR(INDEX(REFERENTIEL_BUDGET!$C$2:$C$101,MATCH(B304,REFERENTIEL_BUDGET!$A$2:$A$101,0)),""),E304&lt;=IFERROR(INDEX(REFERENTIEL_BUDGET!$D$2:$D$101,MATCH(B304,REFERENTIEL_BUDGET!$A$2:$A$101,0)),"")),"Oui","Non"))</f>
        <v/>
      </c>
      <c r="Q304" t="str">
        <f t="shared" si="26"/>
        <v/>
      </c>
      <c r="R304" t="str">
        <f t="shared" si="27"/>
        <v/>
      </c>
      <c r="S304" t="str">
        <f t="shared" si="28"/>
        <v/>
      </c>
    </row>
    <row r="305" spans="1:19">
      <c r="A305">
        <f t="shared" si="24"/>
        <v>304</v>
      </c>
      <c r="E305" s="3"/>
      <c r="L305" s="5"/>
      <c r="M305" s="5">
        <f t="shared" si="29"/>
        <v>0</v>
      </c>
      <c r="N305" s="5"/>
      <c r="O305" s="5" t="str">
        <f t="shared" si="25"/>
        <v/>
      </c>
      <c r="P305" t="str">
        <f>IF(OR(B305="",E305=""),"",IF(AND(E305&gt;=IFERROR(INDEX(REFERENTIEL_BUDGET!$C$2:$C$101,MATCH(B305,REFERENTIEL_BUDGET!$A$2:$A$101,0)),""),E305&lt;=IFERROR(INDEX(REFERENTIEL_BUDGET!$D$2:$D$101,MATCH(B305,REFERENTIEL_BUDGET!$A$2:$A$101,0)),"")),"Oui","Non"))</f>
        <v/>
      </c>
      <c r="Q305" t="str">
        <f t="shared" si="26"/>
        <v/>
      </c>
      <c r="R305" t="str">
        <f t="shared" si="27"/>
        <v/>
      </c>
      <c r="S305" t="str">
        <f t="shared" si="28"/>
        <v/>
      </c>
    </row>
    <row r="306" spans="1:19">
      <c r="A306">
        <f t="shared" si="24"/>
        <v>305</v>
      </c>
      <c r="E306" s="3"/>
      <c r="L306" s="5"/>
      <c r="M306" s="5">
        <f t="shared" si="29"/>
        <v>0</v>
      </c>
      <c r="N306" s="5"/>
      <c r="O306" s="5" t="str">
        <f t="shared" si="25"/>
        <v/>
      </c>
      <c r="P306" t="str">
        <f>IF(OR(B306="",E306=""),"",IF(AND(E306&gt;=IFERROR(INDEX(REFERENTIEL_BUDGET!$C$2:$C$101,MATCH(B306,REFERENTIEL_BUDGET!$A$2:$A$101,0)),""),E306&lt;=IFERROR(INDEX(REFERENTIEL_BUDGET!$D$2:$D$101,MATCH(B306,REFERENTIEL_BUDGET!$A$2:$A$101,0)),"")),"Oui","Non"))</f>
        <v/>
      </c>
      <c r="Q306" t="str">
        <f t="shared" si="26"/>
        <v/>
      </c>
      <c r="R306" t="str">
        <f t="shared" si="27"/>
        <v/>
      </c>
      <c r="S306" t="str">
        <f t="shared" si="28"/>
        <v/>
      </c>
    </row>
    <row r="307" spans="1:19">
      <c r="A307">
        <f t="shared" si="24"/>
        <v>306</v>
      </c>
      <c r="E307" s="3"/>
      <c r="L307" s="5"/>
      <c r="M307" s="5">
        <f t="shared" si="29"/>
        <v>0</v>
      </c>
      <c r="N307" s="5"/>
      <c r="O307" s="5" t="str">
        <f t="shared" si="25"/>
        <v/>
      </c>
      <c r="P307" t="str">
        <f>IF(OR(B307="",E307=""),"",IF(AND(E307&gt;=IFERROR(INDEX(REFERENTIEL_BUDGET!$C$2:$C$101,MATCH(B307,REFERENTIEL_BUDGET!$A$2:$A$101,0)),""),E307&lt;=IFERROR(INDEX(REFERENTIEL_BUDGET!$D$2:$D$101,MATCH(B307,REFERENTIEL_BUDGET!$A$2:$A$101,0)),"")),"Oui","Non"))</f>
        <v/>
      </c>
      <c r="Q307" t="str">
        <f t="shared" si="26"/>
        <v/>
      </c>
      <c r="R307" t="str">
        <f t="shared" si="27"/>
        <v/>
      </c>
      <c r="S307" t="str">
        <f t="shared" si="28"/>
        <v/>
      </c>
    </row>
    <row r="308" spans="1:19">
      <c r="A308">
        <f t="shared" si="24"/>
        <v>307</v>
      </c>
      <c r="E308" s="3"/>
      <c r="L308" s="5"/>
      <c r="M308" s="5">
        <f t="shared" si="29"/>
        <v>0</v>
      </c>
      <c r="N308" s="5"/>
      <c r="O308" s="5" t="str">
        <f t="shared" si="25"/>
        <v/>
      </c>
      <c r="P308" t="str">
        <f>IF(OR(B308="",E308=""),"",IF(AND(E308&gt;=IFERROR(INDEX(REFERENTIEL_BUDGET!$C$2:$C$101,MATCH(B308,REFERENTIEL_BUDGET!$A$2:$A$101,0)),""),E308&lt;=IFERROR(INDEX(REFERENTIEL_BUDGET!$D$2:$D$101,MATCH(B308,REFERENTIEL_BUDGET!$A$2:$A$101,0)),"")),"Oui","Non"))</f>
        <v/>
      </c>
      <c r="Q308" t="str">
        <f t="shared" si="26"/>
        <v/>
      </c>
      <c r="R308" t="str">
        <f t="shared" si="27"/>
        <v/>
      </c>
      <c r="S308" t="str">
        <f t="shared" si="28"/>
        <v/>
      </c>
    </row>
    <row r="309" spans="1:19">
      <c r="A309">
        <f t="shared" si="24"/>
        <v>308</v>
      </c>
      <c r="E309" s="3"/>
      <c r="L309" s="5"/>
      <c r="M309" s="5">
        <f t="shared" si="29"/>
        <v>0</v>
      </c>
      <c r="N309" s="5"/>
      <c r="O309" s="5" t="str">
        <f t="shared" si="25"/>
        <v/>
      </c>
      <c r="P309" t="str">
        <f>IF(OR(B309="",E309=""),"",IF(AND(E309&gt;=IFERROR(INDEX(REFERENTIEL_BUDGET!$C$2:$C$101,MATCH(B309,REFERENTIEL_BUDGET!$A$2:$A$101,0)),""),E309&lt;=IFERROR(INDEX(REFERENTIEL_BUDGET!$D$2:$D$101,MATCH(B309,REFERENTIEL_BUDGET!$A$2:$A$101,0)),"")),"Oui","Non"))</f>
        <v/>
      </c>
      <c r="Q309" t="str">
        <f t="shared" si="26"/>
        <v/>
      </c>
      <c r="R309" t="str">
        <f t="shared" si="27"/>
        <v/>
      </c>
      <c r="S309" t="str">
        <f t="shared" si="28"/>
        <v/>
      </c>
    </row>
    <row r="310" spans="1:19">
      <c r="A310">
        <f t="shared" si="24"/>
        <v>309</v>
      </c>
      <c r="E310" s="3"/>
      <c r="L310" s="5"/>
      <c r="M310" s="5">
        <f t="shared" si="29"/>
        <v>0</v>
      </c>
      <c r="N310" s="5"/>
      <c r="O310" s="5" t="str">
        <f t="shared" si="25"/>
        <v/>
      </c>
      <c r="P310" t="str">
        <f>IF(OR(B310="",E310=""),"",IF(AND(E310&gt;=IFERROR(INDEX(REFERENTIEL_BUDGET!$C$2:$C$101,MATCH(B310,REFERENTIEL_BUDGET!$A$2:$A$101,0)),""),E310&lt;=IFERROR(INDEX(REFERENTIEL_BUDGET!$D$2:$D$101,MATCH(B310,REFERENTIEL_BUDGET!$A$2:$A$101,0)),"")),"Oui","Non"))</f>
        <v/>
      </c>
      <c r="Q310" t="str">
        <f t="shared" si="26"/>
        <v/>
      </c>
      <c r="R310" t="str">
        <f t="shared" si="27"/>
        <v/>
      </c>
      <c r="S310" t="str">
        <f t="shared" si="28"/>
        <v/>
      </c>
    </row>
    <row r="311" spans="1:19">
      <c r="A311">
        <f t="shared" si="24"/>
        <v>310</v>
      </c>
      <c r="E311" s="3"/>
      <c r="L311" s="5"/>
      <c r="M311" s="5">
        <f t="shared" si="29"/>
        <v>0</v>
      </c>
      <c r="N311" s="5"/>
      <c r="O311" s="5" t="str">
        <f t="shared" si="25"/>
        <v/>
      </c>
      <c r="P311" t="str">
        <f>IF(OR(B311="",E311=""),"",IF(AND(E311&gt;=IFERROR(INDEX(REFERENTIEL_BUDGET!$C$2:$C$101,MATCH(B311,REFERENTIEL_BUDGET!$A$2:$A$101,0)),""),E311&lt;=IFERROR(INDEX(REFERENTIEL_BUDGET!$D$2:$D$101,MATCH(B311,REFERENTIEL_BUDGET!$A$2:$A$101,0)),"")),"Oui","Non"))</f>
        <v/>
      </c>
      <c r="Q311" t="str">
        <f t="shared" si="26"/>
        <v/>
      </c>
      <c r="R311" t="str">
        <f t="shared" si="27"/>
        <v/>
      </c>
      <c r="S311" t="str">
        <f t="shared" si="28"/>
        <v/>
      </c>
    </row>
    <row r="312" spans="1:19">
      <c r="A312">
        <f t="shared" si="24"/>
        <v>311</v>
      </c>
      <c r="E312" s="3"/>
      <c r="L312" s="5"/>
      <c r="M312" s="5">
        <f t="shared" si="29"/>
        <v>0</v>
      </c>
      <c r="N312" s="5"/>
      <c r="O312" s="5" t="str">
        <f t="shared" si="25"/>
        <v/>
      </c>
      <c r="P312" t="str">
        <f>IF(OR(B312="",E312=""),"",IF(AND(E312&gt;=IFERROR(INDEX(REFERENTIEL_BUDGET!$C$2:$C$101,MATCH(B312,REFERENTIEL_BUDGET!$A$2:$A$101,0)),""),E312&lt;=IFERROR(INDEX(REFERENTIEL_BUDGET!$D$2:$D$101,MATCH(B312,REFERENTIEL_BUDGET!$A$2:$A$101,0)),"")),"Oui","Non"))</f>
        <v/>
      </c>
      <c r="Q312" t="str">
        <f t="shared" si="26"/>
        <v/>
      </c>
      <c r="R312" t="str">
        <f t="shared" si="27"/>
        <v/>
      </c>
      <c r="S312" t="str">
        <f t="shared" si="28"/>
        <v/>
      </c>
    </row>
    <row r="313" spans="1:19">
      <c r="A313">
        <f t="shared" si="24"/>
        <v>312</v>
      </c>
      <c r="E313" s="3"/>
      <c r="L313" s="5"/>
      <c r="M313" s="5">
        <f t="shared" si="29"/>
        <v>0</v>
      </c>
      <c r="N313" s="5"/>
      <c r="O313" s="5" t="str">
        <f t="shared" si="25"/>
        <v/>
      </c>
      <c r="P313" t="str">
        <f>IF(OR(B313="",E313=""),"",IF(AND(E313&gt;=IFERROR(INDEX(REFERENTIEL_BUDGET!$C$2:$C$101,MATCH(B313,REFERENTIEL_BUDGET!$A$2:$A$101,0)),""),E313&lt;=IFERROR(INDEX(REFERENTIEL_BUDGET!$D$2:$D$101,MATCH(B313,REFERENTIEL_BUDGET!$A$2:$A$101,0)),"")),"Oui","Non"))</f>
        <v/>
      </c>
      <c r="Q313" t="str">
        <f t="shared" si="26"/>
        <v/>
      </c>
      <c r="R313" t="str">
        <f t="shared" si="27"/>
        <v/>
      </c>
      <c r="S313" t="str">
        <f t="shared" si="28"/>
        <v/>
      </c>
    </row>
    <row r="314" spans="1:19">
      <c r="A314">
        <f t="shared" si="24"/>
        <v>313</v>
      </c>
      <c r="E314" s="3"/>
      <c r="L314" s="5"/>
      <c r="M314" s="5">
        <f t="shared" si="29"/>
        <v>0</v>
      </c>
      <c r="N314" s="5"/>
      <c r="O314" s="5" t="str">
        <f t="shared" si="25"/>
        <v/>
      </c>
      <c r="P314" t="str">
        <f>IF(OR(B314="",E314=""),"",IF(AND(E314&gt;=IFERROR(INDEX(REFERENTIEL_BUDGET!$C$2:$C$101,MATCH(B314,REFERENTIEL_BUDGET!$A$2:$A$101,0)),""),E314&lt;=IFERROR(INDEX(REFERENTIEL_BUDGET!$D$2:$D$101,MATCH(B314,REFERENTIEL_BUDGET!$A$2:$A$101,0)),"")),"Oui","Non"))</f>
        <v/>
      </c>
      <c r="Q314" t="str">
        <f t="shared" si="26"/>
        <v/>
      </c>
      <c r="R314" t="str">
        <f t="shared" si="27"/>
        <v/>
      </c>
      <c r="S314" t="str">
        <f t="shared" si="28"/>
        <v/>
      </c>
    </row>
    <row r="315" spans="1:19">
      <c r="A315">
        <f t="shared" si="24"/>
        <v>314</v>
      </c>
      <c r="E315" s="3"/>
      <c r="L315" s="5"/>
      <c r="M315" s="5">
        <f t="shared" si="29"/>
        <v>0</v>
      </c>
      <c r="N315" s="5"/>
      <c r="O315" s="5" t="str">
        <f t="shared" si="25"/>
        <v/>
      </c>
      <c r="P315" t="str">
        <f>IF(OR(B315="",E315=""),"",IF(AND(E315&gt;=IFERROR(INDEX(REFERENTIEL_BUDGET!$C$2:$C$101,MATCH(B315,REFERENTIEL_BUDGET!$A$2:$A$101,0)),""),E315&lt;=IFERROR(INDEX(REFERENTIEL_BUDGET!$D$2:$D$101,MATCH(B315,REFERENTIEL_BUDGET!$A$2:$A$101,0)),"")),"Oui","Non"))</f>
        <v/>
      </c>
      <c r="Q315" t="str">
        <f t="shared" si="26"/>
        <v/>
      </c>
      <c r="R315" t="str">
        <f t="shared" si="27"/>
        <v/>
      </c>
      <c r="S315" t="str">
        <f t="shared" si="28"/>
        <v/>
      </c>
    </row>
    <row r="316" spans="1:19">
      <c r="A316">
        <f t="shared" si="24"/>
        <v>315</v>
      </c>
      <c r="E316" s="3"/>
      <c r="L316" s="5"/>
      <c r="M316" s="5">
        <f t="shared" si="29"/>
        <v>0</v>
      </c>
      <c r="N316" s="5"/>
      <c r="O316" s="5" t="str">
        <f t="shared" si="25"/>
        <v/>
      </c>
      <c r="P316" t="str">
        <f>IF(OR(B316="",E316=""),"",IF(AND(E316&gt;=IFERROR(INDEX(REFERENTIEL_BUDGET!$C$2:$C$101,MATCH(B316,REFERENTIEL_BUDGET!$A$2:$A$101,0)),""),E316&lt;=IFERROR(INDEX(REFERENTIEL_BUDGET!$D$2:$D$101,MATCH(B316,REFERENTIEL_BUDGET!$A$2:$A$101,0)),"")),"Oui","Non"))</f>
        <v/>
      </c>
      <c r="Q316" t="str">
        <f t="shared" si="26"/>
        <v/>
      </c>
      <c r="R316" t="str">
        <f t="shared" si="27"/>
        <v/>
      </c>
      <c r="S316" t="str">
        <f t="shared" si="28"/>
        <v/>
      </c>
    </row>
    <row r="317" spans="1:19">
      <c r="A317">
        <f t="shared" si="24"/>
        <v>316</v>
      </c>
      <c r="E317" s="3"/>
      <c r="L317" s="5"/>
      <c r="M317" s="5">
        <f t="shared" si="29"/>
        <v>0</v>
      </c>
      <c r="N317" s="5"/>
      <c r="O317" s="5" t="str">
        <f t="shared" si="25"/>
        <v/>
      </c>
      <c r="P317" t="str">
        <f>IF(OR(B317="",E317=""),"",IF(AND(E317&gt;=IFERROR(INDEX(REFERENTIEL_BUDGET!$C$2:$C$101,MATCH(B317,REFERENTIEL_BUDGET!$A$2:$A$101,0)),""),E317&lt;=IFERROR(INDEX(REFERENTIEL_BUDGET!$D$2:$D$101,MATCH(B317,REFERENTIEL_BUDGET!$A$2:$A$101,0)),"")),"Oui","Non"))</f>
        <v/>
      </c>
      <c r="Q317" t="str">
        <f t="shared" si="26"/>
        <v/>
      </c>
      <c r="R317" t="str">
        <f t="shared" si="27"/>
        <v/>
      </c>
      <c r="S317" t="str">
        <f t="shared" si="28"/>
        <v/>
      </c>
    </row>
    <row r="318" spans="1:19">
      <c r="A318">
        <f t="shared" si="24"/>
        <v>317</v>
      </c>
      <c r="E318" s="3"/>
      <c r="L318" s="5"/>
      <c r="M318" s="5">
        <f t="shared" si="29"/>
        <v>0</v>
      </c>
      <c r="N318" s="5"/>
      <c r="O318" s="5" t="str">
        <f t="shared" si="25"/>
        <v/>
      </c>
      <c r="P318" t="str">
        <f>IF(OR(B318="",E318=""),"",IF(AND(E318&gt;=IFERROR(INDEX(REFERENTIEL_BUDGET!$C$2:$C$101,MATCH(B318,REFERENTIEL_BUDGET!$A$2:$A$101,0)),""),E318&lt;=IFERROR(INDEX(REFERENTIEL_BUDGET!$D$2:$D$101,MATCH(B318,REFERENTIEL_BUDGET!$A$2:$A$101,0)),"")),"Oui","Non"))</f>
        <v/>
      </c>
      <c r="Q318" t="str">
        <f t="shared" si="26"/>
        <v/>
      </c>
      <c r="R318" t="str">
        <f t="shared" si="27"/>
        <v/>
      </c>
      <c r="S318" t="str">
        <f t="shared" si="28"/>
        <v/>
      </c>
    </row>
    <row r="319" spans="1:19">
      <c r="A319">
        <f t="shared" si="24"/>
        <v>318</v>
      </c>
      <c r="E319" s="3"/>
      <c r="L319" s="5"/>
      <c r="M319" s="5">
        <f t="shared" si="29"/>
        <v>0</v>
      </c>
      <c r="N319" s="5"/>
      <c r="O319" s="5" t="str">
        <f t="shared" si="25"/>
        <v/>
      </c>
      <c r="P319" t="str">
        <f>IF(OR(B319="",E319=""),"",IF(AND(E319&gt;=IFERROR(INDEX(REFERENTIEL_BUDGET!$C$2:$C$101,MATCH(B319,REFERENTIEL_BUDGET!$A$2:$A$101,0)),""),E319&lt;=IFERROR(INDEX(REFERENTIEL_BUDGET!$D$2:$D$101,MATCH(B319,REFERENTIEL_BUDGET!$A$2:$A$101,0)),"")),"Oui","Non"))</f>
        <v/>
      </c>
      <c r="Q319" t="str">
        <f t="shared" si="26"/>
        <v/>
      </c>
      <c r="R319" t="str">
        <f t="shared" si="27"/>
        <v/>
      </c>
      <c r="S319" t="str">
        <f t="shared" si="28"/>
        <v/>
      </c>
    </row>
    <row r="320" spans="1:19">
      <c r="A320">
        <f t="shared" si="24"/>
        <v>319</v>
      </c>
      <c r="E320" s="3"/>
      <c r="L320" s="5"/>
      <c r="M320" s="5">
        <f t="shared" si="29"/>
        <v>0</v>
      </c>
      <c r="N320" s="5"/>
      <c r="O320" s="5" t="str">
        <f t="shared" si="25"/>
        <v/>
      </c>
      <c r="P320" t="str">
        <f>IF(OR(B320="",E320=""),"",IF(AND(E320&gt;=IFERROR(INDEX(REFERENTIEL_BUDGET!$C$2:$C$101,MATCH(B320,REFERENTIEL_BUDGET!$A$2:$A$101,0)),""),E320&lt;=IFERROR(INDEX(REFERENTIEL_BUDGET!$D$2:$D$101,MATCH(B320,REFERENTIEL_BUDGET!$A$2:$A$101,0)),"")),"Oui","Non"))</f>
        <v/>
      </c>
      <c r="Q320" t="str">
        <f t="shared" si="26"/>
        <v/>
      </c>
      <c r="R320" t="str">
        <f t="shared" si="27"/>
        <v/>
      </c>
      <c r="S320" t="str">
        <f t="shared" si="28"/>
        <v/>
      </c>
    </row>
    <row r="321" spans="1:19">
      <c r="A321">
        <f t="shared" si="24"/>
        <v>320</v>
      </c>
      <c r="E321" s="3"/>
      <c r="L321" s="5"/>
      <c r="M321" s="5">
        <f t="shared" si="29"/>
        <v>0</v>
      </c>
      <c r="N321" s="5"/>
      <c r="O321" s="5" t="str">
        <f t="shared" si="25"/>
        <v/>
      </c>
      <c r="P321" t="str">
        <f>IF(OR(B321="",E321=""),"",IF(AND(E321&gt;=IFERROR(INDEX(REFERENTIEL_BUDGET!$C$2:$C$101,MATCH(B321,REFERENTIEL_BUDGET!$A$2:$A$101,0)),""),E321&lt;=IFERROR(INDEX(REFERENTIEL_BUDGET!$D$2:$D$101,MATCH(B321,REFERENTIEL_BUDGET!$A$2:$A$101,0)),"")),"Oui","Non"))</f>
        <v/>
      </c>
      <c r="Q321" t="str">
        <f t="shared" si="26"/>
        <v/>
      </c>
      <c r="R321" t="str">
        <f t="shared" si="27"/>
        <v/>
      </c>
      <c r="S321" t="str">
        <f t="shared" si="28"/>
        <v/>
      </c>
    </row>
    <row r="322" spans="1:19">
      <c r="A322">
        <f t="shared" ref="A322:A385" si="30">ROW()-1</f>
        <v>321</v>
      </c>
      <c r="E322" s="3"/>
      <c r="L322" s="5"/>
      <c r="M322" s="5">
        <f t="shared" si="29"/>
        <v>0</v>
      </c>
      <c r="N322" s="5"/>
      <c r="O322" s="5" t="str">
        <f t="shared" ref="O322:O385" si="31">IF(OR(M322="",N322=""),"",N322-M322)</f>
        <v/>
      </c>
      <c r="P322" t="str">
        <f>IF(OR(B322="",E322=""),"",IF(AND(E322&gt;=IFERROR(INDEX(REFERENTIEL_BUDGET!$C$2:$C$101,MATCH(B322,REFERENTIEL_BUDGET!$A$2:$A$101,0)),""),E322&lt;=IFERROR(INDEX(REFERENTIEL_BUDGET!$D$2:$D$101,MATCH(B322,REFERENTIEL_BUDGET!$A$2:$A$101,0)),"")),"Oui","Non"))</f>
        <v/>
      </c>
      <c r="Q322" t="str">
        <f t="shared" ref="Q322:Q385" si="32">IF(J322="","",IF(AND(J322="Présent",K322&lt;&gt;""),"Oui",IF(J322="Absent","Non","À vérifier")))</f>
        <v/>
      </c>
      <c r="R322" t="str">
        <f t="shared" ref="R322:R385" si="33">IF(OR(M322="",N322=""),"",IF(O322=0,"Oui","Non"))</f>
        <v/>
      </c>
      <c r="S322" t="str">
        <f t="shared" ref="S322:S385" si="34">IF(B322="","",IF(P322="Non","DATE HORS PÉRIODE",IF(Q322="Non","PAIEMENT SANS PRÉSENCE",IF(Q322="À vérifier","PRÉSENCE À VÉRIFIER",IF(R322="Non","MONTANT NON CONFORME","CONFORME")))))</f>
        <v/>
      </c>
    </row>
    <row r="323" spans="1:19">
      <c r="A323">
        <f t="shared" si="30"/>
        <v>322</v>
      </c>
      <c r="E323" s="3"/>
      <c r="L323" s="5"/>
      <c r="M323" s="5">
        <f t="shared" ref="M323:M386" si="35">+COUNTIF(F323:J323,"Présent")*L323</f>
        <v>0</v>
      </c>
      <c r="N323" s="5"/>
      <c r="O323" s="5" t="str">
        <f t="shared" si="31"/>
        <v/>
      </c>
      <c r="P323" t="str">
        <f>IF(OR(B323="",E323=""),"",IF(AND(E323&gt;=IFERROR(INDEX(REFERENTIEL_BUDGET!$C$2:$C$101,MATCH(B323,REFERENTIEL_BUDGET!$A$2:$A$101,0)),""),E323&lt;=IFERROR(INDEX(REFERENTIEL_BUDGET!$D$2:$D$101,MATCH(B323,REFERENTIEL_BUDGET!$A$2:$A$101,0)),"")),"Oui","Non"))</f>
        <v/>
      </c>
      <c r="Q323" t="str">
        <f t="shared" si="32"/>
        <v/>
      </c>
      <c r="R323" t="str">
        <f t="shared" si="33"/>
        <v/>
      </c>
      <c r="S323" t="str">
        <f t="shared" si="34"/>
        <v/>
      </c>
    </row>
    <row r="324" spans="1:19">
      <c r="A324">
        <f t="shared" si="30"/>
        <v>323</v>
      </c>
      <c r="E324" s="3"/>
      <c r="L324" s="5"/>
      <c r="M324" s="5">
        <f t="shared" si="35"/>
        <v>0</v>
      </c>
      <c r="N324" s="5"/>
      <c r="O324" s="5" t="str">
        <f t="shared" si="31"/>
        <v/>
      </c>
      <c r="P324" t="str">
        <f>IF(OR(B324="",E324=""),"",IF(AND(E324&gt;=IFERROR(INDEX(REFERENTIEL_BUDGET!$C$2:$C$101,MATCH(B324,REFERENTIEL_BUDGET!$A$2:$A$101,0)),""),E324&lt;=IFERROR(INDEX(REFERENTIEL_BUDGET!$D$2:$D$101,MATCH(B324,REFERENTIEL_BUDGET!$A$2:$A$101,0)),"")),"Oui","Non"))</f>
        <v/>
      </c>
      <c r="Q324" t="str">
        <f t="shared" si="32"/>
        <v/>
      </c>
      <c r="R324" t="str">
        <f t="shared" si="33"/>
        <v/>
      </c>
      <c r="S324" t="str">
        <f t="shared" si="34"/>
        <v/>
      </c>
    </row>
    <row r="325" spans="1:19">
      <c r="A325">
        <f t="shared" si="30"/>
        <v>324</v>
      </c>
      <c r="E325" s="3"/>
      <c r="L325" s="5"/>
      <c r="M325" s="5">
        <f t="shared" si="35"/>
        <v>0</v>
      </c>
      <c r="N325" s="5"/>
      <c r="O325" s="5" t="str">
        <f t="shared" si="31"/>
        <v/>
      </c>
      <c r="P325" t="str">
        <f>IF(OR(B325="",E325=""),"",IF(AND(E325&gt;=IFERROR(INDEX(REFERENTIEL_BUDGET!$C$2:$C$101,MATCH(B325,REFERENTIEL_BUDGET!$A$2:$A$101,0)),""),E325&lt;=IFERROR(INDEX(REFERENTIEL_BUDGET!$D$2:$D$101,MATCH(B325,REFERENTIEL_BUDGET!$A$2:$A$101,0)),"")),"Oui","Non"))</f>
        <v/>
      </c>
      <c r="Q325" t="str">
        <f t="shared" si="32"/>
        <v/>
      </c>
      <c r="R325" t="str">
        <f t="shared" si="33"/>
        <v/>
      </c>
      <c r="S325" t="str">
        <f t="shared" si="34"/>
        <v/>
      </c>
    </row>
    <row r="326" spans="1:19">
      <c r="A326">
        <f t="shared" si="30"/>
        <v>325</v>
      </c>
      <c r="E326" s="3"/>
      <c r="L326" s="5"/>
      <c r="M326" s="5">
        <f t="shared" si="35"/>
        <v>0</v>
      </c>
      <c r="N326" s="5"/>
      <c r="O326" s="5" t="str">
        <f t="shared" si="31"/>
        <v/>
      </c>
      <c r="P326" t="str">
        <f>IF(OR(B326="",E326=""),"",IF(AND(E326&gt;=IFERROR(INDEX(REFERENTIEL_BUDGET!$C$2:$C$101,MATCH(B326,REFERENTIEL_BUDGET!$A$2:$A$101,0)),""),E326&lt;=IFERROR(INDEX(REFERENTIEL_BUDGET!$D$2:$D$101,MATCH(B326,REFERENTIEL_BUDGET!$A$2:$A$101,0)),"")),"Oui","Non"))</f>
        <v/>
      </c>
      <c r="Q326" t="str">
        <f t="shared" si="32"/>
        <v/>
      </c>
      <c r="R326" t="str">
        <f t="shared" si="33"/>
        <v/>
      </c>
      <c r="S326" t="str">
        <f t="shared" si="34"/>
        <v/>
      </c>
    </row>
    <row r="327" spans="1:19">
      <c r="A327">
        <f t="shared" si="30"/>
        <v>326</v>
      </c>
      <c r="E327" s="3"/>
      <c r="L327" s="5"/>
      <c r="M327" s="5">
        <f t="shared" si="35"/>
        <v>0</v>
      </c>
      <c r="N327" s="5"/>
      <c r="O327" s="5" t="str">
        <f t="shared" si="31"/>
        <v/>
      </c>
      <c r="P327" t="str">
        <f>IF(OR(B327="",E327=""),"",IF(AND(E327&gt;=IFERROR(INDEX(REFERENTIEL_BUDGET!$C$2:$C$101,MATCH(B327,REFERENTIEL_BUDGET!$A$2:$A$101,0)),""),E327&lt;=IFERROR(INDEX(REFERENTIEL_BUDGET!$D$2:$D$101,MATCH(B327,REFERENTIEL_BUDGET!$A$2:$A$101,0)),"")),"Oui","Non"))</f>
        <v/>
      </c>
      <c r="Q327" t="str">
        <f t="shared" si="32"/>
        <v/>
      </c>
      <c r="R327" t="str">
        <f t="shared" si="33"/>
        <v/>
      </c>
      <c r="S327" t="str">
        <f t="shared" si="34"/>
        <v/>
      </c>
    </row>
    <row r="328" spans="1:19">
      <c r="A328">
        <f t="shared" si="30"/>
        <v>327</v>
      </c>
      <c r="E328" s="3"/>
      <c r="L328" s="5"/>
      <c r="M328" s="5">
        <f t="shared" si="35"/>
        <v>0</v>
      </c>
      <c r="N328" s="5"/>
      <c r="O328" s="5" t="str">
        <f t="shared" si="31"/>
        <v/>
      </c>
      <c r="P328" t="str">
        <f>IF(OR(B328="",E328=""),"",IF(AND(E328&gt;=IFERROR(INDEX(REFERENTIEL_BUDGET!$C$2:$C$101,MATCH(B328,REFERENTIEL_BUDGET!$A$2:$A$101,0)),""),E328&lt;=IFERROR(INDEX(REFERENTIEL_BUDGET!$D$2:$D$101,MATCH(B328,REFERENTIEL_BUDGET!$A$2:$A$101,0)),"")),"Oui","Non"))</f>
        <v/>
      </c>
      <c r="Q328" t="str">
        <f t="shared" si="32"/>
        <v/>
      </c>
      <c r="R328" t="str">
        <f t="shared" si="33"/>
        <v/>
      </c>
      <c r="S328" t="str">
        <f t="shared" si="34"/>
        <v/>
      </c>
    </row>
    <row r="329" spans="1:19">
      <c r="A329">
        <f t="shared" si="30"/>
        <v>328</v>
      </c>
      <c r="E329" s="3"/>
      <c r="L329" s="5"/>
      <c r="M329" s="5">
        <f t="shared" si="35"/>
        <v>0</v>
      </c>
      <c r="N329" s="5"/>
      <c r="O329" s="5" t="str">
        <f t="shared" si="31"/>
        <v/>
      </c>
      <c r="P329" t="str">
        <f>IF(OR(B329="",E329=""),"",IF(AND(E329&gt;=IFERROR(INDEX(REFERENTIEL_BUDGET!$C$2:$C$101,MATCH(B329,REFERENTIEL_BUDGET!$A$2:$A$101,0)),""),E329&lt;=IFERROR(INDEX(REFERENTIEL_BUDGET!$D$2:$D$101,MATCH(B329,REFERENTIEL_BUDGET!$A$2:$A$101,0)),"")),"Oui","Non"))</f>
        <v/>
      </c>
      <c r="Q329" t="str">
        <f t="shared" si="32"/>
        <v/>
      </c>
      <c r="R329" t="str">
        <f t="shared" si="33"/>
        <v/>
      </c>
      <c r="S329" t="str">
        <f t="shared" si="34"/>
        <v/>
      </c>
    </row>
    <row r="330" spans="1:19">
      <c r="A330">
        <f t="shared" si="30"/>
        <v>329</v>
      </c>
      <c r="E330" s="3"/>
      <c r="L330" s="5"/>
      <c r="M330" s="5">
        <f t="shared" si="35"/>
        <v>0</v>
      </c>
      <c r="N330" s="5"/>
      <c r="O330" s="5" t="str">
        <f t="shared" si="31"/>
        <v/>
      </c>
      <c r="P330" t="str">
        <f>IF(OR(B330="",E330=""),"",IF(AND(E330&gt;=IFERROR(INDEX(REFERENTIEL_BUDGET!$C$2:$C$101,MATCH(B330,REFERENTIEL_BUDGET!$A$2:$A$101,0)),""),E330&lt;=IFERROR(INDEX(REFERENTIEL_BUDGET!$D$2:$D$101,MATCH(B330,REFERENTIEL_BUDGET!$A$2:$A$101,0)),"")),"Oui","Non"))</f>
        <v/>
      </c>
      <c r="Q330" t="str">
        <f t="shared" si="32"/>
        <v/>
      </c>
      <c r="R330" t="str">
        <f t="shared" si="33"/>
        <v/>
      </c>
      <c r="S330" t="str">
        <f t="shared" si="34"/>
        <v/>
      </c>
    </row>
    <row r="331" spans="1:19">
      <c r="A331">
        <f t="shared" si="30"/>
        <v>330</v>
      </c>
      <c r="E331" s="3"/>
      <c r="L331" s="5"/>
      <c r="M331" s="5">
        <f t="shared" si="35"/>
        <v>0</v>
      </c>
      <c r="N331" s="5"/>
      <c r="O331" s="5" t="str">
        <f t="shared" si="31"/>
        <v/>
      </c>
      <c r="P331" t="str">
        <f>IF(OR(B331="",E331=""),"",IF(AND(E331&gt;=IFERROR(INDEX(REFERENTIEL_BUDGET!$C$2:$C$101,MATCH(B331,REFERENTIEL_BUDGET!$A$2:$A$101,0)),""),E331&lt;=IFERROR(INDEX(REFERENTIEL_BUDGET!$D$2:$D$101,MATCH(B331,REFERENTIEL_BUDGET!$A$2:$A$101,0)),"")),"Oui","Non"))</f>
        <v/>
      </c>
      <c r="Q331" t="str">
        <f t="shared" si="32"/>
        <v/>
      </c>
      <c r="R331" t="str">
        <f t="shared" si="33"/>
        <v/>
      </c>
      <c r="S331" t="str">
        <f t="shared" si="34"/>
        <v/>
      </c>
    </row>
    <row r="332" spans="1:19">
      <c r="A332">
        <f t="shared" si="30"/>
        <v>331</v>
      </c>
      <c r="E332" s="3"/>
      <c r="L332" s="5"/>
      <c r="M332" s="5">
        <f t="shared" si="35"/>
        <v>0</v>
      </c>
      <c r="N332" s="5"/>
      <c r="O332" s="5" t="str">
        <f t="shared" si="31"/>
        <v/>
      </c>
      <c r="P332" t="str">
        <f>IF(OR(B332="",E332=""),"",IF(AND(E332&gt;=IFERROR(INDEX(REFERENTIEL_BUDGET!$C$2:$C$101,MATCH(B332,REFERENTIEL_BUDGET!$A$2:$A$101,0)),""),E332&lt;=IFERROR(INDEX(REFERENTIEL_BUDGET!$D$2:$D$101,MATCH(B332,REFERENTIEL_BUDGET!$A$2:$A$101,0)),"")),"Oui","Non"))</f>
        <v/>
      </c>
      <c r="Q332" t="str">
        <f t="shared" si="32"/>
        <v/>
      </c>
      <c r="R332" t="str">
        <f t="shared" si="33"/>
        <v/>
      </c>
      <c r="S332" t="str">
        <f t="shared" si="34"/>
        <v/>
      </c>
    </row>
    <row r="333" spans="1:19">
      <c r="A333">
        <f t="shared" si="30"/>
        <v>332</v>
      </c>
      <c r="E333" s="3"/>
      <c r="L333" s="5"/>
      <c r="M333" s="5">
        <f t="shared" si="35"/>
        <v>0</v>
      </c>
      <c r="N333" s="5"/>
      <c r="O333" s="5" t="str">
        <f t="shared" si="31"/>
        <v/>
      </c>
      <c r="P333" t="str">
        <f>IF(OR(B333="",E333=""),"",IF(AND(E333&gt;=IFERROR(INDEX(REFERENTIEL_BUDGET!$C$2:$C$101,MATCH(B333,REFERENTIEL_BUDGET!$A$2:$A$101,0)),""),E333&lt;=IFERROR(INDEX(REFERENTIEL_BUDGET!$D$2:$D$101,MATCH(B333,REFERENTIEL_BUDGET!$A$2:$A$101,0)),"")),"Oui","Non"))</f>
        <v/>
      </c>
      <c r="Q333" t="str">
        <f t="shared" si="32"/>
        <v/>
      </c>
      <c r="R333" t="str">
        <f t="shared" si="33"/>
        <v/>
      </c>
      <c r="S333" t="str">
        <f t="shared" si="34"/>
        <v/>
      </c>
    </row>
    <row r="334" spans="1:19">
      <c r="A334">
        <f t="shared" si="30"/>
        <v>333</v>
      </c>
      <c r="E334" s="3"/>
      <c r="L334" s="5"/>
      <c r="M334" s="5">
        <f t="shared" si="35"/>
        <v>0</v>
      </c>
      <c r="N334" s="5"/>
      <c r="O334" s="5" t="str">
        <f t="shared" si="31"/>
        <v/>
      </c>
      <c r="P334" t="str">
        <f>IF(OR(B334="",E334=""),"",IF(AND(E334&gt;=IFERROR(INDEX(REFERENTIEL_BUDGET!$C$2:$C$101,MATCH(B334,REFERENTIEL_BUDGET!$A$2:$A$101,0)),""),E334&lt;=IFERROR(INDEX(REFERENTIEL_BUDGET!$D$2:$D$101,MATCH(B334,REFERENTIEL_BUDGET!$A$2:$A$101,0)),"")),"Oui","Non"))</f>
        <v/>
      </c>
      <c r="Q334" t="str">
        <f t="shared" si="32"/>
        <v/>
      </c>
      <c r="R334" t="str">
        <f t="shared" si="33"/>
        <v/>
      </c>
      <c r="S334" t="str">
        <f t="shared" si="34"/>
        <v/>
      </c>
    </row>
    <row r="335" spans="1:19">
      <c r="A335">
        <f t="shared" si="30"/>
        <v>334</v>
      </c>
      <c r="E335" s="3"/>
      <c r="L335" s="5"/>
      <c r="M335" s="5">
        <f t="shared" si="35"/>
        <v>0</v>
      </c>
      <c r="N335" s="5"/>
      <c r="O335" s="5" t="str">
        <f t="shared" si="31"/>
        <v/>
      </c>
      <c r="P335" t="str">
        <f>IF(OR(B335="",E335=""),"",IF(AND(E335&gt;=IFERROR(INDEX(REFERENTIEL_BUDGET!$C$2:$C$101,MATCH(B335,REFERENTIEL_BUDGET!$A$2:$A$101,0)),""),E335&lt;=IFERROR(INDEX(REFERENTIEL_BUDGET!$D$2:$D$101,MATCH(B335,REFERENTIEL_BUDGET!$A$2:$A$101,0)),"")),"Oui","Non"))</f>
        <v/>
      </c>
      <c r="Q335" t="str">
        <f t="shared" si="32"/>
        <v/>
      </c>
      <c r="R335" t="str">
        <f t="shared" si="33"/>
        <v/>
      </c>
      <c r="S335" t="str">
        <f t="shared" si="34"/>
        <v/>
      </c>
    </row>
    <row r="336" spans="1:19">
      <c r="A336">
        <f t="shared" si="30"/>
        <v>335</v>
      </c>
      <c r="E336" s="3"/>
      <c r="L336" s="5"/>
      <c r="M336" s="5">
        <f t="shared" si="35"/>
        <v>0</v>
      </c>
      <c r="N336" s="5"/>
      <c r="O336" s="5" t="str">
        <f t="shared" si="31"/>
        <v/>
      </c>
      <c r="P336" t="str">
        <f>IF(OR(B336="",E336=""),"",IF(AND(E336&gt;=IFERROR(INDEX(REFERENTIEL_BUDGET!$C$2:$C$101,MATCH(B336,REFERENTIEL_BUDGET!$A$2:$A$101,0)),""),E336&lt;=IFERROR(INDEX(REFERENTIEL_BUDGET!$D$2:$D$101,MATCH(B336,REFERENTIEL_BUDGET!$A$2:$A$101,0)),"")),"Oui","Non"))</f>
        <v/>
      </c>
      <c r="Q336" t="str">
        <f t="shared" si="32"/>
        <v/>
      </c>
      <c r="R336" t="str">
        <f t="shared" si="33"/>
        <v/>
      </c>
      <c r="S336" t="str">
        <f t="shared" si="34"/>
        <v/>
      </c>
    </row>
    <row r="337" spans="1:19">
      <c r="A337">
        <f t="shared" si="30"/>
        <v>336</v>
      </c>
      <c r="E337" s="3"/>
      <c r="L337" s="5"/>
      <c r="M337" s="5">
        <f t="shared" si="35"/>
        <v>0</v>
      </c>
      <c r="N337" s="5"/>
      <c r="O337" s="5" t="str">
        <f t="shared" si="31"/>
        <v/>
      </c>
      <c r="P337" t="str">
        <f>IF(OR(B337="",E337=""),"",IF(AND(E337&gt;=IFERROR(INDEX(REFERENTIEL_BUDGET!$C$2:$C$101,MATCH(B337,REFERENTIEL_BUDGET!$A$2:$A$101,0)),""),E337&lt;=IFERROR(INDEX(REFERENTIEL_BUDGET!$D$2:$D$101,MATCH(B337,REFERENTIEL_BUDGET!$A$2:$A$101,0)),"")),"Oui","Non"))</f>
        <v/>
      </c>
      <c r="Q337" t="str">
        <f t="shared" si="32"/>
        <v/>
      </c>
      <c r="R337" t="str">
        <f t="shared" si="33"/>
        <v/>
      </c>
      <c r="S337" t="str">
        <f t="shared" si="34"/>
        <v/>
      </c>
    </row>
    <row r="338" spans="1:19">
      <c r="A338">
        <f t="shared" si="30"/>
        <v>337</v>
      </c>
      <c r="E338" s="3"/>
      <c r="L338" s="5"/>
      <c r="M338" s="5">
        <f t="shared" si="35"/>
        <v>0</v>
      </c>
      <c r="N338" s="5"/>
      <c r="O338" s="5" t="str">
        <f t="shared" si="31"/>
        <v/>
      </c>
      <c r="P338" t="str">
        <f>IF(OR(B338="",E338=""),"",IF(AND(E338&gt;=IFERROR(INDEX(REFERENTIEL_BUDGET!$C$2:$C$101,MATCH(B338,REFERENTIEL_BUDGET!$A$2:$A$101,0)),""),E338&lt;=IFERROR(INDEX(REFERENTIEL_BUDGET!$D$2:$D$101,MATCH(B338,REFERENTIEL_BUDGET!$A$2:$A$101,0)),"")),"Oui","Non"))</f>
        <v/>
      </c>
      <c r="Q338" t="str">
        <f t="shared" si="32"/>
        <v/>
      </c>
      <c r="R338" t="str">
        <f t="shared" si="33"/>
        <v/>
      </c>
      <c r="S338" t="str">
        <f t="shared" si="34"/>
        <v/>
      </c>
    </row>
    <row r="339" spans="1:19">
      <c r="A339">
        <f t="shared" si="30"/>
        <v>338</v>
      </c>
      <c r="E339" s="3"/>
      <c r="L339" s="5"/>
      <c r="M339" s="5">
        <f t="shared" si="35"/>
        <v>0</v>
      </c>
      <c r="N339" s="5"/>
      <c r="O339" s="5" t="str">
        <f t="shared" si="31"/>
        <v/>
      </c>
      <c r="P339" t="str">
        <f>IF(OR(B339="",E339=""),"",IF(AND(E339&gt;=IFERROR(INDEX(REFERENTIEL_BUDGET!$C$2:$C$101,MATCH(B339,REFERENTIEL_BUDGET!$A$2:$A$101,0)),""),E339&lt;=IFERROR(INDEX(REFERENTIEL_BUDGET!$D$2:$D$101,MATCH(B339,REFERENTIEL_BUDGET!$A$2:$A$101,0)),"")),"Oui","Non"))</f>
        <v/>
      </c>
      <c r="Q339" t="str">
        <f t="shared" si="32"/>
        <v/>
      </c>
      <c r="R339" t="str">
        <f t="shared" si="33"/>
        <v/>
      </c>
      <c r="S339" t="str">
        <f t="shared" si="34"/>
        <v/>
      </c>
    </row>
    <row r="340" spans="1:19">
      <c r="A340">
        <f t="shared" si="30"/>
        <v>339</v>
      </c>
      <c r="E340" s="3"/>
      <c r="L340" s="5"/>
      <c r="M340" s="5">
        <f t="shared" si="35"/>
        <v>0</v>
      </c>
      <c r="N340" s="5"/>
      <c r="O340" s="5" t="str">
        <f t="shared" si="31"/>
        <v/>
      </c>
      <c r="P340" t="str">
        <f>IF(OR(B340="",E340=""),"",IF(AND(E340&gt;=IFERROR(INDEX(REFERENTIEL_BUDGET!$C$2:$C$101,MATCH(B340,REFERENTIEL_BUDGET!$A$2:$A$101,0)),""),E340&lt;=IFERROR(INDEX(REFERENTIEL_BUDGET!$D$2:$D$101,MATCH(B340,REFERENTIEL_BUDGET!$A$2:$A$101,0)),"")),"Oui","Non"))</f>
        <v/>
      </c>
      <c r="Q340" t="str">
        <f t="shared" si="32"/>
        <v/>
      </c>
      <c r="R340" t="str">
        <f t="shared" si="33"/>
        <v/>
      </c>
      <c r="S340" t="str">
        <f t="shared" si="34"/>
        <v/>
      </c>
    </row>
    <row r="341" spans="1:19">
      <c r="A341">
        <f t="shared" si="30"/>
        <v>340</v>
      </c>
      <c r="E341" s="3"/>
      <c r="L341" s="5"/>
      <c r="M341" s="5">
        <f t="shared" si="35"/>
        <v>0</v>
      </c>
      <c r="N341" s="5"/>
      <c r="O341" s="5" t="str">
        <f t="shared" si="31"/>
        <v/>
      </c>
      <c r="P341" t="str">
        <f>IF(OR(B341="",E341=""),"",IF(AND(E341&gt;=IFERROR(INDEX(REFERENTIEL_BUDGET!$C$2:$C$101,MATCH(B341,REFERENTIEL_BUDGET!$A$2:$A$101,0)),""),E341&lt;=IFERROR(INDEX(REFERENTIEL_BUDGET!$D$2:$D$101,MATCH(B341,REFERENTIEL_BUDGET!$A$2:$A$101,0)),"")),"Oui","Non"))</f>
        <v/>
      </c>
      <c r="Q341" t="str">
        <f t="shared" si="32"/>
        <v/>
      </c>
      <c r="R341" t="str">
        <f t="shared" si="33"/>
        <v/>
      </c>
      <c r="S341" t="str">
        <f t="shared" si="34"/>
        <v/>
      </c>
    </row>
    <row r="342" spans="1:19">
      <c r="A342">
        <f t="shared" si="30"/>
        <v>341</v>
      </c>
      <c r="E342" s="3"/>
      <c r="L342" s="5"/>
      <c r="M342" s="5">
        <f t="shared" si="35"/>
        <v>0</v>
      </c>
      <c r="N342" s="5"/>
      <c r="O342" s="5" t="str">
        <f t="shared" si="31"/>
        <v/>
      </c>
      <c r="P342" t="str">
        <f>IF(OR(B342="",E342=""),"",IF(AND(E342&gt;=IFERROR(INDEX(REFERENTIEL_BUDGET!$C$2:$C$101,MATCH(B342,REFERENTIEL_BUDGET!$A$2:$A$101,0)),""),E342&lt;=IFERROR(INDEX(REFERENTIEL_BUDGET!$D$2:$D$101,MATCH(B342,REFERENTIEL_BUDGET!$A$2:$A$101,0)),"")),"Oui","Non"))</f>
        <v/>
      </c>
      <c r="Q342" t="str">
        <f t="shared" si="32"/>
        <v/>
      </c>
      <c r="R342" t="str">
        <f t="shared" si="33"/>
        <v/>
      </c>
      <c r="S342" t="str">
        <f t="shared" si="34"/>
        <v/>
      </c>
    </row>
    <row r="343" spans="1:19">
      <c r="A343">
        <f t="shared" si="30"/>
        <v>342</v>
      </c>
      <c r="E343" s="3"/>
      <c r="L343" s="5"/>
      <c r="M343" s="5">
        <f t="shared" si="35"/>
        <v>0</v>
      </c>
      <c r="N343" s="5"/>
      <c r="O343" s="5" t="str">
        <f t="shared" si="31"/>
        <v/>
      </c>
      <c r="P343" t="str">
        <f>IF(OR(B343="",E343=""),"",IF(AND(E343&gt;=IFERROR(INDEX(REFERENTIEL_BUDGET!$C$2:$C$101,MATCH(B343,REFERENTIEL_BUDGET!$A$2:$A$101,0)),""),E343&lt;=IFERROR(INDEX(REFERENTIEL_BUDGET!$D$2:$D$101,MATCH(B343,REFERENTIEL_BUDGET!$A$2:$A$101,0)),"")),"Oui","Non"))</f>
        <v/>
      </c>
      <c r="Q343" t="str">
        <f t="shared" si="32"/>
        <v/>
      </c>
      <c r="R343" t="str">
        <f t="shared" si="33"/>
        <v/>
      </c>
      <c r="S343" t="str">
        <f t="shared" si="34"/>
        <v/>
      </c>
    </row>
    <row r="344" spans="1:19">
      <c r="A344">
        <f t="shared" si="30"/>
        <v>343</v>
      </c>
      <c r="E344" s="3"/>
      <c r="L344" s="5"/>
      <c r="M344" s="5">
        <f t="shared" si="35"/>
        <v>0</v>
      </c>
      <c r="N344" s="5"/>
      <c r="O344" s="5" t="str">
        <f t="shared" si="31"/>
        <v/>
      </c>
      <c r="P344" t="str">
        <f>IF(OR(B344="",E344=""),"",IF(AND(E344&gt;=IFERROR(INDEX(REFERENTIEL_BUDGET!$C$2:$C$101,MATCH(B344,REFERENTIEL_BUDGET!$A$2:$A$101,0)),""),E344&lt;=IFERROR(INDEX(REFERENTIEL_BUDGET!$D$2:$D$101,MATCH(B344,REFERENTIEL_BUDGET!$A$2:$A$101,0)),"")),"Oui","Non"))</f>
        <v/>
      </c>
      <c r="Q344" t="str">
        <f t="shared" si="32"/>
        <v/>
      </c>
      <c r="R344" t="str">
        <f t="shared" si="33"/>
        <v/>
      </c>
      <c r="S344" t="str">
        <f t="shared" si="34"/>
        <v/>
      </c>
    </row>
    <row r="345" spans="1:19">
      <c r="A345">
        <f t="shared" si="30"/>
        <v>344</v>
      </c>
      <c r="E345" s="3"/>
      <c r="L345" s="5"/>
      <c r="M345" s="5">
        <f t="shared" si="35"/>
        <v>0</v>
      </c>
      <c r="N345" s="5"/>
      <c r="O345" s="5" t="str">
        <f t="shared" si="31"/>
        <v/>
      </c>
      <c r="P345" t="str">
        <f>IF(OR(B345="",E345=""),"",IF(AND(E345&gt;=IFERROR(INDEX(REFERENTIEL_BUDGET!$C$2:$C$101,MATCH(B345,REFERENTIEL_BUDGET!$A$2:$A$101,0)),""),E345&lt;=IFERROR(INDEX(REFERENTIEL_BUDGET!$D$2:$D$101,MATCH(B345,REFERENTIEL_BUDGET!$A$2:$A$101,0)),"")),"Oui","Non"))</f>
        <v/>
      </c>
      <c r="Q345" t="str">
        <f t="shared" si="32"/>
        <v/>
      </c>
      <c r="R345" t="str">
        <f t="shared" si="33"/>
        <v/>
      </c>
      <c r="S345" t="str">
        <f t="shared" si="34"/>
        <v/>
      </c>
    </row>
    <row r="346" spans="1:19">
      <c r="A346">
        <f t="shared" si="30"/>
        <v>345</v>
      </c>
      <c r="E346" s="3"/>
      <c r="L346" s="5"/>
      <c r="M346" s="5">
        <f t="shared" si="35"/>
        <v>0</v>
      </c>
      <c r="N346" s="5"/>
      <c r="O346" s="5" t="str">
        <f t="shared" si="31"/>
        <v/>
      </c>
      <c r="P346" t="str">
        <f>IF(OR(B346="",E346=""),"",IF(AND(E346&gt;=IFERROR(INDEX(REFERENTIEL_BUDGET!$C$2:$C$101,MATCH(B346,REFERENTIEL_BUDGET!$A$2:$A$101,0)),""),E346&lt;=IFERROR(INDEX(REFERENTIEL_BUDGET!$D$2:$D$101,MATCH(B346,REFERENTIEL_BUDGET!$A$2:$A$101,0)),"")),"Oui","Non"))</f>
        <v/>
      </c>
      <c r="Q346" t="str">
        <f t="shared" si="32"/>
        <v/>
      </c>
      <c r="R346" t="str">
        <f t="shared" si="33"/>
        <v/>
      </c>
      <c r="S346" t="str">
        <f t="shared" si="34"/>
        <v/>
      </c>
    </row>
    <row r="347" spans="1:19">
      <c r="A347">
        <f t="shared" si="30"/>
        <v>346</v>
      </c>
      <c r="E347" s="3"/>
      <c r="L347" s="5"/>
      <c r="M347" s="5">
        <f t="shared" si="35"/>
        <v>0</v>
      </c>
      <c r="N347" s="5"/>
      <c r="O347" s="5" t="str">
        <f t="shared" si="31"/>
        <v/>
      </c>
      <c r="P347" t="str">
        <f>IF(OR(B347="",E347=""),"",IF(AND(E347&gt;=IFERROR(INDEX(REFERENTIEL_BUDGET!$C$2:$C$101,MATCH(B347,REFERENTIEL_BUDGET!$A$2:$A$101,0)),""),E347&lt;=IFERROR(INDEX(REFERENTIEL_BUDGET!$D$2:$D$101,MATCH(B347,REFERENTIEL_BUDGET!$A$2:$A$101,0)),"")),"Oui","Non"))</f>
        <v/>
      </c>
      <c r="Q347" t="str">
        <f t="shared" si="32"/>
        <v/>
      </c>
      <c r="R347" t="str">
        <f t="shared" si="33"/>
        <v/>
      </c>
      <c r="S347" t="str">
        <f t="shared" si="34"/>
        <v/>
      </c>
    </row>
    <row r="348" spans="1:19">
      <c r="A348">
        <f t="shared" si="30"/>
        <v>347</v>
      </c>
      <c r="E348" s="3"/>
      <c r="L348" s="5"/>
      <c r="M348" s="5">
        <f t="shared" si="35"/>
        <v>0</v>
      </c>
      <c r="N348" s="5"/>
      <c r="O348" s="5" t="str">
        <f t="shared" si="31"/>
        <v/>
      </c>
      <c r="P348" t="str">
        <f>IF(OR(B348="",E348=""),"",IF(AND(E348&gt;=IFERROR(INDEX(REFERENTIEL_BUDGET!$C$2:$C$101,MATCH(B348,REFERENTIEL_BUDGET!$A$2:$A$101,0)),""),E348&lt;=IFERROR(INDEX(REFERENTIEL_BUDGET!$D$2:$D$101,MATCH(B348,REFERENTIEL_BUDGET!$A$2:$A$101,0)),"")),"Oui","Non"))</f>
        <v/>
      </c>
      <c r="Q348" t="str">
        <f t="shared" si="32"/>
        <v/>
      </c>
      <c r="R348" t="str">
        <f t="shared" si="33"/>
        <v/>
      </c>
      <c r="S348" t="str">
        <f t="shared" si="34"/>
        <v/>
      </c>
    </row>
    <row r="349" spans="1:19">
      <c r="A349">
        <f t="shared" si="30"/>
        <v>348</v>
      </c>
      <c r="E349" s="3"/>
      <c r="L349" s="5"/>
      <c r="M349" s="5">
        <f t="shared" si="35"/>
        <v>0</v>
      </c>
      <c r="N349" s="5"/>
      <c r="O349" s="5" t="str">
        <f t="shared" si="31"/>
        <v/>
      </c>
      <c r="P349" t="str">
        <f>IF(OR(B349="",E349=""),"",IF(AND(E349&gt;=IFERROR(INDEX(REFERENTIEL_BUDGET!$C$2:$C$101,MATCH(B349,REFERENTIEL_BUDGET!$A$2:$A$101,0)),""),E349&lt;=IFERROR(INDEX(REFERENTIEL_BUDGET!$D$2:$D$101,MATCH(B349,REFERENTIEL_BUDGET!$A$2:$A$101,0)),"")),"Oui","Non"))</f>
        <v/>
      </c>
      <c r="Q349" t="str">
        <f t="shared" si="32"/>
        <v/>
      </c>
      <c r="R349" t="str">
        <f t="shared" si="33"/>
        <v/>
      </c>
      <c r="S349" t="str">
        <f t="shared" si="34"/>
        <v/>
      </c>
    </row>
    <row r="350" spans="1:19">
      <c r="A350">
        <f t="shared" si="30"/>
        <v>349</v>
      </c>
      <c r="E350" s="3"/>
      <c r="L350" s="5"/>
      <c r="M350" s="5">
        <f t="shared" si="35"/>
        <v>0</v>
      </c>
      <c r="N350" s="5"/>
      <c r="O350" s="5" t="str">
        <f t="shared" si="31"/>
        <v/>
      </c>
      <c r="P350" t="str">
        <f>IF(OR(B350="",E350=""),"",IF(AND(E350&gt;=IFERROR(INDEX(REFERENTIEL_BUDGET!$C$2:$C$101,MATCH(B350,REFERENTIEL_BUDGET!$A$2:$A$101,0)),""),E350&lt;=IFERROR(INDEX(REFERENTIEL_BUDGET!$D$2:$D$101,MATCH(B350,REFERENTIEL_BUDGET!$A$2:$A$101,0)),"")),"Oui","Non"))</f>
        <v/>
      </c>
      <c r="Q350" t="str">
        <f t="shared" si="32"/>
        <v/>
      </c>
      <c r="R350" t="str">
        <f t="shared" si="33"/>
        <v/>
      </c>
      <c r="S350" t="str">
        <f t="shared" si="34"/>
        <v/>
      </c>
    </row>
    <row r="351" spans="1:19">
      <c r="A351">
        <f t="shared" si="30"/>
        <v>350</v>
      </c>
      <c r="E351" s="3"/>
      <c r="L351" s="5"/>
      <c r="M351" s="5">
        <f t="shared" si="35"/>
        <v>0</v>
      </c>
      <c r="N351" s="5"/>
      <c r="O351" s="5" t="str">
        <f t="shared" si="31"/>
        <v/>
      </c>
      <c r="P351" t="str">
        <f>IF(OR(B351="",E351=""),"",IF(AND(E351&gt;=IFERROR(INDEX(REFERENTIEL_BUDGET!$C$2:$C$101,MATCH(B351,REFERENTIEL_BUDGET!$A$2:$A$101,0)),""),E351&lt;=IFERROR(INDEX(REFERENTIEL_BUDGET!$D$2:$D$101,MATCH(B351,REFERENTIEL_BUDGET!$A$2:$A$101,0)),"")),"Oui","Non"))</f>
        <v/>
      </c>
      <c r="Q351" t="str">
        <f t="shared" si="32"/>
        <v/>
      </c>
      <c r="R351" t="str">
        <f t="shared" si="33"/>
        <v/>
      </c>
      <c r="S351" t="str">
        <f t="shared" si="34"/>
        <v/>
      </c>
    </row>
    <row r="352" spans="1:19">
      <c r="A352">
        <f t="shared" si="30"/>
        <v>351</v>
      </c>
      <c r="E352" s="3"/>
      <c r="L352" s="5"/>
      <c r="M352" s="5">
        <f t="shared" si="35"/>
        <v>0</v>
      </c>
      <c r="N352" s="5"/>
      <c r="O352" s="5" t="str">
        <f t="shared" si="31"/>
        <v/>
      </c>
      <c r="P352" t="str">
        <f>IF(OR(B352="",E352=""),"",IF(AND(E352&gt;=IFERROR(INDEX(REFERENTIEL_BUDGET!$C$2:$C$101,MATCH(B352,REFERENTIEL_BUDGET!$A$2:$A$101,0)),""),E352&lt;=IFERROR(INDEX(REFERENTIEL_BUDGET!$D$2:$D$101,MATCH(B352,REFERENTIEL_BUDGET!$A$2:$A$101,0)),"")),"Oui","Non"))</f>
        <v/>
      </c>
      <c r="Q352" t="str">
        <f t="shared" si="32"/>
        <v/>
      </c>
      <c r="R352" t="str">
        <f t="shared" si="33"/>
        <v/>
      </c>
      <c r="S352" t="str">
        <f t="shared" si="34"/>
        <v/>
      </c>
    </row>
    <row r="353" spans="1:19">
      <c r="A353">
        <f t="shared" si="30"/>
        <v>352</v>
      </c>
      <c r="E353" s="3"/>
      <c r="L353" s="5"/>
      <c r="M353" s="5">
        <f t="shared" si="35"/>
        <v>0</v>
      </c>
      <c r="N353" s="5"/>
      <c r="O353" s="5" t="str">
        <f t="shared" si="31"/>
        <v/>
      </c>
      <c r="P353" t="str">
        <f>IF(OR(B353="",E353=""),"",IF(AND(E353&gt;=IFERROR(INDEX(REFERENTIEL_BUDGET!$C$2:$C$101,MATCH(B353,REFERENTIEL_BUDGET!$A$2:$A$101,0)),""),E353&lt;=IFERROR(INDEX(REFERENTIEL_BUDGET!$D$2:$D$101,MATCH(B353,REFERENTIEL_BUDGET!$A$2:$A$101,0)),"")),"Oui","Non"))</f>
        <v/>
      </c>
      <c r="Q353" t="str">
        <f t="shared" si="32"/>
        <v/>
      </c>
      <c r="R353" t="str">
        <f t="shared" si="33"/>
        <v/>
      </c>
      <c r="S353" t="str">
        <f t="shared" si="34"/>
        <v/>
      </c>
    </row>
    <row r="354" spans="1:19">
      <c r="A354">
        <f t="shared" si="30"/>
        <v>353</v>
      </c>
      <c r="E354" s="3"/>
      <c r="L354" s="5"/>
      <c r="M354" s="5">
        <f t="shared" si="35"/>
        <v>0</v>
      </c>
      <c r="N354" s="5"/>
      <c r="O354" s="5" t="str">
        <f t="shared" si="31"/>
        <v/>
      </c>
      <c r="P354" t="str">
        <f>IF(OR(B354="",E354=""),"",IF(AND(E354&gt;=IFERROR(INDEX(REFERENTIEL_BUDGET!$C$2:$C$101,MATCH(B354,REFERENTIEL_BUDGET!$A$2:$A$101,0)),""),E354&lt;=IFERROR(INDEX(REFERENTIEL_BUDGET!$D$2:$D$101,MATCH(B354,REFERENTIEL_BUDGET!$A$2:$A$101,0)),"")),"Oui","Non"))</f>
        <v/>
      </c>
      <c r="Q354" t="str">
        <f t="shared" si="32"/>
        <v/>
      </c>
      <c r="R354" t="str">
        <f t="shared" si="33"/>
        <v/>
      </c>
      <c r="S354" t="str">
        <f t="shared" si="34"/>
        <v/>
      </c>
    </row>
    <row r="355" spans="1:19">
      <c r="A355">
        <f t="shared" si="30"/>
        <v>354</v>
      </c>
      <c r="E355" s="3"/>
      <c r="L355" s="5"/>
      <c r="M355" s="5">
        <f t="shared" si="35"/>
        <v>0</v>
      </c>
      <c r="N355" s="5"/>
      <c r="O355" s="5" t="str">
        <f t="shared" si="31"/>
        <v/>
      </c>
      <c r="P355" t="str">
        <f>IF(OR(B355="",E355=""),"",IF(AND(E355&gt;=IFERROR(INDEX(REFERENTIEL_BUDGET!$C$2:$C$101,MATCH(B355,REFERENTIEL_BUDGET!$A$2:$A$101,0)),""),E355&lt;=IFERROR(INDEX(REFERENTIEL_BUDGET!$D$2:$D$101,MATCH(B355,REFERENTIEL_BUDGET!$A$2:$A$101,0)),"")),"Oui","Non"))</f>
        <v/>
      </c>
      <c r="Q355" t="str">
        <f t="shared" si="32"/>
        <v/>
      </c>
      <c r="R355" t="str">
        <f t="shared" si="33"/>
        <v/>
      </c>
      <c r="S355" t="str">
        <f t="shared" si="34"/>
        <v/>
      </c>
    </row>
    <row r="356" spans="1:19">
      <c r="A356">
        <f t="shared" si="30"/>
        <v>355</v>
      </c>
      <c r="E356" s="3"/>
      <c r="L356" s="5"/>
      <c r="M356" s="5">
        <f t="shared" si="35"/>
        <v>0</v>
      </c>
      <c r="N356" s="5"/>
      <c r="O356" s="5" t="str">
        <f t="shared" si="31"/>
        <v/>
      </c>
      <c r="P356" t="str">
        <f>IF(OR(B356="",E356=""),"",IF(AND(E356&gt;=IFERROR(INDEX(REFERENTIEL_BUDGET!$C$2:$C$101,MATCH(B356,REFERENTIEL_BUDGET!$A$2:$A$101,0)),""),E356&lt;=IFERROR(INDEX(REFERENTIEL_BUDGET!$D$2:$D$101,MATCH(B356,REFERENTIEL_BUDGET!$A$2:$A$101,0)),"")),"Oui","Non"))</f>
        <v/>
      </c>
      <c r="Q356" t="str">
        <f t="shared" si="32"/>
        <v/>
      </c>
      <c r="R356" t="str">
        <f t="shared" si="33"/>
        <v/>
      </c>
      <c r="S356" t="str">
        <f t="shared" si="34"/>
        <v/>
      </c>
    </row>
    <row r="357" spans="1:19">
      <c r="A357">
        <f t="shared" si="30"/>
        <v>356</v>
      </c>
      <c r="E357" s="3"/>
      <c r="L357" s="5"/>
      <c r="M357" s="5">
        <f t="shared" si="35"/>
        <v>0</v>
      </c>
      <c r="N357" s="5"/>
      <c r="O357" s="5" t="str">
        <f t="shared" si="31"/>
        <v/>
      </c>
      <c r="P357" t="str">
        <f>IF(OR(B357="",E357=""),"",IF(AND(E357&gt;=IFERROR(INDEX(REFERENTIEL_BUDGET!$C$2:$C$101,MATCH(B357,REFERENTIEL_BUDGET!$A$2:$A$101,0)),""),E357&lt;=IFERROR(INDEX(REFERENTIEL_BUDGET!$D$2:$D$101,MATCH(B357,REFERENTIEL_BUDGET!$A$2:$A$101,0)),"")),"Oui","Non"))</f>
        <v/>
      </c>
      <c r="Q357" t="str">
        <f t="shared" si="32"/>
        <v/>
      </c>
      <c r="R357" t="str">
        <f t="shared" si="33"/>
        <v/>
      </c>
      <c r="S357" t="str">
        <f t="shared" si="34"/>
        <v/>
      </c>
    </row>
    <row r="358" spans="1:19">
      <c r="A358">
        <f t="shared" si="30"/>
        <v>357</v>
      </c>
      <c r="E358" s="3"/>
      <c r="L358" s="5"/>
      <c r="M358" s="5">
        <f t="shared" si="35"/>
        <v>0</v>
      </c>
      <c r="N358" s="5"/>
      <c r="O358" s="5" t="str">
        <f t="shared" si="31"/>
        <v/>
      </c>
      <c r="P358" t="str">
        <f>IF(OR(B358="",E358=""),"",IF(AND(E358&gt;=IFERROR(INDEX(REFERENTIEL_BUDGET!$C$2:$C$101,MATCH(B358,REFERENTIEL_BUDGET!$A$2:$A$101,0)),""),E358&lt;=IFERROR(INDEX(REFERENTIEL_BUDGET!$D$2:$D$101,MATCH(B358,REFERENTIEL_BUDGET!$A$2:$A$101,0)),"")),"Oui","Non"))</f>
        <v/>
      </c>
      <c r="Q358" t="str">
        <f t="shared" si="32"/>
        <v/>
      </c>
      <c r="R358" t="str">
        <f t="shared" si="33"/>
        <v/>
      </c>
      <c r="S358" t="str">
        <f t="shared" si="34"/>
        <v/>
      </c>
    </row>
    <row r="359" spans="1:19">
      <c r="A359">
        <f t="shared" si="30"/>
        <v>358</v>
      </c>
      <c r="E359" s="3"/>
      <c r="L359" s="5"/>
      <c r="M359" s="5">
        <f t="shared" si="35"/>
        <v>0</v>
      </c>
      <c r="N359" s="5"/>
      <c r="O359" s="5" t="str">
        <f t="shared" si="31"/>
        <v/>
      </c>
      <c r="P359" t="str">
        <f>IF(OR(B359="",E359=""),"",IF(AND(E359&gt;=IFERROR(INDEX(REFERENTIEL_BUDGET!$C$2:$C$101,MATCH(B359,REFERENTIEL_BUDGET!$A$2:$A$101,0)),""),E359&lt;=IFERROR(INDEX(REFERENTIEL_BUDGET!$D$2:$D$101,MATCH(B359,REFERENTIEL_BUDGET!$A$2:$A$101,0)),"")),"Oui","Non"))</f>
        <v/>
      </c>
      <c r="Q359" t="str">
        <f t="shared" si="32"/>
        <v/>
      </c>
      <c r="R359" t="str">
        <f t="shared" si="33"/>
        <v/>
      </c>
      <c r="S359" t="str">
        <f t="shared" si="34"/>
        <v/>
      </c>
    </row>
    <row r="360" spans="1:19">
      <c r="A360">
        <f t="shared" si="30"/>
        <v>359</v>
      </c>
      <c r="E360" s="3"/>
      <c r="L360" s="5"/>
      <c r="M360" s="5">
        <f t="shared" si="35"/>
        <v>0</v>
      </c>
      <c r="N360" s="5"/>
      <c r="O360" s="5" t="str">
        <f t="shared" si="31"/>
        <v/>
      </c>
      <c r="P360" t="str">
        <f>IF(OR(B360="",E360=""),"",IF(AND(E360&gt;=IFERROR(INDEX(REFERENTIEL_BUDGET!$C$2:$C$101,MATCH(B360,REFERENTIEL_BUDGET!$A$2:$A$101,0)),""),E360&lt;=IFERROR(INDEX(REFERENTIEL_BUDGET!$D$2:$D$101,MATCH(B360,REFERENTIEL_BUDGET!$A$2:$A$101,0)),"")),"Oui","Non"))</f>
        <v/>
      </c>
      <c r="Q360" t="str">
        <f t="shared" si="32"/>
        <v/>
      </c>
      <c r="R360" t="str">
        <f t="shared" si="33"/>
        <v/>
      </c>
      <c r="S360" t="str">
        <f t="shared" si="34"/>
        <v/>
      </c>
    </row>
    <row r="361" spans="1:19">
      <c r="A361">
        <f t="shared" si="30"/>
        <v>360</v>
      </c>
      <c r="E361" s="3"/>
      <c r="L361" s="5"/>
      <c r="M361" s="5">
        <f t="shared" si="35"/>
        <v>0</v>
      </c>
      <c r="N361" s="5"/>
      <c r="O361" s="5" t="str">
        <f t="shared" si="31"/>
        <v/>
      </c>
      <c r="P361" t="str">
        <f>IF(OR(B361="",E361=""),"",IF(AND(E361&gt;=IFERROR(INDEX(REFERENTIEL_BUDGET!$C$2:$C$101,MATCH(B361,REFERENTIEL_BUDGET!$A$2:$A$101,0)),""),E361&lt;=IFERROR(INDEX(REFERENTIEL_BUDGET!$D$2:$D$101,MATCH(B361,REFERENTIEL_BUDGET!$A$2:$A$101,0)),"")),"Oui","Non"))</f>
        <v/>
      </c>
      <c r="Q361" t="str">
        <f t="shared" si="32"/>
        <v/>
      </c>
      <c r="R361" t="str">
        <f t="shared" si="33"/>
        <v/>
      </c>
      <c r="S361" t="str">
        <f t="shared" si="34"/>
        <v/>
      </c>
    </row>
    <row r="362" spans="1:19">
      <c r="A362">
        <f t="shared" si="30"/>
        <v>361</v>
      </c>
      <c r="E362" s="3"/>
      <c r="L362" s="5"/>
      <c r="M362" s="5">
        <f t="shared" si="35"/>
        <v>0</v>
      </c>
      <c r="N362" s="5"/>
      <c r="O362" s="5" t="str">
        <f t="shared" si="31"/>
        <v/>
      </c>
      <c r="P362" t="str">
        <f>IF(OR(B362="",E362=""),"",IF(AND(E362&gt;=IFERROR(INDEX(REFERENTIEL_BUDGET!$C$2:$C$101,MATCH(B362,REFERENTIEL_BUDGET!$A$2:$A$101,0)),""),E362&lt;=IFERROR(INDEX(REFERENTIEL_BUDGET!$D$2:$D$101,MATCH(B362,REFERENTIEL_BUDGET!$A$2:$A$101,0)),"")),"Oui","Non"))</f>
        <v/>
      </c>
      <c r="Q362" t="str">
        <f t="shared" si="32"/>
        <v/>
      </c>
      <c r="R362" t="str">
        <f t="shared" si="33"/>
        <v/>
      </c>
      <c r="S362" t="str">
        <f t="shared" si="34"/>
        <v/>
      </c>
    </row>
    <row r="363" spans="1:19">
      <c r="A363">
        <f t="shared" si="30"/>
        <v>362</v>
      </c>
      <c r="E363" s="3"/>
      <c r="L363" s="5"/>
      <c r="M363" s="5">
        <f t="shared" si="35"/>
        <v>0</v>
      </c>
      <c r="N363" s="5"/>
      <c r="O363" s="5" t="str">
        <f t="shared" si="31"/>
        <v/>
      </c>
      <c r="P363" t="str">
        <f>IF(OR(B363="",E363=""),"",IF(AND(E363&gt;=IFERROR(INDEX(REFERENTIEL_BUDGET!$C$2:$C$101,MATCH(B363,REFERENTIEL_BUDGET!$A$2:$A$101,0)),""),E363&lt;=IFERROR(INDEX(REFERENTIEL_BUDGET!$D$2:$D$101,MATCH(B363,REFERENTIEL_BUDGET!$A$2:$A$101,0)),"")),"Oui","Non"))</f>
        <v/>
      </c>
      <c r="Q363" t="str">
        <f t="shared" si="32"/>
        <v/>
      </c>
      <c r="R363" t="str">
        <f t="shared" si="33"/>
        <v/>
      </c>
      <c r="S363" t="str">
        <f t="shared" si="34"/>
        <v/>
      </c>
    </row>
    <row r="364" spans="1:19">
      <c r="A364">
        <f t="shared" si="30"/>
        <v>363</v>
      </c>
      <c r="E364" s="3"/>
      <c r="L364" s="5"/>
      <c r="M364" s="5">
        <f t="shared" si="35"/>
        <v>0</v>
      </c>
      <c r="N364" s="5"/>
      <c r="O364" s="5" t="str">
        <f t="shared" si="31"/>
        <v/>
      </c>
      <c r="P364" t="str">
        <f>IF(OR(B364="",E364=""),"",IF(AND(E364&gt;=IFERROR(INDEX(REFERENTIEL_BUDGET!$C$2:$C$101,MATCH(B364,REFERENTIEL_BUDGET!$A$2:$A$101,0)),""),E364&lt;=IFERROR(INDEX(REFERENTIEL_BUDGET!$D$2:$D$101,MATCH(B364,REFERENTIEL_BUDGET!$A$2:$A$101,0)),"")),"Oui","Non"))</f>
        <v/>
      </c>
      <c r="Q364" t="str">
        <f t="shared" si="32"/>
        <v/>
      </c>
      <c r="R364" t="str">
        <f t="shared" si="33"/>
        <v/>
      </c>
      <c r="S364" t="str">
        <f t="shared" si="34"/>
        <v/>
      </c>
    </row>
    <row r="365" spans="1:19">
      <c r="A365">
        <f t="shared" si="30"/>
        <v>364</v>
      </c>
      <c r="E365" s="3"/>
      <c r="L365" s="5"/>
      <c r="M365" s="5">
        <f t="shared" si="35"/>
        <v>0</v>
      </c>
      <c r="N365" s="5"/>
      <c r="O365" s="5" t="str">
        <f t="shared" si="31"/>
        <v/>
      </c>
      <c r="P365" t="str">
        <f>IF(OR(B365="",E365=""),"",IF(AND(E365&gt;=IFERROR(INDEX(REFERENTIEL_BUDGET!$C$2:$C$101,MATCH(B365,REFERENTIEL_BUDGET!$A$2:$A$101,0)),""),E365&lt;=IFERROR(INDEX(REFERENTIEL_BUDGET!$D$2:$D$101,MATCH(B365,REFERENTIEL_BUDGET!$A$2:$A$101,0)),"")),"Oui","Non"))</f>
        <v/>
      </c>
      <c r="Q365" t="str">
        <f t="shared" si="32"/>
        <v/>
      </c>
      <c r="R365" t="str">
        <f t="shared" si="33"/>
        <v/>
      </c>
      <c r="S365" t="str">
        <f t="shared" si="34"/>
        <v/>
      </c>
    </row>
    <row r="366" spans="1:19">
      <c r="A366">
        <f t="shared" si="30"/>
        <v>365</v>
      </c>
      <c r="E366" s="3"/>
      <c r="L366" s="5"/>
      <c r="M366" s="5">
        <f t="shared" si="35"/>
        <v>0</v>
      </c>
      <c r="N366" s="5"/>
      <c r="O366" s="5" t="str">
        <f t="shared" si="31"/>
        <v/>
      </c>
      <c r="P366" t="str">
        <f>IF(OR(B366="",E366=""),"",IF(AND(E366&gt;=IFERROR(INDEX(REFERENTIEL_BUDGET!$C$2:$C$101,MATCH(B366,REFERENTIEL_BUDGET!$A$2:$A$101,0)),""),E366&lt;=IFERROR(INDEX(REFERENTIEL_BUDGET!$D$2:$D$101,MATCH(B366,REFERENTIEL_BUDGET!$A$2:$A$101,0)),"")),"Oui","Non"))</f>
        <v/>
      </c>
      <c r="Q366" t="str">
        <f t="shared" si="32"/>
        <v/>
      </c>
      <c r="R366" t="str">
        <f t="shared" si="33"/>
        <v/>
      </c>
      <c r="S366" t="str">
        <f t="shared" si="34"/>
        <v/>
      </c>
    </row>
    <row r="367" spans="1:19">
      <c r="A367">
        <f t="shared" si="30"/>
        <v>366</v>
      </c>
      <c r="E367" s="3"/>
      <c r="L367" s="5"/>
      <c r="M367" s="5">
        <f t="shared" si="35"/>
        <v>0</v>
      </c>
      <c r="N367" s="5"/>
      <c r="O367" s="5" t="str">
        <f t="shared" si="31"/>
        <v/>
      </c>
      <c r="P367" t="str">
        <f>IF(OR(B367="",E367=""),"",IF(AND(E367&gt;=IFERROR(INDEX(REFERENTIEL_BUDGET!$C$2:$C$101,MATCH(B367,REFERENTIEL_BUDGET!$A$2:$A$101,0)),""),E367&lt;=IFERROR(INDEX(REFERENTIEL_BUDGET!$D$2:$D$101,MATCH(B367,REFERENTIEL_BUDGET!$A$2:$A$101,0)),"")),"Oui","Non"))</f>
        <v/>
      </c>
      <c r="Q367" t="str">
        <f t="shared" si="32"/>
        <v/>
      </c>
      <c r="R367" t="str">
        <f t="shared" si="33"/>
        <v/>
      </c>
      <c r="S367" t="str">
        <f t="shared" si="34"/>
        <v/>
      </c>
    </row>
    <row r="368" spans="1:19">
      <c r="A368">
        <f t="shared" si="30"/>
        <v>367</v>
      </c>
      <c r="E368" s="3"/>
      <c r="L368" s="5"/>
      <c r="M368" s="5">
        <f t="shared" si="35"/>
        <v>0</v>
      </c>
      <c r="N368" s="5"/>
      <c r="O368" s="5" t="str">
        <f t="shared" si="31"/>
        <v/>
      </c>
      <c r="P368" t="str">
        <f>IF(OR(B368="",E368=""),"",IF(AND(E368&gt;=IFERROR(INDEX(REFERENTIEL_BUDGET!$C$2:$C$101,MATCH(B368,REFERENTIEL_BUDGET!$A$2:$A$101,0)),""),E368&lt;=IFERROR(INDEX(REFERENTIEL_BUDGET!$D$2:$D$101,MATCH(B368,REFERENTIEL_BUDGET!$A$2:$A$101,0)),"")),"Oui","Non"))</f>
        <v/>
      </c>
      <c r="Q368" t="str">
        <f t="shared" si="32"/>
        <v/>
      </c>
      <c r="R368" t="str">
        <f t="shared" si="33"/>
        <v/>
      </c>
      <c r="S368" t="str">
        <f t="shared" si="34"/>
        <v/>
      </c>
    </row>
    <row r="369" spans="1:19">
      <c r="A369">
        <f t="shared" si="30"/>
        <v>368</v>
      </c>
      <c r="E369" s="3"/>
      <c r="L369" s="5"/>
      <c r="M369" s="5">
        <f t="shared" si="35"/>
        <v>0</v>
      </c>
      <c r="N369" s="5"/>
      <c r="O369" s="5" t="str">
        <f t="shared" si="31"/>
        <v/>
      </c>
      <c r="P369" t="str">
        <f>IF(OR(B369="",E369=""),"",IF(AND(E369&gt;=IFERROR(INDEX(REFERENTIEL_BUDGET!$C$2:$C$101,MATCH(B369,REFERENTIEL_BUDGET!$A$2:$A$101,0)),""),E369&lt;=IFERROR(INDEX(REFERENTIEL_BUDGET!$D$2:$D$101,MATCH(B369,REFERENTIEL_BUDGET!$A$2:$A$101,0)),"")),"Oui","Non"))</f>
        <v/>
      </c>
      <c r="Q369" t="str">
        <f t="shared" si="32"/>
        <v/>
      </c>
      <c r="R369" t="str">
        <f t="shared" si="33"/>
        <v/>
      </c>
      <c r="S369" t="str">
        <f t="shared" si="34"/>
        <v/>
      </c>
    </row>
    <row r="370" spans="1:19">
      <c r="A370">
        <f t="shared" si="30"/>
        <v>369</v>
      </c>
      <c r="E370" s="3"/>
      <c r="L370" s="5"/>
      <c r="M370" s="5">
        <f t="shared" si="35"/>
        <v>0</v>
      </c>
      <c r="N370" s="5"/>
      <c r="O370" s="5" t="str">
        <f t="shared" si="31"/>
        <v/>
      </c>
      <c r="P370" t="str">
        <f>IF(OR(B370="",E370=""),"",IF(AND(E370&gt;=IFERROR(INDEX(REFERENTIEL_BUDGET!$C$2:$C$101,MATCH(B370,REFERENTIEL_BUDGET!$A$2:$A$101,0)),""),E370&lt;=IFERROR(INDEX(REFERENTIEL_BUDGET!$D$2:$D$101,MATCH(B370,REFERENTIEL_BUDGET!$A$2:$A$101,0)),"")),"Oui","Non"))</f>
        <v/>
      </c>
      <c r="Q370" t="str">
        <f t="shared" si="32"/>
        <v/>
      </c>
      <c r="R370" t="str">
        <f t="shared" si="33"/>
        <v/>
      </c>
      <c r="S370" t="str">
        <f t="shared" si="34"/>
        <v/>
      </c>
    </row>
    <row r="371" spans="1:19">
      <c r="A371">
        <f t="shared" si="30"/>
        <v>370</v>
      </c>
      <c r="E371" s="3"/>
      <c r="L371" s="5"/>
      <c r="M371" s="5">
        <f t="shared" si="35"/>
        <v>0</v>
      </c>
      <c r="N371" s="5"/>
      <c r="O371" s="5" t="str">
        <f t="shared" si="31"/>
        <v/>
      </c>
      <c r="P371" t="str">
        <f>IF(OR(B371="",E371=""),"",IF(AND(E371&gt;=IFERROR(INDEX(REFERENTIEL_BUDGET!$C$2:$C$101,MATCH(B371,REFERENTIEL_BUDGET!$A$2:$A$101,0)),""),E371&lt;=IFERROR(INDEX(REFERENTIEL_BUDGET!$D$2:$D$101,MATCH(B371,REFERENTIEL_BUDGET!$A$2:$A$101,0)),"")),"Oui","Non"))</f>
        <v/>
      </c>
      <c r="Q371" t="str">
        <f t="shared" si="32"/>
        <v/>
      </c>
      <c r="R371" t="str">
        <f t="shared" si="33"/>
        <v/>
      </c>
      <c r="S371" t="str">
        <f t="shared" si="34"/>
        <v/>
      </c>
    </row>
    <row r="372" spans="1:19">
      <c r="A372">
        <f t="shared" si="30"/>
        <v>371</v>
      </c>
      <c r="E372" s="3"/>
      <c r="L372" s="5"/>
      <c r="M372" s="5">
        <f t="shared" si="35"/>
        <v>0</v>
      </c>
      <c r="N372" s="5"/>
      <c r="O372" s="5" t="str">
        <f t="shared" si="31"/>
        <v/>
      </c>
      <c r="P372" t="str">
        <f>IF(OR(B372="",E372=""),"",IF(AND(E372&gt;=IFERROR(INDEX(REFERENTIEL_BUDGET!$C$2:$C$101,MATCH(B372,REFERENTIEL_BUDGET!$A$2:$A$101,0)),""),E372&lt;=IFERROR(INDEX(REFERENTIEL_BUDGET!$D$2:$D$101,MATCH(B372,REFERENTIEL_BUDGET!$A$2:$A$101,0)),"")),"Oui","Non"))</f>
        <v/>
      </c>
      <c r="Q372" t="str">
        <f t="shared" si="32"/>
        <v/>
      </c>
      <c r="R372" t="str">
        <f t="shared" si="33"/>
        <v/>
      </c>
      <c r="S372" t="str">
        <f t="shared" si="34"/>
        <v/>
      </c>
    </row>
    <row r="373" spans="1:19">
      <c r="A373">
        <f t="shared" si="30"/>
        <v>372</v>
      </c>
      <c r="E373" s="3"/>
      <c r="L373" s="5"/>
      <c r="M373" s="5">
        <f t="shared" si="35"/>
        <v>0</v>
      </c>
      <c r="N373" s="5"/>
      <c r="O373" s="5" t="str">
        <f t="shared" si="31"/>
        <v/>
      </c>
      <c r="P373" t="str">
        <f>IF(OR(B373="",E373=""),"",IF(AND(E373&gt;=IFERROR(INDEX(REFERENTIEL_BUDGET!$C$2:$C$101,MATCH(B373,REFERENTIEL_BUDGET!$A$2:$A$101,0)),""),E373&lt;=IFERROR(INDEX(REFERENTIEL_BUDGET!$D$2:$D$101,MATCH(B373,REFERENTIEL_BUDGET!$A$2:$A$101,0)),"")),"Oui","Non"))</f>
        <v/>
      </c>
      <c r="Q373" t="str">
        <f t="shared" si="32"/>
        <v/>
      </c>
      <c r="R373" t="str">
        <f t="shared" si="33"/>
        <v/>
      </c>
      <c r="S373" t="str">
        <f t="shared" si="34"/>
        <v/>
      </c>
    </row>
    <row r="374" spans="1:19">
      <c r="A374">
        <f t="shared" si="30"/>
        <v>373</v>
      </c>
      <c r="E374" s="3"/>
      <c r="L374" s="5"/>
      <c r="M374" s="5">
        <f t="shared" si="35"/>
        <v>0</v>
      </c>
      <c r="N374" s="5"/>
      <c r="O374" s="5" t="str">
        <f t="shared" si="31"/>
        <v/>
      </c>
      <c r="P374" t="str">
        <f>IF(OR(B374="",E374=""),"",IF(AND(E374&gt;=IFERROR(INDEX(REFERENTIEL_BUDGET!$C$2:$C$101,MATCH(B374,REFERENTIEL_BUDGET!$A$2:$A$101,0)),""),E374&lt;=IFERROR(INDEX(REFERENTIEL_BUDGET!$D$2:$D$101,MATCH(B374,REFERENTIEL_BUDGET!$A$2:$A$101,0)),"")),"Oui","Non"))</f>
        <v/>
      </c>
      <c r="Q374" t="str">
        <f t="shared" si="32"/>
        <v/>
      </c>
      <c r="R374" t="str">
        <f t="shared" si="33"/>
        <v/>
      </c>
      <c r="S374" t="str">
        <f t="shared" si="34"/>
        <v/>
      </c>
    </row>
    <row r="375" spans="1:19">
      <c r="A375">
        <f t="shared" si="30"/>
        <v>374</v>
      </c>
      <c r="E375" s="3"/>
      <c r="L375" s="5"/>
      <c r="M375" s="5">
        <f t="shared" si="35"/>
        <v>0</v>
      </c>
      <c r="N375" s="5"/>
      <c r="O375" s="5" t="str">
        <f t="shared" si="31"/>
        <v/>
      </c>
      <c r="P375" t="str">
        <f>IF(OR(B375="",E375=""),"",IF(AND(E375&gt;=IFERROR(INDEX(REFERENTIEL_BUDGET!$C$2:$C$101,MATCH(B375,REFERENTIEL_BUDGET!$A$2:$A$101,0)),""),E375&lt;=IFERROR(INDEX(REFERENTIEL_BUDGET!$D$2:$D$101,MATCH(B375,REFERENTIEL_BUDGET!$A$2:$A$101,0)),"")),"Oui","Non"))</f>
        <v/>
      </c>
      <c r="Q375" t="str">
        <f t="shared" si="32"/>
        <v/>
      </c>
      <c r="R375" t="str">
        <f t="shared" si="33"/>
        <v/>
      </c>
      <c r="S375" t="str">
        <f t="shared" si="34"/>
        <v/>
      </c>
    </row>
    <row r="376" spans="1:19">
      <c r="A376">
        <f t="shared" si="30"/>
        <v>375</v>
      </c>
      <c r="E376" s="3"/>
      <c r="L376" s="5"/>
      <c r="M376" s="5">
        <f t="shared" si="35"/>
        <v>0</v>
      </c>
      <c r="N376" s="5"/>
      <c r="O376" s="5" t="str">
        <f t="shared" si="31"/>
        <v/>
      </c>
      <c r="P376" t="str">
        <f>IF(OR(B376="",E376=""),"",IF(AND(E376&gt;=IFERROR(INDEX(REFERENTIEL_BUDGET!$C$2:$C$101,MATCH(B376,REFERENTIEL_BUDGET!$A$2:$A$101,0)),""),E376&lt;=IFERROR(INDEX(REFERENTIEL_BUDGET!$D$2:$D$101,MATCH(B376,REFERENTIEL_BUDGET!$A$2:$A$101,0)),"")),"Oui","Non"))</f>
        <v/>
      </c>
      <c r="Q376" t="str">
        <f t="shared" si="32"/>
        <v/>
      </c>
      <c r="R376" t="str">
        <f t="shared" si="33"/>
        <v/>
      </c>
      <c r="S376" t="str">
        <f t="shared" si="34"/>
        <v/>
      </c>
    </row>
    <row r="377" spans="1:19">
      <c r="A377">
        <f t="shared" si="30"/>
        <v>376</v>
      </c>
      <c r="E377" s="3"/>
      <c r="L377" s="5"/>
      <c r="M377" s="5">
        <f t="shared" si="35"/>
        <v>0</v>
      </c>
      <c r="N377" s="5"/>
      <c r="O377" s="5" t="str">
        <f t="shared" si="31"/>
        <v/>
      </c>
      <c r="P377" t="str">
        <f>IF(OR(B377="",E377=""),"",IF(AND(E377&gt;=IFERROR(INDEX(REFERENTIEL_BUDGET!$C$2:$C$101,MATCH(B377,REFERENTIEL_BUDGET!$A$2:$A$101,0)),""),E377&lt;=IFERROR(INDEX(REFERENTIEL_BUDGET!$D$2:$D$101,MATCH(B377,REFERENTIEL_BUDGET!$A$2:$A$101,0)),"")),"Oui","Non"))</f>
        <v/>
      </c>
      <c r="Q377" t="str">
        <f t="shared" si="32"/>
        <v/>
      </c>
      <c r="R377" t="str">
        <f t="shared" si="33"/>
        <v/>
      </c>
      <c r="S377" t="str">
        <f t="shared" si="34"/>
        <v/>
      </c>
    </row>
    <row r="378" spans="1:19">
      <c r="A378">
        <f t="shared" si="30"/>
        <v>377</v>
      </c>
      <c r="E378" s="3"/>
      <c r="L378" s="5"/>
      <c r="M378" s="5">
        <f t="shared" si="35"/>
        <v>0</v>
      </c>
      <c r="N378" s="5"/>
      <c r="O378" s="5" t="str">
        <f t="shared" si="31"/>
        <v/>
      </c>
      <c r="P378" t="str">
        <f>IF(OR(B378="",E378=""),"",IF(AND(E378&gt;=IFERROR(INDEX(REFERENTIEL_BUDGET!$C$2:$C$101,MATCH(B378,REFERENTIEL_BUDGET!$A$2:$A$101,0)),""),E378&lt;=IFERROR(INDEX(REFERENTIEL_BUDGET!$D$2:$D$101,MATCH(B378,REFERENTIEL_BUDGET!$A$2:$A$101,0)),"")),"Oui","Non"))</f>
        <v/>
      </c>
      <c r="Q378" t="str">
        <f t="shared" si="32"/>
        <v/>
      </c>
      <c r="R378" t="str">
        <f t="shared" si="33"/>
        <v/>
      </c>
      <c r="S378" t="str">
        <f t="shared" si="34"/>
        <v/>
      </c>
    </row>
    <row r="379" spans="1:19">
      <c r="A379">
        <f t="shared" si="30"/>
        <v>378</v>
      </c>
      <c r="E379" s="3"/>
      <c r="L379" s="5"/>
      <c r="M379" s="5">
        <f t="shared" si="35"/>
        <v>0</v>
      </c>
      <c r="N379" s="5"/>
      <c r="O379" s="5" t="str">
        <f t="shared" si="31"/>
        <v/>
      </c>
      <c r="P379" t="str">
        <f>IF(OR(B379="",E379=""),"",IF(AND(E379&gt;=IFERROR(INDEX(REFERENTIEL_BUDGET!$C$2:$C$101,MATCH(B379,REFERENTIEL_BUDGET!$A$2:$A$101,0)),""),E379&lt;=IFERROR(INDEX(REFERENTIEL_BUDGET!$D$2:$D$101,MATCH(B379,REFERENTIEL_BUDGET!$A$2:$A$101,0)),"")),"Oui","Non"))</f>
        <v/>
      </c>
      <c r="Q379" t="str">
        <f t="shared" si="32"/>
        <v/>
      </c>
      <c r="R379" t="str">
        <f t="shared" si="33"/>
        <v/>
      </c>
      <c r="S379" t="str">
        <f t="shared" si="34"/>
        <v/>
      </c>
    </row>
    <row r="380" spans="1:19">
      <c r="A380">
        <f t="shared" si="30"/>
        <v>379</v>
      </c>
      <c r="E380" s="3"/>
      <c r="L380" s="5"/>
      <c r="M380" s="5">
        <f t="shared" si="35"/>
        <v>0</v>
      </c>
      <c r="N380" s="5"/>
      <c r="O380" s="5" t="str">
        <f t="shared" si="31"/>
        <v/>
      </c>
      <c r="P380" t="str">
        <f>IF(OR(B380="",E380=""),"",IF(AND(E380&gt;=IFERROR(INDEX(REFERENTIEL_BUDGET!$C$2:$C$101,MATCH(B380,REFERENTIEL_BUDGET!$A$2:$A$101,0)),""),E380&lt;=IFERROR(INDEX(REFERENTIEL_BUDGET!$D$2:$D$101,MATCH(B380,REFERENTIEL_BUDGET!$A$2:$A$101,0)),"")),"Oui","Non"))</f>
        <v/>
      </c>
      <c r="Q380" t="str">
        <f t="shared" si="32"/>
        <v/>
      </c>
      <c r="R380" t="str">
        <f t="shared" si="33"/>
        <v/>
      </c>
      <c r="S380" t="str">
        <f t="shared" si="34"/>
        <v/>
      </c>
    </row>
    <row r="381" spans="1:19">
      <c r="A381">
        <f t="shared" si="30"/>
        <v>380</v>
      </c>
      <c r="E381" s="3"/>
      <c r="L381" s="5"/>
      <c r="M381" s="5">
        <f t="shared" si="35"/>
        <v>0</v>
      </c>
      <c r="N381" s="5"/>
      <c r="O381" s="5" t="str">
        <f t="shared" si="31"/>
        <v/>
      </c>
      <c r="P381" t="str">
        <f>IF(OR(B381="",E381=""),"",IF(AND(E381&gt;=IFERROR(INDEX(REFERENTIEL_BUDGET!$C$2:$C$101,MATCH(B381,REFERENTIEL_BUDGET!$A$2:$A$101,0)),""),E381&lt;=IFERROR(INDEX(REFERENTIEL_BUDGET!$D$2:$D$101,MATCH(B381,REFERENTIEL_BUDGET!$A$2:$A$101,0)),"")),"Oui","Non"))</f>
        <v/>
      </c>
      <c r="Q381" t="str">
        <f t="shared" si="32"/>
        <v/>
      </c>
      <c r="R381" t="str">
        <f t="shared" si="33"/>
        <v/>
      </c>
      <c r="S381" t="str">
        <f t="shared" si="34"/>
        <v/>
      </c>
    </row>
    <row r="382" spans="1:19">
      <c r="A382">
        <f t="shared" si="30"/>
        <v>381</v>
      </c>
      <c r="E382" s="3"/>
      <c r="L382" s="5"/>
      <c r="M382" s="5">
        <f t="shared" si="35"/>
        <v>0</v>
      </c>
      <c r="N382" s="5"/>
      <c r="O382" s="5" t="str">
        <f t="shared" si="31"/>
        <v/>
      </c>
      <c r="P382" t="str">
        <f>IF(OR(B382="",E382=""),"",IF(AND(E382&gt;=IFERROR(INDEX(REFERENTIEL_BUDGET!$C$2:$C$101,MATCH(B382,REFERENTIEL_BUDGET!$A$2:$A$101,0)),""),E382&lt;=IFERROR(INDEX(REFERENTIEL_BUDGET!$D$2:$D$101,MATCH(B382,REFERENTIEL_BUDGET!$A$2:$A$101,0)),"")),"Oui","Non"))</f>
        <v/>
      </c>
      <c r="Q382" t="str">
        <f t="shared" si="32"/>
        <v/>
      </c>
      <c r="R382" t="str">
        <f t="shared" si="33"/>
        <v/>
      </c>
      <c r="S382" t="str">
        <f t="shared" si="34"/>
        <v/>
      </c>
    </row>
    <row r="383" spans="1:19">
      <c r="A383">
        <f t="shared" si="30"/>
        <v>382</v>
      </c>
      <c r="E383" s="3"/>
      <c r="L383" s="5"/>
      <c r="M383" s="5">
        <f t="shared" si="35"/>
        <v>0</v>
      </c>
      <c r="N383" s="5"/>
      <c r="O383" s="5" t="str">
        <f t="shared" si="31"/>
        <v/>
      </c>
      <c r="P383" t="str">
        <f>IF(OR(B383="",E383=""),"",IF(AND(E383&gt;=IFERROR(INDEX(REFERENTIEL_BUDGET!$C$2:$C$101,MATCH(B383,REFERENTIEL_BUDGET!$A$2:$A$101,0)),""),E383&lt;=IFERROR(INDEX(REFERENTIEL_BUDGET!$D$2:$D$101,MATCH(B383,REFERENTIEL_BUDGET!$A$2:$A$101,0)),"")),"Oui","Non"))</f>
        <v/>
      </c>
      <c r="Q383" t="str">
        <f t="shared" si="32"/>
        <v/>
      </c>
      <c r="R383" t="str">
        <f t="shared" si="33"/>
        <v/>
      </c>
      <c r="S383" t="str">
        <f t="shared" si="34"/>
        <v/>
      </c>
    </row>
    <row r="384" spans="1:19">
      <c r="A384">
        <f t="shared" si="30"/>
        <v>383</v>
      </c>
      <c r="E384" s="3"/>
      <c r="L384" s="5"/>
      <c r="M384" s="5">
        <f t="shared" si="35"/>
        <v>0</v>
      </c>
      <c r="N384" s="5"/>
      <c r="O384" s="5" t="str">
        <f t="shared" si="31"/>
        <v/>
      </c>
      <c r="P384" t="str">
        <f>IF(OR(B384="",E384=""),"",IF(AND(E384&gt;=IFERROR(INDEX(REFERENTIEL_BUDGET!$C$2:$C$101,MATCH(B384,REFERENTIEL_BUDGET!$A$2:$A$101,0)),""),E384&lt;=IFERROR(INDEX(REFERENTIEL_BUDGET!$D$2:$D$101,MATCH(B384,REFERENTIEL_BUDGET!$A$2:$A$101,0)),"")),"Oui","Non"))</f>
        <v/>
      </c>
      <c r="Q384" t="str">
        <f t="shared" si="32"/>
        <v/>
      </c>
      <c r="R384" t="str">
        <f t="shared" si="33"/>
        <v/>
      </c>
      <c r="S384" t="str">
        <f t="shared" si="34"/>
        <v/>
      </c>
    </row>
    <row r="385" spans="1:19">
      <c r="A385">
        <f t="shared" si="30"/>
        <v>384</v>
      </c>
      <c r="E385" s="3"/>
      <c r="L385" s="5"/>
      <c r="M385" s="5">
        <f t="shared" si="35"/>
        <v>0</v>
      </c>
      <c r="N385" s="5"/>
      <c r="O385" s="5" t="str">
        <f t="shared" si="31"/>
        <v/>
      </c>
      <c r="P385" t="str">
        <f>IF(OR(B385="",E385=""),"",IF(AND(E385&gt;=IFERROR(INDEX(REFERENTIEL_BUDGET!$C$2:$C$101,MATCH(B385,REFERENTIEL_BUDGET!$A$2:$A$101,0)),""),E385&lt;=IFERROR(INDEX(REFERENTIEL_BUDGET!$D$2:$D$101,MATCH(B385,REFERENTIEL_BUDGET!$A$2:$A$101,0)),"")),"Oui","Non"))</f>
        <v/>
      </c>
      <c r="Q385" t="str">
        <f t="shared" si="32"/>
        <v/>
      </c>
      <c r="R385" t="str">
        <f t="shared" si="33"/>
        <v/>
      </c>
      <c r="S385" t="str">
        <f t="shared" si="34"/>
        <v/>
      </c>
    </row>
    <row r="386" spans="1:19">
      <c r="A386">
        <f t="shared" ref="A386:A449" si="36">ROW()-1</f>
        <v>385</v>
      </c>
      <c r="E386" s="3"/>
      <c r="L386" s="5"/>
      <c r="M386" s="5">
        <f t="shared" si="35"/>
        <v>0</v>
      </c>
      <c r="N386" s="5"/>
      <c r="O386" s="5" t="str">
        <f t="shared" ref="O386:O449" si="37">IF(OR(M386="",N386=""),"",N386-M386)</f>
        <v/>
      </c>
      <c r="P386" t="str">
        <f>IF(OR(B386="",E386=""),"",IF(AND(E386&gt;=IFERROR(INDEX(REFERENTIEL_BUDGET!$C$2:$C$101,MATCH(B386,REFERENTIEL_BUDGET!$A$2:$A$101,0)),""),E386&lt;=IFERROR(INDEX(REFERENTIEL_BUDGET!$D$2:$D$101,MATCH(B386,REFERENTIEL_BUDGET!$A$2:$A$101,0)),"")),"Oui","Non"))</f>
        <v/>
      </c>
      <c r="Q386" t="str">
        <f t="shared" ref="Q386:Q449" si="38">IF(J386="","",IF(AND(J386="Présent",K386&lt;&gt;""),"Oui",IF(J386="Absent","Non","À vérifier")))</f>
        <v/>
      </c>
      <c r="R386" t="str">
        <f t="shared" ref="R386:R449" si="39">IF(OR(M386="",N386=""),"",IF(O386=0,"Oui","Non"))</f>
        <v/>
      </c>
      <c r="S386" t="str">
        <f t="shared" ref="S386:S449" si="40">IF(B386="","",IF(P386="Non","DATE HORS PÉRIODE",IF(Q386="Non","PAIEMENT SANS PRÉSENCE",IF(Q386="À vérifier","PRÉSENCE À VÉRIFIER",IF(R386="Non","MONTANT NON CONFORME","CONFORME")))))</f>
        <v/>
      </c>
    </row>
    <row r="387" spans="1:19">
      <c r="A387">
        <f t="shared" si="36"/>
        <v>386</v>
      </c>
      <c r="E387" s="3"/>
      <c r="L387" s="5"/>
      <c r="M387" s="5">
        <f t="shared" ref="M387:M450" si="41">+COUNTIF(F387:J387,"Présent")*L387</f>
        <v>0</v>
      </c>
      <c r="N387" s="5"/>
      <c r="O387" s="5" t="str">
        <f t="shared" si="37"/>
        <v/>
      </c>
      <c r="P387" t="str">
        <f>IF(OR(B387="",E387=""),"",IF(AND(E387&gt;=IFERROR(INDEX(REFERENTIEL_BUDGET!$C$2:$C$101,MATCH(B387,REFERENTIEL_BUDGET!$A$2:$A$101,0)),""),E387&lt;=IFERROR(INDEX(REFERENTIEL_BUDGET!$D$2:$D$101,MATCH(B387,REFERENTIEL_BUDGET!$A$2:$A$101,0)),"")),"Oui","Non"))</f>
        <v/>
      </c>
      <c r="Q387" t="str">
        <f t="shared" si="38"/>
        <v/>
      </c>
      <c r="R387" t="str">
        <f t="shared" si="39"/>
        <v/>
      </c>
      <c r="S387" t="str">
        <f t="shared" si="40"/>
        <v/>
      </c>
    </row>
    <row r="388" spans="1:19">
      <c r="A388">
        <f t="shared" si="36"/>
        <v>387</v>
      </c>
      <c r="E388" s="3"/>
      <c r="L388" s="5"/>
      <c r="M388" s="5">
        <f t="shared" si="41"/>
        <v>0</v>
      </c>
      <c r="N388" s="5"/>
      <c r="O388" s="5" t="str">
        <f t="shared" si="37"/>
        <v/>
      </c>
      <c r="P388" t="str">
        <f>IF(OR(B388="",E388=""),"",IF(AND(E388&gt;=IFERROR(INDEX(REFERENTIEL_BUDGET!$C$2:$C$101,MATCH(B388,REFERENTIEL_BUDGET!$A$2:$A$101,0)),""),E388&lt;=IFERROR(INDEX(REFERENTIEL_BUDGET!$D$2:$D$101,MATCH(B388,REFERENTIEL_BUDGET!$A$2:$A$101,0)),"")),"Oui","Non"))</f>
        <v/>
      </c>
      <c r="Q388" t="str">
        <f t="shared" si="38"/>
        <v/>
      </c>
      <c r="R388" t="str">
        <f t="shared" si="39"/>
        <v/>
      </c>
      <c r="S388" t="str">
        <f t="shared" si="40"/>
        <v/>
      </c>
    </row>
    <row r="389" spans="1:19">
      <c r="A389">
        <f t="shared" si="36"/>
        <v>388</v>
      </c>
      <c r="E389" s="3"/>
      <c r="L389" s="5"/>
      <c r="M389" s="5">
        <f t="shared" si="41"/>
        <v>0</v>
      </c>
      <c r="N389" s="5"/>
      <c r="O389" s="5" t="str">
        <f t="shared" si="37"/>
        <v/>
      </c>
      <c r="P389" t="str">
        <f>IF(OR(B389="",E389=""),"",IF(AND(E389&gt;=IFERROR(INDEX(REFERENTIEL_BUDGET!$C$2:$C$101,MATCH(B389,REFERENTIEL_BUDGET!$A$2:$A$101,0)),""),E389&lt;=IFERROR(INDEX(REFERENTIEL_BUDGET!$D$2:$D$101,MATCH(B389,REFERENTIEL_BUDGET!$A$2:$A$101,0)),"")),"Oui","Non"))</f>
        <v/>
      </c>
      <c r="Q389" t="str">
        <f t="shared" si="38"/>
        <v/>
      </c>
      <c r="R389" t="str">
        <f t="shared" si="39"/>
        <v/>
      </c>
      <c r="S389" t="str">
        <f t="shared" si="40"/>
        <v/>
      </c>
    </row>
    <row r="390" spans="1:19">
      <c r="A390">
        <f t="shared" si="36"/>
        <v>389</v>
      </c>
      <c r="E390" s="3"/>
      <c r="L390" s="5"/>
      <c r="M390" s="5">
        <f t="shared" si="41"/>
        <v>0</v>
      </c>
      <c r="N390" s="5"/>
      <c r="O390" s="5" t="str">
        <f t="shared" si="37"/>
        <v/>
      </c>
      <c r="P390" t="str">
        <f>IF(OR(B390="",E390=""),"",IF(AND(E390&gt;=IFERROR(INDEX(REFERENTIEL_BUDGET!$C$2:$C$101,MATCH(B390,REFERENTIEL_BUDGET!$A$2:$A$101,0)),""),E390&lt;=IFERROR(INDEX(REFERENTIEL_BUDGET!$D$2:$D$101,MATCH(B390,REFERENTIEL_BUDGET!$A$2:$A$101,0)),"")),"Oui","Non"))</f>
        <v/>
      </c>
      <c r="Q390" t="str">
        <f t="shared" si="38"/>
        <v/>
      </c>
      <c r="R390" t="str">
        <f t="shared" si="39"/>
        <v/>
      </c>
      <c r="S390" t="str">
        <f t="shared" si="40"/>
        <v/>
      </c>
    </row>
    <row r="391" spans="1:19">
      <c r="A391">
        <f t="shared" si="36"/>
        <v>390</v>
      </c>
      <c r="E391" s="3"/>
      <c r="L391" s="5"/>
      <c r="M391" s="5">
        <f t="shared" si="41"/>
        <v>0</v>
      </c>
      <c r="N391" s="5"/>
      <c r="O391" s="5" t="str">
        <f t="shared" si="37"/>
        <v/>
      </c>
      <c r="P391" t="str">
        <f>IF(OR(B391="",E391=""),"",IF(AND(E391&gt;=IFERROR(INDEX(REFERENTIEL_BUDGET!$C$2:$C$101,MATCH(B391,REFERENTIEL_BUDGET!$A$2:$A$101,0)),""),E391&lt;=IFERROR(INDEX(REFERENTIEL_BUDGET!$D$2:$D$101,MATCH(B391,REFERENTIEL_BUDGET!$A$2:$A$101,0)),"")),"Oui","Non"))</f>
        <v/>
      </c>
      <c r="Q391" t="str">
        <f t="shared" si="38"/>
        <v/>
      </c>
      <c r="R391" t="str">
        <f t="shared" si="39"/>
        <v/>
      </c>
      <c r="S391" t="str">
        <f t="shared" si="40"/>
        <v/>
      </c>
    </row>
    <row r="392" spans="1:19">
      <c r="A392">
        <f t="shared" si="36"/>
        <v>391</v>
      </c>
      <c r="E392" s="3"/>
      <c r="L392" s="5"/>
      <c r="M392" s="5">
        <f t="shared" si="41"/>
        <v>0</v>
      </c>
      <c r="N392" s="5"/>
      <c r="O392" s="5" t="str">
        <f t="shared" si="37"/>
        <v/>
      </c>
      <c r="P392" t="str">
        <f>IF(OR(B392="",E392=""),"",IF(AND(E392&gt;=IFERROR(INDEX(REFERENTIEL_BUDGET!$C$2:$C$101,MATCH(B392,REFERENTIEL_BUDGET!$A$2:$A$101,0)),""),E392&lt;=IFERROR(INDEX(REFERENTIEL_BUDGET!$D$2:$D$101,MATCH(B392,REFERENTIEL_BUDGET!$A$2:$A$101,0)),"")),"Oui","Non"))</f>
        <v/>
      </c>
      <c r="Q392" t="str">
        <f t="shared" si="38"/>
        <v/>
      </c>
      <c r="R392" t="str">
        <f t="shared" si="39"/>
        <v/>
      </c>
      <c r="S392" t="str">
        <f t="shared" si="40"/>
        <v/>
      </c>
    </row>
    <row r="393" spans="1:19">
      <c r="A393">
        <f t="shared" si="36"/>
        <v>392</v>
      </c>
      <c r="E393" s="3"/>
      <c r="L393" s="5"/>
      <c r="M393" s="5">
        <f t="shared" si="41"/>
        <v>0</v>
      </c>
      <c r="N393" s="5"/>
      <c r="O393" s="5" t="str">
        <f t="shared" si="37"/>
        <v/>
      </c>
      <c r="P393" t="str">
        <f>IF(OR(B393="",E393=""),"",IF(AND(E393&gt;=IFERROR(INDEX(REFERENTIEL_BUDGET!$C$2:$C$101,MATCH(B393,REFERENTIEL_BUDGET!$A$2:$A$101,0)),""),E393&lt;=IFERROR(INDEX(REFERENTIEL_BUDGET!$D$2:$D$101,MATCH(B393,REFERENTIEL_BUDGET!$A$2:$A$101,0)),"")),"Oui","Non"))</f>
        <v/>
      </c>
      <c r="Q393" t="str">
        <f t="shared" si="38"/>
        <v/>
      </c>
      <c r="R393" t="str">
        <f t="shared" si="39"/>
        <v/>
      </c>
      <c r="S393" t="str">
        <f t="shared" si="40"/>
        <v/>
      </c>
    </row>
    <row r="394" spans="1:19">
      <c r="A394">
        <f t="shared" si="36"/>
        <v>393</v>
      </c>
      <c r="E394" s="3"/>
      <c r="L394" s="5"/>
      <c r="M394" s="5">
        <f t="shared" si="41"/>
        <v>0</v>
      </c>
      <c r="N394" s="5"/>
      <c r="O394" s="5" t="str">
        <f t="shared" si="37"/>
        <v/>
      </c>
      <c r="P394" t="str">
        <f>IF(OR(B394="",E394=""),"",IF(AND(E394&gt;=IFERROR(INDEX(REFERENTIEL_BUDGET!$C$2:$C$101,MATCH(B394,REFERENTIEL_BUDGET!$A$2:$A$101,0)),""),E394&lt;=IFERROR(INDEX(REFERENTIEL_BUDGET!$D$2:$D$101,MATCH(B394,REFERENTIEL_BUDGET!$A$2:$A$101,0)),"")),"Oui","Non"))</f>
        <v/>
      </c>
      <c r="Q394" t="str">
        <f t="shared" si="38"/>
        <v/>
      </c>
      <c r="R394" t="str">
        <f t="shared" si="39"/>
        <v/>
      </c>
      <c r="S394" t="str">
        <f t="shared" si="40"/>
        <v/>
      </c>
    </row>
    <row r="395" spans="1:19">
      <c r="A395">
        <f t="shared" si="36"/>
        <v>394</v>
      </c>
      <c r="E395" s="3"/>
      <c r="L395" s="5"/>
      <c r="M395" s="5">
        <f t="shared" si="41"/>
        <v>0</v>
      </c>
      <c r="N395" s="5"/>
      <c r="O395" s="5" t="str">
        <f t="shared" si="37"/>
        <v/>
      </c>
      <c r="P395" t="str">
        <f>IF(OR(B395="",E395=""),"",IF(AND(E395&gt;=IFERROR(INDEX(REFERENTIEL_BUDGET!$C$2:$C$101,MATCH(B395,REFERENTIEL_BUDGET!$A$2:$A$101,0)),""),E395&lt;=IFERROR(INDEX(REFERENTIEL_BUDGET!$D$2:$D$101,MATCH(B395,REFERENTIEL_BUDGET!$A$2:$A$101,0)),"")),"Oui","Non"))</f>
        <v/>
      </c>
      <c r="Q395" t="str">
        <f t="shared" si="38"/>
        <v/>
      </c>
      <c r="R395" t="str">
        <f t="shared" si="39"/>
        <v/>
      </c>
      <c r="S395" t="str">
        <f t="shared" si="40"/>
        <v/>
      </c>
    </row>
    <row r="396" spans="1:19">
      <c r="A396">
        <f t="shared" si="36"/>
        <v>395</v>
      </c>
      <c r="E396" s="3"/>
      <c r="L396" s="5"/>
      <c r="M396" s="5">
        <f t="shared" si="41"/>
        <v>0</v>
      </c>
      <c r="N396" s="5"/>
      <c r="O396" s="5" t="str">
        <f t="shared" si="37"/>
        <v/>
      </c>
      <c r="P396" t="str">
        <f>IF(OR(B396="",E396=""),"",IF(AND(E396&gt;=IFERROR(INDEX(REFERENTIEL_BUDGET!$C$2:$C$101,MATCH(B396,REFERENTIEL_BUDGET!$A$2:$A$101,0)),""),E396&lt;=IFERROR(INDEX(REFERENTIEL_BUDGET!$D$2:$D$101,MATCH(B396,REFERENTIEL_BUDGET!$A$2:$A$101,0)),"")),"Oui","Non"))</f>
        <v/>
      </c>
      <c r="Q396" t="str">
        <f t="shared" si="38"/>
        <v/>
      </c>
      <c r="R396" t="str">
        <f t="shared" si="39"/>
        <v/>
      </c>
      <c r="S396" t="str">
        <f t="shared" si="40"/>
        <v/>
      </c>
    </row>
    <row r="397" spans="1:19">
      <c r="A397">
        <f t="shared" si="36"/>
        <v>396</v>
      </c>
      <c r="E397" s="3"/>
      <c r="L397" s="5"/>
      <c r="M397" s="5">
        <f t="shared" si="41"/>
        <v>0</v>
      </c>
      <c r="N397" s="5"/>
      <c r="O397" s="5" t="str">
        <f t="shared" si="37"/>
        <v/>
      </c>
      <c r="P397" t="str">
        <f>IF(OR(B397="",E397=""),"",IF(AND(E397&gt;=IFERROR(INDEX(REFERENTIEL_BUDGET!$C$2:$C$101,MATCH(B397,REFERENTIEL_BUDGET!$A$2:$A$101,0)),""),E397&lt;=IFERROR(INDEX(REFERENTIEL_BUDGET!$D$2:$D$101,MATCH(B397,REFERENTIEL_BUDGET!$A$2:$A$101,0)),"")),"Oui","Non"))</f>
        <v/>
      </c>
      <c r="Q397" t="str">
        <f t="shared" si="38"/>
        <v/>
      </c>
      <c r="R397" t="str">
        <f t="shared" si="39"/>
        <v/>
      </c>
      <c r="S397" t="str">
        <f t="shared" si="40"/>
        <v/>
      </c>
    </row>
    <row r="398" spans="1:19">
      <c r="A398">
        <f t="shared" si="36"/>
        <v>397</v>
      </c>
      <c r="E398" s="3"/>
      <c r="L398" s="5"/>
      <c r="M398" s="5">
        <f t="shared" si="41"/>
        <v>0</v>
      </c>
      <c r="N398" s="5"/>
      <c r="O398" s="5" t="str">
        <f t="shared" si="37"/>
        <v/>
      </c>
      <c r="P398" t="str">
        <f>IF(OR(B398="",E398=""),"",IF(AND(E398&gt;=IFERROR(INDEX(REFERENTIEL_BUDGET!$C$2:$C$101,MATCH(B398,REFERENTIEL_BUDGET!$A$2:$A$101,0)),""),E398&lt;=IFERROR(INDEX(REFERENTIEL_BUDGET!$D$2:$D$101,MATCH(B398,REFERENTIEL_BUDGET!$A$2:$A$101,0)),"")),"Oui","Non"))</f>
        <v/>
      </c>
      <c r="Q398" t="str">
        <f t="shared" si="38"/>
        <v/>
      </c>
      <c r="R398" t="str">
        <f t="shared" si="39"/>
        <v/>
      </c>
      <c r="S398" t="str">
        <f t="shared" si="40"/>
        <v/>
      </c>
    </row>
    <row r="399" spans="1:19">
      <c r="A399">
        <f t="shared" si="36"/>
        <v>398</v>
      </c>
      <c r="E399" s="3"/>
      <c r="L399" s="5"/>
      <c r="M399" s="5">
        <f t="shared" si="41"/>
        <v>0</v>
      </c>
      <c r="N399" s="5"/>
      <c r="O399" s="5" t="str">
        <f t="shared" si="37"/>
        <v/>
      </c>
      <c r="P399" t="str">
        <f>IF(OR(B399="",E399=""),"",IF(AND(E399&gt;=IFERROR(INDEX(REFERENTIEL_BUDGET!$C$2:$C$101,MATCH(B399,REFERENTIEL_BUDGET!$A$2:$A$101,0)),""),E399&lt;=IFERROR(INDEX(REFERENTIEL_BUDGET!$D$2:$D$101,MATCH(B399,REFERENTIEL_BUDGET!$A$2:$A$101,0)),"")),"Oui","Non"))</f>
        <v/>
      </c>
      <c r="Q399" t="str">
        <f t="shared" si="38"/>
        <v/>
      </c>
      <c r="R399" t="str">
        <f t="shared" si="39"/>
        <v/>
      </c>
      <c r="S399" t="str">
        <f t="shared" si="40"/>
        <v/>
      </c>
    </row>
    <row r="400" spans="1:19">
      <c r="A400">
        <f t="shared" si="36"/>
        <v>399</v>
      </c>
      <c r="E400" s="3"/>
      <c r="L400" s="5"/>
      <c r="M400" s="5">
        <f t="shared" si="41"/>
        <v>0</v>
      </c>
      <c r="N400" s="5"/>
      <c r="O400" s="5" t="str">
        <f t="shared" si="37"/>
        <v/>
      </c>
      <c r="P400" t="str">
        <f>IF(OR(B400="",E400=""),"",IF(AND(E400&gt;=IFERROR(INDEX(REFERENTIEL_BUDGET!$C$2:$C$101,MATCH(B400,REFERENTIEL_BUDGET!$A$2:$A$101,0)),""),E400&lt;=IFERROR(INDEX(REFERENTIEL_BUDGET!$D$2:$D$101,MATCH(B400,REFERENTIEL_BUDGET!$A$2:$A$101,0)),"")),"Oui","Non"))</f>
        <v/>
      </c>
      <c r="Q400" t="str">
        <f t="shared" si="38"/>
        <v/>
      </c>
      <c r="R400" t="str">
        <f t="shared" si="39"/>
        <v/>
      </c>
      <c r="S400" t="str">
        <f t="shared" si="40"/>
        <v/>
      </c>
    </row>
    <row r="401" spans="1:19">
      <c r="A401">
        <f t="shared" si="36"/>
        <v>400</v>
      </c>
      <c r="E401" s="3"/>
      <c r="L401" s="5"/>
      <c r="M401" s="5">
        <f t="shared" si="41"/>
        <v>0</v>
      </c>
      <c r="N401" s="5"/>
      <c r="O401" s="5" t="str">
        <f t="shared" si="37"/>
        <v/>
      </c>
      <c r="P401" t="str">
        <f>IF(OR(B401="",E401=""),"",IF(AND(E401&gt;=IFERROR(INDEX(REFERENTIEL_BUDGET!$C$2:$C$101,MATCH(B401,REFERENTIEL_BUDGET!$A$2:$A$101,0)),""),E401&lt;=IFERROR(INDEX(REFERENTIEL_BUDGET!$D$2:$D$101,MATCH(B401,REFERENTIEL_BUDGET!$A$2:$A$101,0)),"")),"Oui","Non"))</f>
        <v/>
      </c>
      <c r="Q401" t="str">
        <f t="shared" si="38"/>
        <v/>
      </c>
      <c r="R401" t="str">
        <f t="shared" si="39"/>
        <v/>
      </c>
      <c r="S401" t="str">
        <f t="shared" si="40"/>
        <v/>
      </c>
    </row>
    <row r="402" spans="1:19">
      <c r="A402">
        <f t="shared" si="36"/>
        <v>401</v>
      </c>
      <c r="E402" s="3"/>
      <c r="L402" s="5"/>
      <c r="M402" s="5">
        <f t="shared" si="41"/>
        <v>0</v>
      </c>
      <c r="N402" s="5"/>
      <c r="O402" s="5" t="str">
        <f t="shared" si="37"/>
        <v/>
      </c>
      <c r="P402" t="str">
        <f>IF(OR(B402="",E402=""),"",IF(AND(E402&gt;=IFERROR(INDEX(REFERENTIEL_BUDGET!$C$2:$C$101,MATCH(B402,REFERENTIEL_BUDGET!$A$2:$A$101,0)),""),E402&lt;=IFERROR(INDEX(REFERENTIEL_BUDGET!$D$2:$D$101,MATCH(B402,REFERENTIEL_BUDGET!$A$2:$A$101,0)),"")),"Oui","Non"))</f>
        <v/>
      </c>
      <c r="Q402" t="str">
        <f t="shared" si="38"/>
        <v/>
      </c>
      <c r="R402" t="str">
        <f t="shared" si="39"/>
        <v/>
      </c>
      <c r="S402" t="str">
        <f t="shared" si="40"/>
        <v/>
      </c>
    </row>
    <row r="403" spans="1:19">
      <c r="A403">
        <f t="shared" si="36"/>
        <v>402</v>
      </c>
      <c r="E403" s="3"/>
      <c r="L403" s="5"/>
      <c r="M403" s="5">
        <f t="shared" si="41"/>
        <v>0</v>
      </c>
      <c r="N403" s="5"/>
      <c r="O403" s="5" t="str">
        <f t="shared" si="37"/>
        <v/>
      </c>
      <c r="P403" t="str">
        <f>IF(OR(B403="",E403=""),"",IF(AND(E403&gt;=IFERROR(INDEX(REFERENTIEL_BUDGET!$C$2:$C$101,MATCH(B403,REFERENTIEL_BUDGET!$A$2:$A$101,0)),""),E403&lt;=IFERROR(INDEX(REFERENTIEL_BUDGET!$D$2:$D$101,MATCH(B403,REFERENTIEL_BUDGET!$A$2:$A$101,0)),"")),"Oui","Non"))</f>
        <v/>
      </c>
      <c r="Q403" t="str">
        <f t="shared" si="38"/>
        <v/>
      </c>
      <c r="R403" t="str">
        <f t="shared" si="39"/>
        <v/>
      </c>
      <c r="S403" t="str">
        <f t="shared" si="40"/>
        <v/>
      </c>
    </row>
    <row r="404" spans="1:19">
      <c r="A404">
        <f t="shared" si="36"/>
        <v>403</v>
      </c>
      <c r="E404" s="3"/>
      <c r="L404" s="5"/>
      <c r="M404" s="5">
        <f t="shared" si="41"/>
        <v>0</v>
      </c>
      <c r="N404" s="5"/>
      <c r="O404" s="5" t="str">
        <f t="shared" si="37"/>
        <v/>
      </c>
      <c r="P404" t="str">
        <f>IF(OR(B404="",E404=""),"",IF(AND(E404&gt;=IFERROR(INDEX(REFERENTIEL_BUDGET!$C$2:$C$101,MATCH(B404,REFERENTIEL_BUDGET!$A$2:$A$101,0)),""),E404&lt;=IFERROR(INDEX(REFERENTIEL_BUDGET!$D$2:$D$101,MATCH(B404,REFERENTIEL_BUDGET!$A$2:$A$101,0)),"")),"Oui","Non"))</f>
        <v/>
      </c>
      <c r="Q404" t="str">
        <f t="shared" si="38"/>
        <v/>
      </c>
      <c r="R404" t="str">
        <f t="shared" si="39"/>
        <v/>
      </c>
      <c r="S404" t="str">
        <f t="shared" si="40"/>
        <v/>
      </c>
    </row>
    <row r="405" spans="1:19">
      <c r="A405">
        <f t="shared" si="36"/>
        <v>404</v>
      </c>
      <c r="E405" s="3"/>
      <c r="L405" s="5"/>
      <c r="M405" s="5">
        <f t="shared" si="41"/>
        <v>0</v>
      </c>
      <c r="N405" s="5"/>
      <c r="O405" s="5" t="str">
        <f t="shared" si="37"/>
        <v/>
      </c>
      <c r="P405" t="str">
        <f>IF(OR(B405="",E405=""),"",IF(AND(E405&gt;=IFERROR(INDEX(REFERENTIEL_BUDGET!$C$2:$C$101,MATCH(B405,REFERENTIEL_BUDGET!$A$2:$A$101,0)),""),E405&lt;=IFERROR(INDEX(REFERENTIEL_BUDGET!$D$2:$D$101,MATCH(B405,REFERENTIEL_BUDGET!$A$2:$A$101,0)),"")),"Oui","Non"))</f>
        <v/>
      </c>
      <c r="Q405" t="str">
        <f t="shared" si="38"/>
        <v/>
      </c>
      <c r="R405" t="str">
        <f t="shared" si="39"/>
        <v/>
      </c>
      <c r="S405" t="str">
        <f t="shared" si="40"/>
        <v/>
      </c>
    </row>
    <row r="406" spans="1:19">
      <c r="A406">
        <f t="shared" si="36"/>
        <v>405</v>
      </c>
      <c r="E406" s="3"/>
      <c r="L406" s="5"/>
      <c r="M406" s="5">
        <f t="shared" si="41"/>
        <v>0</v>
      </c>
      <c r="N406" s="5"/>
      <c r="O406" s="5" t="str">
        <f t="shared" si="37"/>
        <v/>
      </c>
      <c r="P406" t="str">
        <f>IF(OR(B406="",E406=""),"",IF(AND(E406&gt;=IFERROR(INDEX(REFERENTIEL_BUDGET!$C$2:$C$101,MATCH(B406,REFERENTIEL_BUDGET!$A$2:$A$101,0)),""),E406&lt;=IFERROR(INDEX(REFERENTIEL_BUDGET!$D$2:$D$101,MATCH(B406,REFERENTIEL_BUDGET!$A$2:$A$101,0)),"")),"Oui","Non"))</f>
        <v/>
      </c>
      <c r="Q406" t="str">
        <f t="shared" si="38"/>
        <v/>
      </c>
      <c r="R406" t="str">
        <f t="shared" si="39"/>
        <v/>
      </c>
      <c r="S406" t="str">
        <f t="shared" si="40"/>
        <v/>
      </c>
    </row>
    <row r="407" spans="1:19">
      <c r="A407">
        <f t="shared" si="36"/>
        <v>406</v>
      </c>
      <c r="E407" s="3"/>
      <c r="L407" s="5"/>
      <c r="M407" s="5">
        <f t="shared" si="41"/>
        <v>0</v>
      </c>
      <c r="N407" s="5"/>
      <c r="O407" s="5" t="str">
        <f t="shared" si="37"/>
        <v/>
      </c>
      <c r="P407" t="str">
        <f>IF(OR(B407="",E407=""),"",IF(AND(E407&gt;=IFERROR(INDEX(REFERENTIEL_BUDGET!$C$2:$C$101,MATCH(B407,REFERENTIEL_BUDGET!$A$2:$A$101,0)),""),E407&lt;=IFERROR(INDEX(REFERENTIEL_BUDGET!$D$2:$D$101,MATCH(B407,REFERENTIEL_BUDGET!$A$2:$A$101,0)),"")),"Oui","Non"))</f>
        <v/>
      </c>
      <c r="Q407" t="str">
        <f t="shared" si="38"/>
        <v/>
      </c>
      <c r="R407" t="str">
        <f t="shared" si="39"/>
        <v/>
      </c>
      <c r="S407" t="str">
        <f t="shared" si="40"/>
        <v/>
      </c>
    </row>
    <row r="408" spans="1:19">
      <c r="A408">
        <f t="shared" si="36"/>
        <v>407</v>
      </c>
      <c r="E408" s="3"/>
      <c r="L408" s="5"/>
      <c r="M408" s="5">
        <f t="shared" si="41"/>
        <v>0</v>
      </c>
      <c r="N408" s="5"/>
      <c r="O408" s="5" t="str">
        <f t="shared" si="37"/>
        <v/>
      </c>
      <c r="P408" t="str">
        <f>IF(OR(B408="",E408=""),"",IF(AND(E408&gt;=IFERROR(INDEX(REFERENTIEL_BUDGET!$C$2:$C$101,MATCH(B408,REFERENTIEL_BUDGET!$A$2:$A$101,0)),""),E408&lt;=IFERROR(INDEX(REFERENTIEL_BUDGET!$D$2:$D$101,MATCH(B408,REFERENTIEL_BUDGET!$A$2:$A$101,0)),"")),"Oui","Non"))</f>
        <v/>
      </c>
      <c r="Q408" t="str">
        <f t="shared" si="38"/>
        <v/>
      </c>
      <c r="R408" t="str">
        <f t="shared" si="39"/>
        <v/>
      </c>
      <c r="S408" t="str">
        <f t="shared" si="40"/>
        <v/>
      </c>
    </row>
    <row r="409" spans="1:19">
      <c r="A409">
        <f t="shared" si="36"/>
        <v>408</v>
      </c>
      <c r="E409" s="3"/>
      <c r="L409" s="5"/>
      <c r="M409" s="5">
        <f t="shared" si="41"/>
        <v>0</v>
      </c>
      <c r="N409" s="5"/>
      <c r="O409" s="5" t="str">
        <f t="shared" si="37"/>
        <v/>
      </c>
      <c r="P409" t="str">
        <f>IF(OR(B409="",E409=""),"",IF(AND(E409&gt;=IFERROR(INDEX(REFERENTIEL_BUDGET!$C$2:$C$101,MATCH(B409,REFERENTIEL_BUDGET!$A$2:$A$101,0)),""),E409&lt;=IFERROR(INDEX(REFERENTIEL_BUDGET!$D$2:$D$101,MATCH(B409,REFERENTIEL_BUDGET!$A$2:$A$101,0)),"")),"Oui","Non"))</f>
        <v/>
      </c>
      <c r="Q409" t="str">
        <f t="shared" si="38"/>
        <v/>
      </c>
      <c r="R409" t="str">
        <f t="shared" si="39"/>
        <v/>
      </c>
      <c r="S409" t="str">
        <f t="shared" si="40"/>
        <v/>
      </c>
    </row>
    <row r="410" spans="1:19">
      <c r="A410">
        <f t="shared" si="36"/>
        <v>409</v>
      </c>
      <c r="E410" s="3"/>
      <c r="L410" s="5"/>
      <c r="M410" s="5">
        <f t="shared" si="41"/>
        <v>0</v>
      </c>
      <c r="N410" s="5"/>
      <c r="O410" s="5" t="str">
        <f t="shared" si="37"/>
        <v/>
      </c>
      <c r="P410" t="str">
        <f>IF(OR(B410="",E410=""),"",IF(AND(E410&gt;=IFERROR(INDEX(REFERENTIEL_BUDGET!$C$2:$C$101,MATCH(B410,REFERENTIEL_BUDGET!$A$2:$A$101,0)),""),E410&lt;=IFERROR(INDEX(REFERENTIEL_BUDGET!$D$2:$D$101,MATCH(B410,REFERENTIEL_BUDGET!$A$2:$A$101,0)),"")),"Oui","Non"))</f>
        <v/>
      </c>
      <c r="Q410" t="str">
        <f t="shared" si="38"/>
        <v/>
      </c>
      <c r="R410" t="str">
        <f t="shared" si="39"/>
        <v/>
      </c>
      <c r="S410" t="str">
        <f t="shared" si="40"/>
        <v/>
      </c>
    </row>
    <row r="411" spans="1:19">
      <c r="A411">
        <f t="shared" si="36"/>
        <v>410</v>
      </c>
      <c r="E411" s="3"/>
      <c r="L411" s="5"/>
      <c r="M411" s="5">
        <f t="shared" si="41"/>
        <v>0</v>
      </c>
      <c r="N411" s="5"/>
      <c r="O411" s="5" t="str">
        <f t="shared" si="37"/>
        <v/>
      </c>
      <c r="P411" t="str">
        <f>IF(OR(B411="",E411=""),"",IF(AND(E411&gt;=IFERROR(INDEX(REFERENTIEL_BUDGET!$C$2:$C$101,MATCH(B411,REFERENTIEL_BUDGET!$A$2:$A$101,0)),""),E411&lt;=IFERROR(INDEX(REFERENTIEL_BUDGET!$D$2:$D$101,MATCH(B411,REFERENTIEL_BUDGET!$A$2:$A$101,0)),"")),"Oui","Non"))</f>
        <v/>
      </c>
      <c r="Q411" t="str">
        <f t="shared" si="38"/>
        <v/>
      </c>
      <c r="R411" t="str">
        <f t="shared" si="39"/>
        <v/>
      </c>
      <c r="S411" t="str">
        <f t="shared" si="40"/>
        <v/>
      </c>
    </row>
    <row r="412" spans="1:19">
      <c r="A412">
        <f t="shared" si="36"/>
        <v>411</v>
      </c>
      <c r="E412" s="3"/>
      <c r="L412" s="5"/>
      <c r="M412" s="5">
        <f t="shared" si="41"/>
        <v>0</v>
      </c>
      <c r="N412" s="5"/>
      <c r="O412" s="5" t="str">
        <f t="shared" si="37"/>
        <v/>
      </c>
      <c r="P412" t="str">
        <f>IF(OR(B412="",E412=""),"",IF(AND(E412&gt;=IFERROR(INDEX(REFERENTIEL_BUDGET!$C$2:$C$101,MATCH(B412,REFERENTIEL_BUDGET!$A$2:$A$101,0)),""),E412&lt;=IFERROR(INDEX(REFERENTIEL_BUDGET!$D$2:$D$101,MATCH(B412,REFERENTIEL_BUDGET!$A$2:$A$101,0)),"")),"Oui","Non"))</f>
        <v/>
      </c>
      <c r="Q412" t="str">
        <f t="shared" si="38"/>
        <v/>
      </c>
      <c r="R412" t="str">
        <f t="shared" si="39"/>
        <v/>
      </c>
      <c r="S412" t="str">
        <f t="shared" si="40"/>
        <v/>
      </c>
    </row>
    <row r="413" spans="1:19">
      <c r="A413">
        <f t="shared" si="36"/>
        <v>412</v>
      </c>
      <c r="E413" s="3"/>
      <c r="L413" s="5"/>
      <c r="M413" s="5">
        <f t="shared" si="41"/>
        <v>0</v>
      </c>
      <c r="N413" s="5"/>
      <c r="O413" s="5" t="str">
        <f t="shared" si="37"/>
        <v/>
      </c>
      <c r="P413" t="str">
        <f>IF(OR(B413="",E413=""),"",IF(AND(E413&gt;=IFERROR(INDEX(REFERENTIEL_BUDGET!$C$2:$C$101,MATCH(B413,REFERENTIEL_BUDGET!$A$2:$A$101,0)),""),E413&lt;=IFERROR(INDEX(REFERENTIEL_BUDGET!$D$2:$D$101,MATCH(B413,REFERENTIEL_BUDGET!$A$2:$A$101,0)),"")),"Oui","Non"))</f>
        <v/>
      </c>
      <c r="Q413" t="str">
        <f t="shared" si="38"/>
        <v/>
      </c>
      <c r="R413" t="str">
        <f t="shared" si="39"/>
        <v/>
      </c>
      <c r="S413" t="str">
        <f t="shared" si="40"/>
        <v/>
      </c>
    </row>
    <row r="414" spans="1:19">
      <c r="A414">
        <f t="shared" si="36"/>
        <v>413</v>
      </c>
      <c r="E414" s="3"/>
      <c r="L414" s="5"/>
      <c r="M414" s="5">
        <f t="shared" si="41"/>
        <v>0</v>
      </c>
      <c r="N414" s="5"/>
      <c r="O414" s="5" t="str">
        <f t="shared" si="37"/>
        <v/>
      </c>
      <c r="P414" t="str">
        <f>IF(OR(B414="",E414=""),"",IF(AND(E414&gt;=IFERROR(INDEX(REFERENTIEL_BUDGET!$C$2:$C$101,MATCH(B414,REFERENTIEL_BUDGET!$A$2:$A$101,0)),""),E414&lt;=IFERROR(INDEX(REFERENTIEL_BUDGET!$D$2:$D$101,MATCH(B414,REFERENTIEL_BUDGET!$A$2:$A$101,0)),"")),"Oui","Non"))</f>
        <v/>
      </c>
      <c r="Q414" t="str">
        <f t="shared" si="38"/>
        <v/>
      </c>
      <c r="R414" t="str">
        <f t="shared" si="39"/>
        <v/>
      </c>
      <c r="S414" t="str">
        <f t="shared" si="40"/>
        <v/>
      </c>
    </row>
    <row r="415" spans="1:19">
      <c r="A415">
        <f t="shared" si="36"/>
        <v>414</v>
      </c>
      <c r="E415" s="3"/>
      <c r="L415" s="5"/>
      <c r="M415" s="5">
        <f t="shared" si="41"/>
        <v>0</v>
      </c>
      <c r="N415" s="5"/>
      <c r="O415" s="5" t="str">
        <f t="shared" si="37"/>
        <v/>
      </c>
      <c r="P415" t="str">
        <f>IF(OR(B415="",E415=""),"",IF(AND(E415&gt;=IFERROR(INDEX(REFERENTIEL_BUDGET!$C$2:$C$101,MATCH(B415,REFERENTIEL_BUDGET!$A$2:$A$101,0)),""),E415&lt;=IFERROR(INDEX(REFERENTIEL_BUDGET!$D$2:$D$101,MATCH(B415,REFERENTIEL_BUDGET!$A$2:$A$101,0)),"")),"Oui","Non"))</f>
        <v/>
      </c>
      <c r="Q415" t="str">
        <f t="shared" si="38"/>
        <v/>
      </c>
      <c r="R415" t="str">
        <f t="shared" si="39"/>
        <v/>
      </c>
      <c r="S415" t="str">
        <f t="shared" si="40"/>
        <v/>
      </c>
    </row>
    <row r="416" spans="1:19">
      <c r="A416">
        <f t="shared" si="36"/>
        <v>415</v>
      </c>
      <c r="E416" s="3"/>
      <c r="L416" s="5"/>
      <c r="M416" s="5">
        <f t="shared" si="41"/>
        <v>0</v>
      </c>
      <c r="N416" s="5"/>
      <c r="O416" s="5" t="str">
        <f t="shared" si="37"/>
        <v/>
      </c>
      <c r="P416" t="str">
        <f>IF(OR(B416="",E416=""),"",IF(AND(E416&gt;=IFERROR(INDEX(REFERENTIEL_BUDGET!$C$2:$C$101,MATCH(B416,REFERENTIEL_BUDGET!$A$2:$A$101,0)),""),E416&lt;=IFERROR(INDEX(REFERENTIEL_BUDGET!$D$2:$D$101,MATCH(B416,REFERENTIEL_BUDGET!$A$2:$A$101,0)),"")),"Oui","Non"))</f>
        <v/>
      </c>
      <c r="Q416" t="str">
        <f t="shared" si="38"/>
        <v/>
      </c>
      <c r="R416" t="str">
        <f t="shared" si="39"/>
        <v/>
      </c>
      <c r="S416" t="str">
        <f t="shared" si="40"/>
        <v/>
      </c>
    </row>
    <row r="417" spans="1:19">
      <c r="A417">
        <f t="shared" si="36"/>
        <v>416</v>
      </c>
      <c r="E417" s="3"/>
      <c r="L417" s="5"/>
      <c r="M417" s="5">
        <f t="shared" si="41"/>
        <v>0</v>
      </c>
      <c r="N417" s="5"/>
      <c r="O417" s="5" t="str">
        <f t="shared" si="37"/>
        <v/>
      </c>
      <c r="P417" t="str">
        <f>IF(OR(B417="",E417=""),"",IF(AND(E417&gt;=IFERROR(INDEX(REFERENTIEL_BUDGET!$C$2:$C$101,MATCH(B417,REFERENTIEL_BUDGET!$A$2:$A$101,0)),""),E417&lt;=IFERROR(INDEX(REFERENTIEL_BUDGET!$D$2:$D$101,MATCH(B417,REFERENTIEL_BUDGET!$A$2:$A$101,0)),"")),"Oui","Non"))</f>
        <v/>
      </c>
      <c r="Q417" t="str">
        <f t="shared" si="38"/>
        <v/>
      </c>
      <c r="R417" t="str">
        <f t="shared" si="39"/>
        <v/>
      </c>
      <c r="S417" t="str">
        <f t="shared" si="40"/>
        <v/>
      </c>
    </row>
    <row r="418" spans="1:19">
      <c r="A418">
        <f t="shared" si="36"/>
        <v>417</v>
      </c>
      <c r="E418" s="3"/>
      <c r="L418" s="5"/>
      <c r="M418" s="5">
        <f t="shared" si="41"/>
        <v>0</v>
      </c>
      <c r="N418" s="5"/>
      <c r="O418" s="5" t="str">
        <f t="shared" si="37"/>
        <v/>
      </c>
      <c r="P418" t="str">
        <f>IF(OR(B418="",E418=""),"",IF(AND(E418&gt;=IFERROR(INDEX(REFERENTIEL_BUDGET!$C$2:$C$101,MATCH(B418,REFERENTIEL_BUDGET!$A$2:$A$101,0)),""),E418&lt;=IFERROR(INDEX(REFERENTIEL_BUDGET!$D$2:$D$101,MATCH(B418,REFERENTIEL_BUDGET!$A$2:$A$101,0)),"")),"Oui","Non"))</f>
        <v/>
      </c>
      <c r="Q418" t="str">
        <f t="shared" si="38"/>
        <v/>
      </c>
      <c r="R418" t="str">
        <f t="shared" si="39"/>
        <v/>
      </c>
      <c r="S418" t="str">
        <f t="shared" si="40"/>
        <v/>
      </c>
    </row>
    <row r="419" spans="1:19">
      <c r="A419">
        <f t="shared" si="36"/>
        <v>418</v>
      </c>
      <c r="E419" s="3"/>
      <c r="L419" s="5"/>
      <c r="M419" s="5">
        <f t="shared" si="41"/>
        <v>0</v>
      </c>
      <c r="N419" s="5"/>
      <c r="O419" s="5" t="str">
        <f t="shared" si="37"/>
        <v/>
      </c>
      <c r="P419" t="str">
        <f>IF(OR(B419="",E419=""),"",IF(AND(E419&gt;=IFERROR(INDEX(REFERENTIEL_BUDGET!$C$2:$C$101,MATCH(B419,REFERENTIEL_BUDGET!$A$2:$A$101,0)),""),E419&lt;=IFERROR(INDEX(REFERENTIEL_BUDGET!$D$2:$D$101,MATCH(B419,REFERENTIEL_BUDGET!$A$2:$A$101,0)),"")),"Oui","Non"))</f>
        <v/>
      </c>
      <c r="Q419" t="str">
        <f t="shared" si="38"/>
        <v/>
      </c>
      <c r="R419" t="str">
        <f t="shared" si="39"/>
        <v/>
      </c>
      <c r="S419" t="str">
        <f t="shared" si="40"/>
        <v/>
      </c>
    </row>
    <row r="420" spans="1:19">
      <c r="A420">
        <f t="shared" si="36"/>
        <v>419</v>
      </c>
      <c r="E420" s="3"/>
      <c r="L420" s="5"/>
      <c r="M420" s="5">
        <f t="shared" si="41"/>
        <v>0</v>
      </c>
      <c r="N420" s="5"/>
      <c r="O420" s="5" t="str">
        <f t="shared" si="37"/>
        <v/>
      </c>
      <c r="P420" t="str">
        <f>IF(OR(B420="",E420=""),"",IF(AND(E420&gt;=IFERROR(INDEX(REFERENTIEL_BUDGET!$C$2:$C$101,MATCH(B420,REFERENTIEL_BUDGET!$A$2:$A$101,0)),""),E420&lt;=IFERROR(INDEX(REFERENTIEL_BUDGET!$D$2:$D$101,MATCH(B420,REFERENTIEL_BUDGET!$A$2:$A$101,0)),"")),"Oui","Non"))</f>
        <v/>
      </c>
      <c r="Q420" t="str">
        <f t="shared" si="38"/>
        <v/>
      </c>
      <c r="R420" t="str">
        <f t="shared" si="39"/>
        <v/>
      </c>
      <c r="S420" t="str">
        <f t="shared" si="40"/>
        <v/>
      </c>
    </row>
    <row r="421" spans="1:19">
      <c r="A421">
        <f t="shared" si="36"/>
        <v>420</v>
      </c>
      <c r="E421" s="3"/>
      <c r="L421" s="5"/>
      <c r="M421" s="5">
        <f t="shared" si="41"/>
        <v>0</v>
      </c>
      <c r="N421" s="5"/>
      <c r="O421" s="5" t="str">
        <f t="shared" si="37"/>
        <v/>
      </c>
      <c r="P421" t="str">
        <f>IF(OR(B421="",E421=""),"",IF(AND(E421&gt;=IFERROR(INDEX(REFERENTIEL_BUDGET!$C$2:$C$101,MATCH(B421,REFERENTIEL_BUDGET!$A$2:$A$101,0)),""),E421&lt;=IFERROR(INDEX(REFERENTIEL_BUDGET!$D$2:$D$101,MATCH(B421,REFERENTIEL_BUDGET!$A$2:$A$101,0)),"")),"Oui","Non"))</f>
        <v/>
      </c>
      <c r="Q421" t="str">
        <f t="shared" si="38"/>
        <v/>
      </c>
      <c r="R421" t="str">
        <f t="shared" si="39"/>
        <v/>
      </c>
      <c r="S421" t="str">
        <f t="shared" si="40"/>
        <v/>
      </c>
    </row>
    <row r="422" spans="1:19">
      <c r="A422">
        <f t="shared" si="36"/>
        <v>421</v>
      </c>
      <c r="E422" s="3"/>
      <c r="L422" s="5"/>
      <c r="M422" s="5">
        <f t="shared" si="41"/>
        <v>0</v>
      </c>
      <c r="N422" s="5"/>
      <c r="O422" s="5" t="str">
        <f t="shared" si="37"/>
        <v/>
      </c>
      <c r="P422" t="str">
        <f>IF(OR(B422="",E422=""),"",IF(AND(E422&gt;=IFERROR(INDEX(REFERENTIEL_BUDGET!$C$2:$C$101,MATCH(B422,REFERENTIEL_BUDGET!$A$2:$A$101,0)),""),E422&lt;=IFERROR(INDEX(REFERENTIEL_BUDGET!$D$2:$D$101,MATCH(B422,REFERENTIEL_BUDGET!$A$2:$A$101,0)),"")),"Oui","Non"))</f>
        <v/>
      </c>
      <c r="Q422" t="str">
        <f t="shared" si="38"/>
        <v/>
      </c>
      <c r="R422" t="str">
        <f t="shared" si="39"/>
        <v/>
      </c>
      <c r="S422" t="str">
        <f t="shared" si="40"/>
        <v/>
      </c>
    </row>
    <row r="423" spans="1:19">
      <c r="A423">
        <f t="shared" si="36"/>
        <v>422</v>
      </c>
      <c r="E423" s="3"/>
      <c r="L423" s="5"/>
      <c r="M423" s="5">
        <f t="shared" si="41"/>
        <v>0</v>
      </c>
      <c r="N423" s="5"/>
      <c r="O423" s="5" t="str">
        <f t="shared" si="37"/>
        <v/>
      </c>
      <c r="P423" t="str">
        <f>IF(OR(B423="",E423=""),"",IF(AND(E423&gt;=IFERROR(INDEX(REFERENTIEL_BUDGET!$C$2:$C$101,MATCH(B423,REFERENTIEL_BUDGET!$A$2:$A$101,0)),""),E423&lt;=IFERROR(INDEX(REFERENTIEL_BUDGET!$D$2:$D$101,MATCH(B423,REFERENTIEL_BUDGET!$A$2:$A$101,0)),"")),"Oui","Non"))</f>
        <v/>
      </c>
      <c r="Q423" t="str">
        <f t="shared" si="38"/>
        <v/>
      </c>
      <c r="R423" t="str">
        <f t="shared" si="39"/>
        <v/>
      </c>
      <c r="S423" t="str">
        <f t="shared" si="40"/>
        <v/>
      </c>
    </row>
    <row r="424" spans="1:19">
      <c r="A424">
        <f t="shared" si="36"/>
        <v>423</v>
      </c>
      <c r="E424" s="3"/>
      <c r="L424" s="5"/>
      <c r="M424" s="5">
        <f t="shared" si="41"/>
        <v>0</v>
      </c>
      <c r="N424" s="5"/>
      <c r="O424" s="5" t="str">
        <f t="shared" si="37"/>
        <v/>
      </c>
      <c r="P424" t="str">
        <f>IF(OR(B424="",E424=""),"",IF(AND(E424&gt;=IFERROR(INDEX(REFERENTIEL_BUDGET!$C$2:$C$101,MATCH(B424,REFERENTIEL_BUDGET!$A$2:$A$101,0)),""),E424&lt;=IFERROR(INDEX(REFERENTIEL_BUDGET!$D$2:$D$101,MATCH(B424,REFERENTIEL_BUDGET!$A$2:$A$101,0)),"")),"Oui","Non"))</f>
        <v/>
      </c>
      <c r="Q424" t="str">
        <f t="shared" si="38"/>
        <v/>
      </c>
      <c r="R424" t="str">
        <f t="shared" si="39"/>
        <v/>
      </c>
      <c r="S424" t="str">
        <f t="shared" si="40"/>
        <v/>
      </c>
    </row>
    <row r="425" spans="1:19">
      <c r="A425">
        <f t="shared" si="36"/>
        <v>424</v>
      </c>
      <c r="E425" s="3"/>
      <c r="L425" s="5"/>
      <c r="M425" s="5">
        <f t="shared" si="41"/>
        <v>0</v>
      </c>
      <c r="N425" s="5"/>
      <c r="O425" s="5" t="str">
        <f t="shared" si="37"/>
        <v/>
      </c>
      <c r="P425" t="str">
        <f>IF(OR(B425="",E425=""),"",IF(AND(E425&gt;=IFERROR(INDEX(REFERENTIEL_BUDGET!$C$2:$C$101,MATCH(B425,REFERENTIEL_BUDGET!$A$2:$A$101,0)),""),E425&lt;=IFERROR(INDEX(REFERENTIEL_BUDGET!$D$2:$D$101,MATCH(B425,REFERENTIEL_BUDGET!$A$2:$A$101,0)),"")),"Oui","Non"))</f>
        <v/>
      </c>
      <c r="Q425" t="str">
        <f t="shared" si="38"/>
        <v/>
      </c>
      <c r="R425" t="str">
        <f t="shared" si="39"/>
        <v/>
      </c>
      <c r="S425" t="str">
        <f t="shared" si="40"/>
        <v/>
      </c>
    </row>
    <row r="426" spans="1:19">
      <c r="A426">
        <f t="shared" si="36"/>
        <v>425</v>
      </c>
      <c r="E426" s="3"/>
      <c r="L426" s="5"/>
      <c r="M426" s="5">
        <f t="shared" si="41"/>
        <v>0</v>
      </c>
      <c r="N426" s="5"/>
      <c r="O426" s="5" t="str">
        <f t="shared" si="37"/>
        <v/>
      </c>
      <c r="P426" t="str">
        <f>IF(OR(B426="",E426=""),"",IF(AND(E426&gt;=IFERROR(INDEX(REFERENTIEL_BUDGET!$C$2:$C$101,MATCH(B426,REFERENTIEL_BUDGET!$A$2:$A$101,0)),""),E426&lt;=IFERROR(INDEX(REFERENTIEL_BUDGET!$D$2:$D$101,MATCH(B426,REFERENTIEL_BUDGET!$A$2:$A$101,0)),"")),"Oui","Non"))</f>
        <v/>
      </c>
      <c r="Q426" t="str">
        <f t="shared" si="38"/>
        <v/>
      </c>
      <c r="R426" t="str">
        <f t="shared" si="39"/>
        <v/>
      </c>
      <c r="S426" t="str">
        <f t="shared" si="40"/>
        <v/>
      </c>
    </row>
    <row r="427" spans="1:19">
      <c r="A427">
        <f t="shared" si="36"/>
        <v>426</v>
      </c>
      <c r="E427" s="3"/>
      <c r="L427" s="5"/>
      <c r="M427" s="5">
        <f t="shared" si="41"/>
        <v>0</v>
      </c>
      <c r="N427" s="5"/>
      <c r="O427" s="5" t="str">
        <f t="shared" si="37"/>
        <v/>
      </c>
      <c r="P427" t="str">
        <f>IF(OR(B427="",E427=""),"",IF(AND(E427&gt;=IFERROR(INDEX(REFERENTIEL_BUDGET!$C$2:$C$101,MATCH(B427,REFERENTIEL_BUDGET!$A$2:$A$101,0)),""),E427&lt;=IFERROR(INDEX(REFERENTIEL_BUDGET!$D$2:$D$101,MATCH(B427,REFERENTIEL_BUDGET!$A$2:$A$101,0)),"")),"Oui","Non"))</f>
        <v/>
      </c>
      <c r="Q427" t="str">
        <f t="shared" si="38"/>
        <v/>
      </c>
      <c r="R427" t="str">
        <f t="shared" si="39"/>
        <v/>
      </c>
      <c r="S427" t="str">
        <f t="shared" si="40"/>
        <v/>
      </c>
    </row>
    <row r="428" spans="1:19">
      <c r="A428">
        <f t="shared" si="36"/>
        <v>427</v>
      </c>
      <c r="E428" s="3"/>
      <c r="L428" s="5"/>
      <c r="M428" s="5">
        <f t="shared" si="41"/>
        <v>0</v>
      </c>
      <c r="N428" s="5"/>
      <c r="O428" s="5" t="str">
        <f t="shared" si="37"/>
        <v/>
      </c>
      <c r="P428" t="str">
        <f>IF(OR(B428="",E428=""),"",IF(AND(E428&gt;=IFERROR(INDEX(REFERENTIEL_BUDGET!$C$2:$C$101,MATCH(B428,REFERENTIEL_BUDGET!$A$2:$A$101,0)),""),E428&lt;=IFERROR(INDEX(REFERENTIEL_BUDGET!$D$2:$D$101,MATCH(B428,REFERENTIEL_BUDGET!$A$2:$A$101,0)),"")),"Oui","Non"))</f>
        <v/>
      </c>
      <c r="Q428" t="str">
        <f t="shared" si="38"/>
        <v/>
      </c>
      <c r="R428" t="str">
        <f t="shared" si="39"/>
        <v/>
      </c>
      <c r="S428" t="str">
        <f t="shared" si="40"/>
        <v/>
      </c>
    </row>
    <row r="429" spans="1:19">
      <c r="A429">
        <f t="shared" si="36"/>
        <v>428</v>
      </c>
      <c r="E429" s="3"/>
      <c r="L429" s="5"/>
      <c r="M429" s="5">
        <f t="shared" si="41"/>
        <v>0</v>
      </c>
      <c r="N429" s="5"/>
      <c r="O429" s="5" t="str">
        <f t="shared" si="37"/>
        <v/>
      </c>
      <c r="P429" t="str">
        <f>IF(OR(B429="",E429=""),"",IF(AND(E429&gt;=IFERROR(INDEX(REFERENTIEL_BUDGET!$C$2:$C$101,MATCH(B429,REFERENTIEL_BUDGET!$A$2:$A$101,0)),""),E429&lt;=IFERROR(INDEX(REFERENTIEL_BUDGET!$D$2:$D$101,MATCH(B429,REFERENTIEL_BUDGET!$A$2:$A$101,0)),"")),"Oui","Non"))</f>
        <v/>
      </c>
      <c r="Q429" t="str">
        <f t="shared" si="38"/>
        <v/>
      </c>
      <c r="R429" t="str">
        <f t="shared" si="39"/>
        <v/>
      </c>
      <c r="S429" t="str">
        <f t="shared" si="40"/>
        <v/>
      </c>
    </row>
    <row r="430" spans="1:19">
      <c r="A430">
        <f t="shared" si="36"/>
        <v>429</v>
      </c>
      <c r="E430" s="3"/>
      <c r="L430" s="5"/>
      <c r="M430" s="5">
        <f t="shared" si="41"/>
        <v>0</v>
      </c>
      <c r="N430" s="5"/>
      <c r="O430" s="5" t="str">
        <f t="shared" si="37"/>
        <v/>
      </c>
      <c r="P430" t="str">
        <f>IF(OR(B430="",E430=""),"",IF(AND(E430&gt;=IFERROR(INDEX(REFERENTIEL_BUDGET!$C$2:$C$101,MATCH(B430,REFERENTIEL_BUDGET!$A$2:$A$101,0)),""),E430&lt;=IFERROR(INDEX(REFERENTIEL_BUDGET!$D$2:$D$101,MATCH(B430,REFERENTIEL_BUDGET!$A$2:$A$101,0)),"")),"Oui","Non"))</f>
        <v/>
      </c>
      <c r="Q430" t="str">
        <f t="shared" si="38"/>
        <v/>
      </c>
      <c r="R430" t="str">
        <f t="shared" si="39"/>
        <v/>
      </c>
      <c r="S430" t="str">
        <f t="shared" si="40"/>
        <v/>
      </c>
    </row>
    <row r="431" spans="1:19">
      <c r="A431">
        <f t="shared" si="36"/>
        <v>430</v>
      </c>
      <c r="E431" s="3"/>
      <c r="L431" s="5"/>
      <c r="M431" s="5">
        <f t="shared" si="41"/>
        <v>0</v>
      </c>
      <c r="N431" s="5"/>
      <c r="O431" s="5" t="str">
        <f t="shared" si="37"/>
        <v/>
      </c>
      <c r="P431" t="str">
        <f>IF(OR(B431="",E431=""),"",IF(AND(E431&gt;=IFERROR(INDEX(REFERENTIEL_BUDGET!$C$2:$C$101,MATCH(B431,REFERENTIEL_BUDGET!$A$2:$A$101,0)),""),E431&lt;=IFERROR(INDEX(REFERENTIEL_BUDGET!$D$2:$D$101,MATCH(B431,REFERENTIEL_BUDGET!$A$2:$A$101,0)),"")),"Oui","Non"))</f>
        <v/>
      </c>
      <c r="Q431" t="str">
        <f t="shared" si="38"/>
        <v/>
      </c>
      <c r="R431" t="str">
        <f t="shared" si="39"/>
        <v/>
      </c>
      <c r="S431" t="str">
        <f t="shared" si="40"/>
        <v/>
      </c>
    </row>
    <row r="432" spans="1:19">
      <c r="A432">
        <f t="shared" si="36"/>
        <v>431</v>
      </c>
      <c r="E432" s="3"/>
      <c r="L432" s="5"/>
      <c r="M432" s="5">
        <f t="shared" si="41"/>
        <v>0</v>
      </c>
      <c r="N432" s="5"/>
      <c r="O432" s="5" t="str">
        <f t="shared" si="37"/>
        <v/>
      </c>
      <c r="P432" t="str">
        <f>IF(OR(B432="",E432=""),"",IF(AND(E432&gt;=IFERROR(INDEX(REFERENTIEL_BUDGET!$C$2:$C$101,MATCH(B432,REFERENTIEL_BUDGET!$A$2:$A$101,0)),""),E432&lt;=IFERROR(INDEX(REFERENTIEL_BUDGET!$D$2:$D$101,MATCH(B432,REFERENTIEL_BUDGET!$A$2:$A$101,0)),"")),"Oui","Non"))</f>
        <v/>
      </c>
      <c r="Q432" t="str">
        <f t="shared" si="38"/>
        <v/>
      </c>
      <c r="R432" t="str">
        <f t="shared" si="39"/>
        <v/>
      </c>
      <c r="S432" t="str">
        <f t="shared" si="40"/>
        <v/>
      </c>
    </row>
    <row r="433" spans="1:19">
      <c r="A433">
        <f t="shared" si="36"/>
        <v>432</v>
      </c>
      <c r="E433" s="3"/>
      <c r="L433" s="5"/>
      <c r="M433" s="5">
        <f t="shared" si="41"/>
        <v>0</v>
      </c>
      <c r="N433" s="5"/>
      <c r="O433" s="5" t="str">
        <f t="shared" si="37"/>
        <v/>
      </c>
      <c r="P433" t="str">
        <f>IF(OR(B433="",E433=""),"",IF(AND(E433&gt;=IFERROR(INDEX(REFERENTIEL_BUDGET!$C$2:$C$101,MATCH(B433,REFERENTIEL_BUDGET!$A$2:$A$101,0)),""),E433&lt;=IFERROR(INDEX(REFERENTIEL_BUDGET!$D$2:$D$101,MATCH(B433,REFERENTIEL_BUDGET!$A$2:$A$101,0)),"")),"Oui","Non"))</f>
        <v/>
      </c>
      <c r="Q433" t="str">
        <f t="shared" si="38"/>
        <v/>
      </c>
      <c r="R433" t="str">
        <f t="shared" si="39"/>
        <v/>
      </c>
      <c r="S433" t="str">
        <f t="shared" si="40"/>
        <v/>
      </c>
    </row>
    <row r="434" spans="1:19">
      <c r="A434">
        <f t="shared" si="36"/>
        <v>433</v>
      </c>
      <c r="E434" s="3"/>
      <c r="L434" s="5"/>
      <c r="M434" s="5">
        <f t="shared" si="41"/>
        <v>0</v>
      </c>
      <c r="N434" s="5"/>
      <c r="O434" s="5" t="str">
        <f t="shared" si="37"/>
        <v/>
      </c>
      <c r="P434" t="str">
        <f>IF(OR(B434="",E434=""),"",IF(AND(E434&gt;=IFERROR(INDEX(REFERENTIEL_BUDGET!$C$2:$C$101,MATCH(B434,REFERENTIEL_BUDGET!$A$2:$A$101,0)),""),E434&lt;=IFERROR(INDEX(REFERENTIEL_BUDGET!$D$2:$D$101,MATCH(B434,REFERENTIEL_BUDGET!$A$2:$A$101,0)),"")),"Oui","Non"))</f>
        <v/>
      </c>
      <c r="Q434" t="str">
        <f t="shared" si="38"/>
        <v/>
      </c>
      <c r="R434" t="str">
        <f t="shared" si="39"/>
        <v/>
      </c>
      <c r="S434" t="str">
        <f t="shared" si="40"/>
        <v/>
      </c>
    </row>
    <row r="435" spans="1:19">
      <c r="A435">
        <f t="shared" si="36"/>
        <v>434</v>
      </c>
      <c r="E435" s="3"/>
      <c r="L435" s="5"/>
      <c r="M435" s="5">
        <f t="shared" si="41"/>
        <v>0</v>
      </c>
      <c r="N435" s="5"/>
      <c r="O435" s="5" t="str">
        <f t="shared" si="37"/>
        <v/>
      </c>
      <c r="P435" t="str">
        <f>IF(OR(B435="",E435=""),"",IF(AND(E435&gt;=IFERROR(INDEX(REFERENTIEL_BUDGET!$C$2:$C$101,MATCH(B435,REFERENTIEL_BUDGET!$A$2:$A$101,0)),""),E435&lt;=IFERROR(INDEX(REFERENTIEL_BUDGET!$D$2:$D$101,MATCH(B435,REFERENTIEL_BUDGET!$A$2:$A$101,0)),"")),"Oui","Non"))</f>
        <v/>
      </c>
      <c r="Q435" t="str">
        <f t="shared" si="38"/>
        <v/>
      </c>
      <c r="R435" t="str">
        <f t="shared" si="39"/>
        <v/>
      </c>
      <c r="S435" t="str">
        <f t="shared" si="40"/>
        <v/>
      </c>
    </row>
    <row r="436" spans="1:19">
      <c r="A436">
        <f t="shared" si="36"/>
        <v>435</v>
      </c>
      <c r="E436" s="3"/>
      <c r="L436" s="5"/>
      <c r="M436" s="5">
        <f t="shared" si="41"/>
        <v>0</v>
      </c>
      <c r="N436" s="5"/>
      <c r="O436" s="5" t="str">
        <f t="shared" si="37"/>
        <v/>
      </c>
      <c r="P436" t="str">
        <f>IF(OR(B436="",E436=""),"",IF(AND(E436&gt;=IFERROR(INDEX(REFERENTIEL_BUDGET!$C$2:$C$101,MATCH(B436,REFERENTIEL_BUDGET!$A$2:$A$101,0)),""),E436&lt;=IFERROR(INDEX(REFERENTIEL_BUDGET!$D$2:$D$101,MATCH(B436,REFERENTIEL_BUDGET!$A$2:$A$101,0)),"")),"Oui","Non"))</f>
        <v/>
      </c>
      <c r="Q436" t="str">
        <f t="shared" si="38"/>
        <v/>
      </c>
      <c r="R436" t="str">
        <f t="shared" si="39"/>
        <v/>
      </c>
      <c r="S436" t="str">
        <f t="shared" si="40"/>
        <v/>
      </c>
    </row>
    <row r="437" spans="1:19">
      <c r="A437">
        <f t="shared" si="36"/>
        <v>436</v>
      </c>
      <c r="E437" s="3"/>
      <c r="L437" s="5"/>
      <c r="M437" s="5">
        <f t="shared" si="41"/>
        <v>0</v>
      </c>
      <c r="N437" s="5"/>
      <c r="O437" s="5" t="str">
        <f t="shared" si="37"/>
        <v/>
      </c>
      <c r="P437" t="str">
        <f>IF(OR(B437="",E437=""),"",IF(AND(E437&gt;=IFERROR(INDEX(REFERENTIEL_BUDGET!$C$2:$C$101,MATCH(B437,REFERENTIEL_BUDGET!$A$2:$A$101,0)),""),E437&lt;=IFERROR(INDEX(REFERENTIEL_BUDGET!$D$2:$D$101,MATCH(B437,REFERENTIEL_BUDGET!$A$2:$A$101,0)),"")),"Oui","Non"))</f>
        <v/>
      </c>
      <c r="Q437" t="str">
        <f t="shared" si="38"/>
        <v/>
      </c>
      <c r="R437" t="str">
        <f t="shared" si="39"/>
        <v/>
      </c>
      <c r="S437" t="str">
        <f t="shared" si="40"/>
        <v/>
      </c>
    </row>
    <row r="438" spans="1:19">
      <c r="A438">
        <f t="shared" si="36"/>
        <v>437</v>
      </c>
      <c r="E438" s="3"/>
      <c r="L438" s="5"/>
      <c r="M438" s="5">
        <f t="shared" si="41"/>
        <v>0</v>
      </c>
      <c r="N438" s="5"/>
      <c r="O438" s="5" t="str">
        <f t="shared" si="37"/>
        <v/>
      </c>
      <c r="P438" t="str">
        <f>IF(OR(B438="",E438=""),"",IF(AND(E438&gt;=IFERROR(INDEX(REFERENTIEL_BUDGET!$C$2:$C$101,MATCH(B438,REFERENTIEL_BUDGET!$A$2:$A$101,0)),""),E438&lt;=IFERROR(INDEX(REFERENTIEL_BUDGET!$D$2:$D$101,MATCH(B438,REFERENTIEL_BUDGET!$A$2:$A$101,0)),"")),"Oui","Non"))</f>
        <v/>
      </c>
      <c r="Q438" t="str">
        <f t="shared" si="38"/>
        <v/>
      </c>
      <c r="R438" t="str">
        <f t="shared" si="39"/>
        <v/>
      </c>
      <c r="S438" t="str">
        <f t="shared" si="40"/>
        <v/>
      </c>
    </row>
    <row r="439" spans="1:19">
      <c r="A439">
        <f t="shared" si="36"/>
        <v>438</v>
      </c>
      <c r="E439" s="3"/>
      <c r="L439" s="5"/>
      <c r="M439" s="5">
        <f t="shared" si="41"/>
        <v>0</v>
      </c>
      <c r="N439" s="5"/>
      <c r="O439" s="5" t="str">
        <f t="shared" si="37"/>
        <v/>
      </c>
      <c r="P439" t="str">
        <f>IF(OR(B439="",E439=""),"",IF(AND(E439&gt;=IFERROR(INDEX(REFERENTIEL_BUDGET!$C$2:$C$101,MATCH(B439,REFERENTIEL_BUDGET!$A$2:$A$101,0)),""),E439&lt;=IFERROR(INDEX(REFERENTIEL_BUDGET!$D$2:$D$101,MATCH(B439,REFERENTIEL_BUDGET!$A$2:$A$101,0)),"")),"Oui","Non"))</f>
        <v/>
      </c>
      <c r="Q439" t="str">
        <f t="shared" si="38"/>
        <v/>
      </c>
      <c r="R439" t="str">
        <f t="shared" si="39"/>
        <v/>
      </c>
      <c r="S439" t="str">
        <f t="shared" si="40"/>
        <v/>
      </c>
    </row>
    <row r="440" spans="1:19">
      <c r="A440">
        <f t="shared" si="36"/>
        <v>439</v>
      </c>
      <c r="E440" s="3"/>
      <c r="L440" s="5"/>
      <c r="M440" s="5">
        <f t="shared" si="41"/>
        <v>0</v>
      </c>
      <c r="N440" s="5"/>
      <c r="O440" s="5" t="str">
        <f t="shared" si="37"/>
        <v/>
      </c>
      <c r="P440" t="str">
        <f>IF(OR(B440="",E440=""),"",IF(AND(E440&gt;=IFERROR(INDEX(REFERENTIEL_BUDGET!$C$2:$C$101,MATCH(B440,REFERENTIEL_BUDGET!$A$2:$A$101,0)),""),E440&lt;=IFERROR(INDEX(REFERENTIEL_BUDGET!$D$2:$D$101,MATCH(B440,REFERENTIEL_BUDGET!$A$2:$A$101,0)),"")),"Oui","Non"))</f>
        <v/>
      </c>
      <c r="Q440" t="str">
        <f t="shared" si="38"/>
        <v/>
      </c>
      <c r="R440" t="str">
        <f t="shared" si="39"/>
        <v/>
      </c>
      <c r="S440" t="str">
        <f t="shared" si="40"/>
        <v/>
      </c>
    </row>
    <row r="441" spans="1:19">
      <c r="A441">
        <f t="shared" si="36"/>
        <v>440</v>
      </c>
      <c r="E441" s="3"/>
      <c r="L441" s="5"/>
      <c r="M441" s="5">
        <f t="shared" si="41"/>
        <v>0</v>
      </c>
      <c r="N441" s="5"/>
      <c r="O441" s="5" t="str">
        <f t="shared" si="37"/>
        <v/>
      </c>
      <c r="P441" t="str">
        <f>IF(OR(B441="",E441=""),"",IF(AND(E441&gt;=IFERROR(INDEX(REFERENTIEL_BUDGET!$C$2:$C$101,MATCH(B441,REFERENTIEL_BUDGET!$A$2:$A$101,0)),""),E441&lt;=IFERROR(INDEX(REFERENTIEL_BUDGET!$D$2:$D$101,MATCH(B441,REFERENTIEL_BUDGET!$A$2:$A$101,0)),"")),"Oui","Non"))</f>
        <v/>
      </c>
      <c r="Q441" t="str">
        <f t="shared" si="38"/>
        <v/>
      </c>
      <c r="R441" t="str">
        <f t="shared" si="39"/>
        <v/>
      </c>
      <c r="S441" t="str">
        <f t="shared" si="40"/>
        <v/>
      </c>
    </row>
    <row r="442" spans="1:19">
      <c r="A442">
        <f t="shared" si="36"/>
        <v>441</v>
      </c>
      <c r="E442" s="3"/>
      <c r="L442" s="5"/>
      <c r="M442" s="5">
        <f t="shared" si="41"/>
        <v>0</v>
      </c>
      <c r="N442" s="5"/>
      <c r="O442" s="5" t="str">
        <f t="shared" si="37"/>
        <v/>
      </c>
      <c r="P442" t="str">
        <f>IF(OR(B442="",E442=""),"",IF(AND(E442&gt;=IFERROR(INDEX(REFERENTIEL_BUDGET!$C$2:$C$101,MATCH(B442,REFERENTIEL_BUDGET!$A$2:$A$101,0)),""),E442&lt;=IFERROR(INDEX(REFERENTIEL_BUDGET!$D$2:$D$101,MATCH(B442,REFERENTIEL_BUDGET!$A$2:$A$101,0)),"")),"Oui","Non"))</f>
        <v/>
      </c>
      <c r="Q442" t="str">
        <f t="shared" si="38"/>
        <v/>
      </c>
      <c r="R442" t="str">
        <f t="shared" si="39"/>
        <v/>
      </c>
      <c r="S442" t="str">
        <f t="shared" si="40"/>
        <v/>
      </c>
    </row>
    <row r="443" spans="1:19">
      <c r="A443">
        <f t="shared" si="36"/>
        <v>442</v>
      </c>
      <c r="E443" s="3"/>
      <c r="L443" s="5"/>
      <c r="M443" s="5">
        <f t="shared" si="41"/>
        <v>0</v>
      </c>
      <c r="N443" s="5"/>
      <c r="O443" s="5" t="str">
        <f t="shared" si="37"/>
        <v/>
      </c>
      <c r="P443" t="str">
        <f>IF(OR(B443="",E443=""),"",IF(AND(E443&gt;=IFERROR(INDEX(REFERENTIEL_BUDGET!$C$2:$C$101,MATCH(B443,REFERENTIEL_BUDGET!$A$2:$A$101,0)),""),E443&lt;=IFERROR(INDEX(REFERENTIEL_BUDGET!$D$2:$D$101,MATCH(B443,REFERENTIEL_BUDGET!$A$2:$A$101,0)),"")),"Oui","Non"))</f>
        <v/>
      </c>
      <c r="Q443" t="str">
        <f t="shared" si="38"/>
        <v/>
      </c>
      <c r="R443" t="str">
        <f t="shared" si="39"/>
        <v/>
      </c>
      <c r="S443" t="str">
        <f t="shared" si="40"/>
        <v/>
      </c>
    </row>
    <row r="444" spans="1:19">
      <c r="A444">
        <f t="shared" si="36"/>
        <v>443</v>
      </c>
      <c r="E444" s="3"/>
      <c r="L444" s="5"/>
      <c r="M444" s="5">
        <f t="shared" si="41"/>
        <v>0</v>
      </c>
      <c r="N444" s="5"/>
      <c r="O444" s="5" t="str">
        <f t="shared" si="37"/>
        <v/>
      </c>
      <c r="P444" t="str">
        <f>IF(OR(B444="",E444=""),"",IF(AND(E444&gt;=IFERROR(INDEX(REFERENTIEL_BUDGET!$C$2:$C$101,MATCH(B444,REFERENTIEL_BUDGET!$A$2:$A$101,0)),""),E444&lt;=IFERROR(INDEX(REFERENTIEL_BUDGET!$D$2:$D$101,MATCH(B444,REFERENTIEL_BUDGET!$A$2:$A$101,0)),"")),"Oui","Non"))</f>
        <v/>
      </c>
      <c r="Q444" t="str">
        <f t="shared" si="38"/>
        <v/>
      </c>
      <c r="R444" t="str">
        <f t="shared" si="39"/>
        <v/>
      </c>
      <c r="S444" t="str">
        <f t="shared" si="40"/>
        <v/>
      </c>
    </row>
    <row r="445" spans="1:19">
      <c r="A445">
        <f t="shared" si="36"/>
        <v>444</v>
      </c>
      <c r="E445" s="3"/>
      <c r="L445" s="5"/>
      <c r="M445" s="5">
        <f t="shared" si="41"/>
        <v>0</v>
      </c>
      <c r="N445" s="5"/>
      <c r="O445" s="5" t="str">
        <f t="shared" si="37"/>
        <v/>
      </c>
      <c r="P445" t="str">
        <f>IF(OR(B445="",E445=""),"",IF(AND(E445&gt;=IFERROR(INDEX(REFERENTIEL_BUDGET!$C$2:$C$101,MATCH(B445,REFERENTIEL_BUDGET!$A$2:$A$101,0)),""),E445&lt;=IFERROR(INDEX(REFERENTIEL_BUDGET!$D$2:$D$101,MATCH(B445,REFERENTIEL_BUDGET!$A$2:$A$101,0)),"")),"Oui","Non"))</f>
        <v/>
      </c>
      <c r="Q445" t="str">
        <f t="shared" si="38"/>
        <v/>
      </c>
      <c r="R445" t="str">
        <f t="shared" si="39"/>
        <v/>
      </c>
      <c r="S445" t="str">
        <f t="shared" si="40"/>
        <v/>
      </c>
    </row>
    <row r="446" spans="1:19">
      <c r="A446">
        <f t="shared" si="36"/>
        <v>445</v>
      </c>
      <c r="E446" s="3"/>
      <c r="L446" s="5"/>
      <c r="M446" s="5">
        <f t="shared" si="41"/>
        <v>0</v>
      </c>
      <c r="N446" s="5"/>
      <c r="O446" s="5" t="str">
        <f t="shared" si="37"/>
        <v/>
      </c>
      <c r="P446" t="str">
        <f>IF(OR(B446="",E446=""),"",IF(AND(E446&gt;=IFERROR(INDEX(REFERENTIEL_BUDGET!$C$2:$C$101,MATCH(B446,REFERENTIEL_BUDGET!$A$2:$A$101,0)),""),E446&lt;=IFERROR(INDEX(REFERENTIEL_BUDGET!$D$2:$D$101,MATCH(B446,REFERENTIEL_BUDGET!$A$2:$A$101,0)),"")),"Oui","Non"))</f>
        <v/>
      </c>
      <c r="Q446" t="str">
        <f t="shared" si="38"/>
        <v/>
      </c>
      <c r="R446" t="str">
        <f t="shared" si="39"/>
        <v/>
      </c>
      <c r="S446" t="str">
        <f t="shared" si="40"/>
        <v/>
      </c>
    </row>
    <row r="447" spans="1:19">
      <c r="A447">
        <f t="shared" si="36"/>
        <v>446</v>
      </c>
      <c r="E447" s="3"/>
      <c r="L447" s="5"/>
      <c r="M447" s="5">
        <f t="shared" si="41"/>
        <v>0</v>
      </c>
      <c r="N447" s="5"/>
      <c r="O447" s="5" t="str">
        <f t="shared" si="37"/>
        <v/>
      </c>
      <c r="P447" t="str">
        <f>IF(OR(B447="",E447=""),"",IF(AND(E447&gt;=IFERROR(INDEX(REFERENTIEL_BUDGET!$C$2:$C$101,MATCH(B447,REFERENTIEL_BUDGET!$A$2:$A$101,0)),""),E447&lt;=IFERROR(INDEX(REFERENTIEL_BUDGET!$D$2:$D$101,MATCH(B447,REFERENTIEL_BUDGET!$A$2:$A$101,0)),"")),"Oui","Non"))</f>
        <v/>
      </c>
      <c r="Q447" t="str">
        <f t="shared" si="38"/>
        <v/>
      </c>
      <c r="R447" t="str">
        <f t="shared" si="39"/>
        <v/>
      </c>
      <c r="S447" t="str">
        <f t="shared" si="40"/>
        <v/>
      </c>
    </row>
    <row r="448" spans="1:19">
      <c r="A448">
        <f t="shared" si="36"/>
        <v>447</v>
      </c>
      <c r="E448" s="3"/>
      <c r="L448" s="5"/>
      <c r="M448" s="5">
        <f t="shared" si="41"/>
        <v>0</v>
      </c>
      <c r="N448" s="5"/>
      <c r="O448" s="5" t="str">
        <f t="shared" si="37"/>
        <v/>
      </c>
      <c r="P448" t="str">
        <f>IF(OR(B448="",E448=""),"",IF(AND(E448&gt;=IFERROR(INDEX(REFERENTIEL_BUDGET!$C$2:$C$101,MATCH(B448,REFERENTIEL_BUDGET!$A$2:$A$101,0)),""),E448&lt;=IFERROR(INDEX(REFERENTIEL_BUDGET!$D$2:$D$101,MATCH(B448,REFERENTIEL_BUDGET!$A$2:$A$101,0)),"")),"Oui","Non"))</f>
        <v/>
      </c>
      <c r="Q448" t="str">
        <f t="shared" si="38"/>
        <v/>
      </c>
      <c r="R448" t="str">
        <f t="shared" si="39"/>
        <v/>
      </c>
      <c r="S448" t="str">
        <f t="shared" si="40"/>
        <v/>
      </c>
    </row>
    <row r="449" spans="1:19">
      <c r="A449">
        <f t="shared" si="36"/>
        <v>448</v>
      </c>
      <c r="E449" s="3"/>
      <c r="L449" s="5"/>
      <c r="M449" s="5">
        <f t="shared" si="41"/>
        <v>0</v>
      </c>
      <c r="N449" s="5"/>
      <c r="O449" s="5" t="str">
        <f t="shared" si="37"/>
        <v/>
      </c>
      <c r="P449" t="str">
        <f>IF(OR(B449="",E449=""),"",IF(AND(E449&gt;=IFERROR(INDEX(REFERENTIEL_BUDGET!$C$2:$C$101,MATCH(B449,REFERENTIEL_BUDGET!$A$2:$A$101,0)),""),E449&lt;=IFERROR(INDEX(REFERENTIEL_BUDGET!$D$2:$D$101,MATCH(B449,REFERENTIEL_BUDGET!$A$2:$A$101,0)),"")),"Oui","Non"))</f>
        <v/>
      </c>
      <c r="Q449" t="str">
        <f t="shared" si="38"/>
        <v/>
      </c>
      <c r="R449" t="str">
        <f t="shared" si="39"/>
        <v/>
      </c>
      <c r="S449" t="str">
        <f t="shared" si="40"/>
        <v/>
      </c>
    </row>
    <row r="450" spans="1:19">
      <c r="A450">
        <f t="shared" ref="A450:A501" si="42">ROW()-1</f>
        <v>449</v>
      </c>
      <c r="E450" s="3"/>
      <c r="L450" s="5"/>
      <c r="M450" s="5">
        <f t="shared" si="41"/>
        <v>0</v>
      </c>
      <c r="N450" s="5"/>
      <c r="O450" s="5" t="str">
        <f t="shared" ref="O450:O501" si="43">IF(OR(M450="",N450=""),"",N450-M450)</f>
        <v/>
      </c>
      <c r="P450" t="str">
        <f>IF(OR(B450="",E450=""),"",IF(AND(E450&gt;=IFERROR(INDEX(REFERENTIEL_BUDGET!$C$2:$C$101,MATCH(B450,REFERENTIEL_BUDGET!$A$2:$A$101,0)),""),E450&lt;=IFERROR(INDEX(REFERENTIEL_BUDGET!$D$2:$D$101,MATCH(B450,REFERENTIEL_BUDGET!$A$2:$A$101,0)),"")),"Oui","Non"))</f>
        <v/>
      </c>
      <c r="Q450" t="str">
        <f t="shared" ref="Q450:Q501" si="44">IF(J450="","",IF(AND(J450="Présent",K450&lt;&gt;""),"Oui",IF(J450="Absent","Non","À vérifier")))</f>
        <v/>
      </c>
      <c r="R450" t="str">
        <f t="shared" ref="R450:R501" si="45">IF(OR(M450="",N450=""),"",IF(O450=0,"Oui","Non"))</f>
        <v/>
      </c>
      <c r="S450" t="str">
        <f t="shared" ref="S450:S501" si="46">IF(B450="","",IF(P450="Non","DATE HORS PÉRIODE",IF(Q450="Non","PAIEMENT SANS PRÉSENCE",IF(Q450="À vérifier","PRÉSENCE À VÉRIFIER",IF(R450="Non","MONTANT NON CONFORME","CONFORME")))))</f>
        <v/>
      </c>
    </row>
    <row r="451" spans="1:19">
      <c r="A451">
        <f t="shared" si="42"/>
        <v>450</v>
      </c>
      <c r="E451" s="3"/>
      <c r="L451" s="5"/>
      <c r="M451" s="5">
        <f t="shared" ref="M451:M501" si="47">+COUNTIF(F451:J451,"Présent")*L451</f>
        <v>0</v>
      </c>
      <c r="N451" s="5"/>
      <c r="O451" s="5" t="str">
        <f t="shared" si="43"/>
        <v/>
      </c>
      <c r="P451" t="str">
        <f>IF(OR(B451="",E451=""),"",IF(AND(E451&gt;=IFERROR(INDEX(REFERENTIEL_BUDGET!$C$2:$C$101,MATCH(B451,REFERENTIEL_BUDGET!$A$2:$A$101,0)),""),E451&lt;=IFERROR(INDEX(REFERENTIEL_BUDGET!$D$2:$D$101,MATCH(B451,REFERENTIEL_BUDGET!$A$2:$A$101,0)),"")),"Oui","Non"))</f>
        <v/>
      </c>
      <c r="Q451" t="str">
        <f t="shared" si="44"/>
        <v/>
      </c>
      <c r="R451" t="str">
        <f t="shared" si="45"/>
        <v/>
      </c>
      <c r="S451" t="str">
        <f t="shared" si="46"/>
        <v/>
      </c>
    </row>
    <row r="452" spans="1:19">
      <c r="A452">
        <f t="shared" si="42"/>
        <v>451</v>
      </c>
      <c r="E452" s="3"/>
      <c r="L452" s="5"/>
      <c r="M452" s="5">
        <f t="shared" si="47"/>
        <v>0</v>
      </c>
      <c r="N452" s="5"/>
      <c r="O452" s="5" t="str">
        <f t="shared" si="43"/>
        <v/>
      </c>
      <c r="P452" t="str">
        <f>IF(OR(B452="",E452=""),"",IF(AND(E452&gt;=IFERROR(INDEX(REFERENTIEL_BUDGET!$C$2:$C$101,MATCH(B452,REFERENTIEL_BUDGET!$A$2:$A$101,0)),""),E452&lt;=IFERROR(INDEX(REFERENTIEL_BUDGET!$D$2:$D$101,MATCH(B452,REFERENTIEL_BUDGET!$A$2:$A$101,0)),"")),"Oui","Non"))</f>
        <v/>
      </c>
      <c r="Q452" t="str">
        <f t="shared" si="44"/>
        <v/>
      </c>
      <c r="R452" t="str">
        <f t="shared" si="45"/>
        <v/>
      </c>
      <c r="S452" t="str">
        <f t="shared" si="46"/>
        <v/>
      </c>
    </row>
    <row r="453" spans="1:19">
      <c r="A453">
        <f t="shared" si="42"/>
        <v>452</v>
      </c>
      <c r="E453" s="3"/>
      <c r="L453" s="5"/>
      <c r="M453" s="5">
        <f t="shared" si="47"/>
        <v>0</v>
      </c>
      <c r="N453" s="5"/>
      <c r="O453" s="5" t="str">
        <f t="shared" si="43"/>
        <v/>
      </c>
      <c r="P453" t="str">
        <f>IF(OR(B453="",E453=""),"",IF(AND(E453&gt;=IFERROR(INDEX(REFERENTIEL_BUDGET!$C$2:$C$101,MATCH(B453,REFERENTIEL_BUDGET!$A$2:$A$101,0)),""),E453&lt;=IFERROR(INDEX(REFERENTIEL_BUDGET!$D$2:$D$101,MATCH(B453,REFERENTIEL_BUDGET!$A$2:$A$101,0)),"")),"Oui","Non"))</f>
        <v/>
      </c>
      <c r="Q453" t="str">
        <f t="shared" si="44"/>
        <v/>
      </c>
      <c r="R453" t="str">
        <f t="shared" si="45"/>
        <v/>
      </c>
      <c r="S453" t="str">
        <f t="shared" si="46"/>
        <v/>
      </c>
    </row>
    <row r="454" spans="1:19">
      <c r="A454">
        <f t="shared" si="42"/>
        <v>453</v>
      </c>
      <c r="E454" s="3"/>
      <c r="L454" s="5"/>
      <c r="M454" s="5">
        <f t="shared" si="47"/>
        <v>0</v>
      </c>
      <c r="N454" s="5"/>
      <c r="O454" s="5" t="str">
        <f t="shared" si="43"/>
        <v/>
      </c>
      <c r="P454" t="str">
        <f>IF(OR(B454="",E454=""),"",IF(AND(E454&gt;=IFERROR(INDEX(REFERENTIEL_BUDGET!$C$2:$C$101,MATCH(B454,REFERENTIEL_BUDGET!$A$2:$A$101,0)),""),E454&lt;=IFERROR(INDEX(REFERENTIEL_BUDGET!$D$2:$D$101,MATCH(B454,REFERENTIEL_BUDGET!$A$2:$A$101,0)),"")),"Oui","Non"))</f>
        <v/>
      </c>
      <c r="Q454" t="str">
        <f t="shared" si="44"/>
        <v/>
      </c>
      <c r="R454" t="str">
        <f t="shared" si="45"/>
        <v/>
      </c>
      <c r="S454" t="str">
        <f t="shared" si="46"/>
        <v/>
      </c>
    </row>
    <row r="455" spans="1:19">
      <c r="A455">
        <f t="shared" si="42"/>
        <v>454</v>
      </c>
      <c r="E455" s="3"/>
      <c r="L455" s="5"/>
      <c r="M455" s="5">
        <f t="shared" si="47"/>
        <v>0</v>
      </c>
      <c r="N455" s="5"/>
      <c r="O455" s="5" t="str">
        <f t="shared" si="43"/>
        <v/>
      </c>
      <c r="P455" t="str">
        <f>IF(OR(B455="",E455=""),"",IF(AND(E455&gt;=IFERROR(INDEX(REFERENTIEL_BUDGET!$C$2:$C$101,MATCH(B455,REFERENTIEL_BUDGET!$A$2:$A$101,0)),""),E455&lt;=IFERROR(INDEX(REFERENTIEL_BUDGET!$D$2:$D$101,MATCH(B455,REFERENTIEL_BUDGET!$A$2:$A$101,0)),"")),"Oui","Non"))</f>
        <v/>
      </c>
      <c r="Q455" t="str">
        <f t="shared" si="44"/>
        <v/>
      </c>
      <c r="R455" t="str">
        <f t="shared" si="45"/>
        <v/>
      </c>
      <c r="S455" t="str">
        <f t="shared" si="46"/>
        <v/>
      </c>
    </row>
    <row r="456" spans="1:19">
      <c r="A456">
        <f t="shared" si="42"/>
        <v>455</v>
      </c>
      <c r="E456" s="3"/>
      <c r="L456" s="5"/>
      <c r="M456" s="5">
        <f t="shared" si="47"/>
        <v>0</v>
      </c>
      <c r="N456" s="5"/>
      <c r="O456" s="5" t="str">
        <f t="shared" si="43"/>
        <v/>
      </c>
      <c r="P456" t="str">
        <f>IF(OR(B456="",E456=""),"",IF(AND(E456&gt;=IFERROR(INDEX(REFERENTIEL_BUDGET!$C$2:$C$101,MATCH(B456,REFERENTIEL_BUDGET!$A$2:$A$101,0)),""),E456&lt;=IFERROR(INDEX(REFERENTIEL_BUDGET!$D$2:$D$101,MATCH(B456,REFERENTIEL_BUDGET!$A$2:$A$101,0)),"")),"Oui","Non"))</f>
        <v/>
      </c>
      <c r="Q456" t="str">
        <f t="shared" si="44"/>
        <v/>
      </c>
      <c r="R456" t="str">
        <f t="shared" si="45"/>
        <v/>
      </c>
      <c r="S456" t="str">
        <f t="shared" si="46"/>
        <v/>
      </c>
    </row>
    <row r="457" spans="1:19">
      <c r="A457">
        <f t="shared" si="42"/>
        <v>456</v>
      </c>
      <c r="E457" s="3"/>
      <c r="L457" s="5"/>
      <c r="M457" s="5">
        <f t="shared" si="47"/>
        <v>0</v>
      </c>
      <c r="N457" s="5"/>
      <c r="O457" s="5" t="str">
        <f t="shared" si="43"/>
        <v/>
      </c>
      <c r="P457" t="str">
        <f>IF(OR(B457="",E457=""),"",IF(AND(E457&gt;=IFERROR(INDEX(REFERENTIEL_BUDGET!$C$2:$C$101,MATCH(B457,REFERENTIEL_BUDGET!$A$2:$A$101,0)),""),E457&lt;=IFERROR(INDEX(REFERENTIEL_BUDGET!$D$2:$D$101,MATCH(B457,REFERENTIEL_BUDGET!$A$2:$A$101,0)),"")),"Oui","Non"))</f>
        <v/>
      </c>
      <c r="Q457" t="str">
        <f t="shared" si="44"/>
        <v/>
      </c>
      <c r="R457" t="str">
        <f t="shared" si="45"/>
        <v/>
      </c>
      <c r="S457" t="str">
        <f t="shared" si="46"/>
        <v/>
      </c>
    </row>
    <row r="458" spans="1:19">
      <c r="A458">
        <f t="shared" si="42"/>
        <v>457</v>
      </c>
      <c r="E458" s="3"/>
      <c r="L458" s="5"/>
      <c r="M458" s="5">
        <f t="shared" si="47"/>
        <v>0</v>
      </c>
      <c r="N458" s="5"/>
      <c r="O458" s="5" t="str">
        <f t="shared" si="43"/>
        <v/>
      </c>
      <c r="P458" t="str">
        <f>IF(OR(B458="",E458=""),"",IF(AND(E458&gt;=IFERROR(INDEX(REFERENTIEL_BUDGET!$C$2:$C$101,MATCH(B458,REFERENTIEL_BUDGET!$A$2:$A$101,0)),""),E458&lt;=IFERROR(INDEX(REFERENTIEL_BUDGET!$D$2:$D$101,MATCH(B458,REFERENTIEL_BUDGET!$A$2:$A$101,0)),"")),"Oui","Non"))</f>
        <v/>
      </c>
      <c r="Q458" t="str">
        <f t="shared" si="44"/>
        <v/>
      </c>
      <c r="R458" t="str">
        <f t="shared" si="45"/>
        <v/>
      </c>
      <c r="S458" t="str">
        <f t="shared" si="46"/>
        <v/>
      </c>
    </row>
    <row r="459" spans="1:19">
      <c r="A459">
        <f t="shared" si="42"/>
        <v>458</v>
      </c>
      <c r="E459" s="3"/>
      <c r="L459" s="5"/>
      <c r="M459" s="5">
        <f t="shared" si="47"/>
        <v>0</v>
      </c>
      <c r="N459" s="5"/>
      <c r="O459" s="5" t="str">
        <f t="shared" si="43"/>
        <v/>
      </c>
      <c r="P459" t="str">
        <f>IF(OR(B459="",E459=""),"",IF(AND(E459&gt;=IFERROR(INDEX(REFERENTIEL_BUDGET!$C$2:$C$101,MATCH(B459,REFERENTIEL_BUDGET!$A$2:$A$101,0)),""),E459&lt;=IFERROR(INDEX(REFERENTIEL_BUDGET!$D$2:$D$101,MATCH(B459,REFERENTIEL_BUDGET!$A$2:$A$101,0)),"")),"Oui","Non"))</f>
        <v/>
      </c>
      <c r="Q459" t="str">
        <f t="shared" si="44"/>
        <v/>
      </c>
      <c r="R459" t="str">
        <f t="shared" si="45"/>
        <v/>
      </c>
      <c r="S459" t="str">
        <f t="shared" si="46"/>
        <v/>
      </c>
    </row>
    <row r="460" spans="1:19">
      <c r="A460">
        <f t="shared" si="42"/>
        <v>459</v>
      </c>
      <c r="E460" s="3"/>
      <c r="L460" s="5"/>
      <c r="M460" s="5">
        <f t="shared" si="47"/>
        <v>0</v>
      </c>
      <c r="N460" s="5"/>
      <c r="O460" s="5" t="str">
        <f t="shared" si="43"/>
        <v/>
      </c>
      <c r="P460" t="str">
        <f>IF(OR(B460="",E460=""),"",IF(AND(E460&gt;=IFERROR(INDEX(REFERENTIEL_BUDGET!$C$2:$C$101,MATCH(B460,REFERENTIEL_BUDGET!$A$2:$A$101,0)),""),E460&lt;=IFERROR(INDEX(REFERENTIEL_BUDGET!$D$2:$D$101,MATCH(B460,REFERENTIEL_BUDGET!$A$2:$A$101,0)),"")),"Oui","Non"))</f>
        <v/>
      </c>
      <c r="Q460" t="str">
        <f t="shared" si="44"/>
        <v/>
      </c>
      <c r="R460" t="str">
        <f t="shared" si="45"/>
        <v/>
      </c>
      <c r="S460" t="str">
        <f t="shared" si="46"/>
        <v/>
      </c>
    </row>
    <row r="461" spans="1:19">
      <c r="A461">
        <f t="shared" si="42"/>
        <v>460</v>
      </c>
      <c r="E461" s="3"/>
      <c r="L461" s="5"/>
      <c r="M461" s="5">
        <f t="shared" si="47"/>
        <v>0</v>
      </c>
      <c r="N461" s="5"/>
      <c r="O461" s="5" t="str">
        <f t="shared" si="43"/>
        <v/>
      </c>
      <c r="P461" t="str">
        <f>IF(OR(B461="",E461=""),"",IF(AND(E461&gt;=IFERROR(INDEX(REFERENTIEL_BUDGET!$C$2:$C$101,MATCH(B461,REFERENTIEL_BUDGET!$A$2:$A$101,0)),""),E461&lt;=IFERROR(INDEX(REFERENTIEL_BUDGET!$D$2:$D$101,MATCH(B461,REFERENTIEL_BUDGET!$A$2:$A$101,0)),"")),"Oui","Non"))</f>
        <v/>
      </c>
      <c r="Q461" t="str">
        <f t="shared" si="44"/>
        <v/>
      </c>
      <c r="R461" t="str">
        <f t="shared" si="45"/>
        <v/>
      </c>
      <c r="S461" t="str">
        <f t="shared" si="46"/>
        <v/>
      </c>
    </row>
    <row r="462" spans="1:19">
      <c r="A462">
        <f t="shared" si="42"/>
        <v>461</v>
      </c>
      <c r="E462" s="3"/>
      <c r="L462" s="5"/>
      <c r="M462" s="5">
        <f t="shared" si="47"/>
        <v>0</v>
      </c>
      <c r="N462" s="5"/>
      <c r="O462" s="5" t="str">
        <f t="shared" si="43"/>
        <v/>
      </c>
      <c r="P462" t="str">
        <f>IF(OR(B462="",E462=""),"",IF(AND(E462&gt;=IFERROR(INDEX(REFERENTIEL_BUDGET!$C$2:$C$101,MATCH(B462,REFERENTIEL_BUDGET!$A$2:$A$101,0)),""),E462&lt;=IFERROR(INDEX(REFERENTIEL_BUDGET!$D$2:$D$101,MATCH(B462,REFERENTIEL_BUDGET!$A$2:$A$101,0)),"")),"Oui","Non"))</f>
        <v/>
      </c>
      <c r="Q462" t="str">
        <f t="shared" si="44"/>
        <v/>
      </c>
      <c r="R462" t="str">
        <f t="shared" si="45"/>
        <v/>
      </c>
      <c r="S462" t="str">
        <f t="shared" si="46"/>
        <v/>
      </c>
    </row>
    <row r="463" spans="1:19">
      <c r="A463">
        <f t="shared" si="42"/>
        <v>462</v>
      </c>
      <c r="E463" s="3"/>
      <c r="L463" s="5"/>
      <c r="M463" s="5">
        <f t="shared" si="47"/>
        <v>0</v>
      </c>
      <c r="N463" s="5"/>
      <c r="O463" s="5" t="str">
        <f t="shared" si="43"/>
        <v/>
      </c>
      <c r="P463" t="str">
        <f>IF(OR(B463="",E463=""),"",IF(AND(E463&gt;=IFERROR(INDEX(REFERENTIEL_BUDGET!$C$2:$C$101,MATCH(B463,REFERENTIEL_BUDGET!$A$2:$A$101,0)),""),E463&lt;=IFERROR(INDEX(REFERENTIEL_BUDGET!$D$2:$D$101,MATCH(B463,REFERENTIEL_BUDGET!$A$2:$A$101,0)),"")),"Oui","Non"))</f>
        <v/>
      </c>
      <c r="Q463" t="str">
        <f t="shared" si="44"/>
        <v/>
      </c>
      <c r="R463" t="str">
        <f t="shared" si="45"/>
        <v/>
      </c>
      <c r="S463" t="str">
        <f t="shared" si="46"/>
        <v/>
      </c>
    </row>
    <row r="464" spans="1:19">
      <c r="A464">
        <f t="shared" si="42"/>
        <v>463</v>
      </c>
      <c r="E464" s="3"/>
      <c r="L464" s="5"/>
      <c r="M464" s="5">
        <f t="shared" si="47"/>
        <v>0</v>
      </c>
      <c r="N464" s="5"/>
      <c r="O464" s="5" t="str">
        <f t="shared" si="43"/>
        <v/>
      </c>
      <c r="P464" t="str">
        <f>IF(OR(B464="",E464=""),"",IF(AND(E464&gt;=IFERROR(INDEX(REFERENTIEL_BUDGET!$C$2:$C$101,MATCH(B464,REFERENTIEL_BUDGET!$A$2:$A$101,0)),""),E464&lt;=IFERROR(INDEX(REFERENTIEL_BUDGET!$D$2:$D$101,MATCH(B464,REFERENTIEL_BUDGET!$A$2:$A$101,0)),"")),"Oui","Non"))</f>
        <v/>
      </c>
      <c r="Q464" t="str">
        <f t="shared" si="44"/>
        <v/>
      </c>
      <c r="R464" t="str">
        <f t="shared" si="45"/>
        <v/>
      </c>
      <c r="S464" t="str">
        <f t="shared" si="46"/>
        <v/>
      </c>
    </row>
    <row r="465" spans="1:19">
      <c r="A465">
        <f t="shared" si="42"/>
        <v>464</v>
      </c>
      <c r="E465" s="3"/>
      <c r="L465" s="5"/>
      <c r="M465" s="5">
        <f t="shared" si="47"/>
        <v>0</v>
      </c>
      <c r="N465" s="5"/>
      <c r="O465" s="5" t="str">
        <f t="shared" si="43"/>
        <v/>
      </c>
      <c r="P465" t="str">
        <f>IF(OR(B465="",E465=""),"",IF(AND(E465&gt;=IFERROR(INDEX(REFERENTIEL_BUDGET!$C$2:$C$101,MATCH(B465,REFERENTIEL_BUDGET!$A$2:$A$101,0)),""),E465&lt;=IFERROR(INDEX(REFERENTIEL_BUDGET!$D$2:$D$101,MATCH(B465,REFERENTIEL_BUDGET!$A$2:$A$101,0)),"")),"Oui","Non"))</f>
        <v/>
      </c>
      <c r="Q465" t="str">
        <f t="shared" si="44"/>
        <v/>
      </c>
      <c r="R465" t="str">
        <f t="shared" si="45"/>
        <v/>
      </c>
      <c r="S465" t="str">
        <f t="shared" si="46"/>
        <v/>
      </c>
    </row>
    <row r="466" spans="1:19">
      <c r="A466">
        <f t="shared" si="42"/>
        <v>465</v>
      </c>
      <c r="E466" s="3"/>
      <c r="L466" s="5"/>
      <c r="M466" s="5">
        <f t="shared" si="47"/>
        <v>0</v>
      </c>
      <c r="N466" s="5"/>
      <c r="O466" s="5" t="str">
        <f t="shared" si="43"/>
        <v/>
      </c>
      <c r="P466" t="str">
        <f>IF(OR(B466="",E466=""),"",IF(AND(E466&gt;=IFERROR(INDEX(REFERENTIEL_BUDGET!$C$2:$C$101,MATCH(B466,REFERENTIEL_BUDGET!$A$2:$A$101,0)),""),E466&lt;=IFERROR(INDEX(REFERENTIEL_BUDGET!$D$2:$D$101,MATCH(B466,REFERENTIEL_BUDGET!$A$2:$A$101,0)),"")),"Oui","Non"))</f>
        <v/>
      </c>
      <c r="Q466" t="str">
        <f t="shared" si="44"/>
        <v/>
      </c>
      <c r="R466" t="str">
        <f t="shared" si="45"/>
        <v/>
      </c>
      <c r="S466" t="str">
        <f t="shared" si="46"/>
        <v/>
      </c>
    </row>
    <row r="467" spans="1:19">
      <c r="A467">
        <f t="shared" si="42"/>
        <v>466</v>
      </c>
      <c r="E467" s="3"/>
      <c r="L467" s="5"/>
      <c r="M467" s="5">
        <f t="shared" si="47"/>
        <v>0</v>
      </c>
      <c r="N467" s="5"/>
      <c r="O467" s="5" t="str">
        <f t="shared" si="43"/>
        <v/>
      </c>
      <c r="P467" t="str">
        <f>IF(OR(B467="",E467=""),"",IF(AND(E467&gt;=IFERROR(INDEX(REFERENTIEL_BUDGET!$C$2:$C$101,MATCH(B467,REFERENTIEL_BUDGET!$A$2:$A$101,0)),""),E467&lt;=IFERROR(INDEX(REFERENTIEL_BUDGET!$D$2:$D$101,MATCH(B467,REFERENTIEL_BUDGET!$A$2:$A$101,0)),"")),"Oui","Non"))</f>
        <v/>
      </c>
      <c r="Q467" t="str">
        <f t="shared" si="44"/>
        <v/>
      </c>
      <c r="R467" t="str">
        <f t="shared" si="45"/>
        <v/>
      </c>
      <c r="S467" t="str">
        <f t="shared" si="46"/>
        <v/>
      </c>
    </row>
    <row r="468" spans="1:19">
      <c r="A468">
        <f t="shared" si="42"/>
        <v>467</v>
      </c>
      <c r="E468" s="3"/>
      <c r="L468" s="5"/>
      <c r="M468" s="5">
        <f t="shared" si="47"/>
        <v>0</v>
      </c>
      <c r="N468" s="5"/>
      <c r="O468" s="5" t="str">
        <f t="shared" si="43"/>
        <v/>
      </c>
      <c r="P468" t="str">
        <f>IF(OR(B468="",E468=""),"",IF(AND(E468&gt;=IFERROR(INDEX(REFERENTIEL_BUDGET!$C$2:$C$101,MATCH(B468,REFERENTIEL_BUDGET!$A$2:$A$101,0)),""),E468&lt;=IFERROR(INDEX(REFERENTIEL_BUDGET!$D$2:$D$101,MATCH(B468,REFERENTIEL_BUDGET!$A$2:$A$101,0)),"")),"Oui","Non"))</f>
        <v/>
      </c>
      <c r="Q468" t="str">
        <f t="shared" si="44"/>
        <v/>
      </c>
      <c r="R468" t="str">
        <f t="shared" si="45"/>
        <v/>
      </c>
      <c r="S468" t="str">
        <f t="shared" si="46"/>
        <v/>
      </c>
    </row>
    <row r="469" spans="1:19">
      <c r="A469">
        <f t="shared" si="42"/>
        <v>468</v>
      </c>
      <c r="E469" s="3"/>
      <c r="L469" s="5"/>
      <c r="M469" s="5">
        <f t="shared" si="47"/>
        <v>0</v>
      </c>
      <c r="N469" s="5"/>
      <c r="O469" s="5" t="str">
        <f t="shared" si="43"/>
        <v/>
      </c>
      <c r="P469" t="str">
        <f>IF(OR(B469="",E469=""),"",IF(AND(E469&gt;=IFERROR(INDEX(REFERENTIEL_BUDGET!$C$2:$C$101,MATCH(B469,REFERENTIEL_BUDGET!$A$2:$A$101,0)),""),E469&lt;=IFERROR(INDEX(REFERENTIEL_BUDGET!$D$2:$D$101,MATCH(B469,REFERENTIEL_BUDGET!$A$2:$A$101,0)),"")),"Oui","Non"))</f>
        <v/>
      </c>
      <c r="Q469" t="str">
        <f t="shared" si="44"/>
        <v/>
      </c>
      <c r="R469" t="str">
        <f t="shared" si="45"/>
        <v/>
      </c>
      <c r="S469" t="str">
        <f t="shared" si="46"/>
        <v/>
      </c>
    </row>
    <row r="470" spans="1:19">
      <c r="A470">
        <f t="shared" si="42"/>
        <v>469</v>
      </c>
      <c r="E470" s="3"/>
      <c r="L470" s="5"/>
      <c r="M470" s="5">
        <f t="shared" si="47"/>
        <v>0</v>
      </c>
      <c r="N470" s="5"/>
      <c r="O470" s="5" t="str">
        <f t="shared" si="43"/>
        <v/>
      </c>
      <c r="P470" t="str">
        <f>IF(OR(B470="",E470=""),"",IF(AND(E470&gt;=IFERROR(INDEX(REFERENTIEL_BUDGET!$C$2:$C$101,MATCH(B470,REFERENTIEL_BUDGET!$A$2:$A$101,0)),""),E470&lt;=IFERROR(INDEX(REFERENTIEL_BUDGET!$D$2:$D$101,MATCH(B470,REFERENTIEL_BUDGET!$A$2:$A$101,0)),"")),"Oui","Non"))</f>
        <v/>
      </c>
      <c r="Q470" t="str">
        <f t="shared" si="44"/>
        <v/>
      </c>
      <c r="R470" t="str">
        <f t="shared" si="45"/>
        <v/>
      </c>
      <c r="S470" t="str">
        <f t="shared" si="46"/>
        <v/>
      </c>
    </row>
    <row r="471" spans="1:19">
      <c r="A471">
        <f t="shared" si="42"/>
        <v>470</v>
      </c>
      <c r="E471" s="3"/>
      <c r="L471" s="5"/>
      <c r="M471" s="5">
        <f t="shared" si="47"/>
        <v>0</v>
      </c>
      <c r="N471" s="5"/>
      <c r="O471" s="5" t="str">
        <f t="shared" si="43"/>
        <v/>
      </c>
      <c r="P471" t="str">
        <f>IF(OR(B471="",E471=""),"",IF(AND(E471&gt;=IFERROR(INDEX(REFERENTIEL_BUDGET!$C$2:$C$101,MATCH(B471,REFERENTIEL_BUDGET!$A$2:$A$101,0)),""),E471&lt;=IFERROR(INDEX(REFERENTIEL_BUDGET!$D$2:$D$101,MATCH(B471,REFERENTIEL_BUDGET!$A$2:$A$101,0)),"")),"Oui","Non"))</f>
        <v/>
      </c>
      <c r="Q471" t="str">
        <f t="shared" si="44"/>
        <v/>
      </c>
      <c r="R471" t="str">
        <f t="shared" si="45"/>
        <v/>
      </c>
      <c r="S471" t="str">
        <f t="shared" si="46"/>
        <v/>
      </c>
    </row>
    <row r="472" spans="1:19">
      <c r="A472">
        <f t="shared" si="42"/>
        <v>471</v>
      </c>
      <c r="E472" s="3"/>
      <c r="L472" s="5"/>
      <c r="M472" s="5">
        <f t="shared" si="47"/>
        <v>0</v>
      </c>
      <c r="N472" s="5"/>
      <c r="O472" s="5" t="str">
        <f t="shared" si="43"/>
        <v/>
      </c>
      <c r="P472" t="str">
        <f>IF(OR(B472="",E472=""),"",IF(AND(E472&gt;=IFERROR(INDEX(REFERENTIEL_BUDGET!$C$2:$C$101,MATCH(B472,REFERENTIEL_BUDGET!$A$2:$A$101,0)),""),E472&lt;=IFERROR(INDEX(REFERENTIEL_BUDGET!$D$2:$D$101,MATCH(B472,REFERENTIEL_BUDGET!$A$2:$A$101,0)),"")),"Oui","Non"))</f>
        <v/>
      </c>
      <c r="Q472" t="str">
        <f t="shared" si="44"/>
        <v/>
      </c>
      <c r="R472" t="str">
        <f t="shared" si="45"/>
        <v/>
      </c>
      <c r="S472" t="str">
        <f t="shared" si="46"/>
        <v/>
      </c>
    </row>
    <row r="473" spans="1:19">
      <c r="A473">
        <f t="shared" si="42"/>
        <v>472</v>
      </c>
      <c r="E473" s="3"/>
      <c r="L473" s="5"/>
      <c r="M473" s="5">
        <f t="shared" si="47"/>
        <v>0</v>
      </c>
      <c r="N473" s="5"/>
      <c r="O473" s="5" t="str">
        <f t="shared" si="43"/>
        <v/>
      </c>
      <c r="P473" t="str">
        <f>IF(OR(B473="",E473=""),"",IF(AND(E473&gt;=IFERROR(INDEX(REFERENTIEL_BUDGET!$C$2:$C$101,MATCH(B473,REFERENTIEL_BUDGET!$A$2:$A$101,0)),""),E473&lt;=IFERROR(INDEX(REFERENTIEL_BUDGET!$D$2:$D$101,MATCH(B473,REFERENTIEL_BUDGET!$A$2:$A$101,0)),"")),"Oui","Non"))</f>
        <v/>
      </c>
      <c r="Q473" t="str">
        <f t="shared" si="44"/>
        <v/>
      </c>
      <c r="R473" t="str">
        <f t="shared" si="45"/>
        <v/>
      </c>
      <c r="S473" t="str">
        <f t="shared" si="46"/>
        <v/>
      </c>
    </row>
    <row r="474" spans="1:19">
      <c r="A474">
        <f t="shared" si="42"/>
        <v>473</v>
      </c>
      <c r="E474" s="3"/>
      <c r="L474" s="5"/>
      <c r="M474" s="5">
        <f t="shared" si="47"/>
        <v>0</v>
      </c>
      <c r="N474" s="5"/>
      <c r="O474" s="5" t="str">
        <f t="shared" si="43"/>
        <v/>
      </c>
      <c r="P474" t="str">
        <f>IF(OR(B474="",E474=""),"",IF(AND(E474&gt;=IFERROR(INDEX(REFERENTIEL_BUDGET!$C$2:$C$101,MATCH(B474,REFERENTIEL_BUDGET!$A$2:$A$101,0)),""),E474&lt;=IFERROR(INDEX(REFERENTIEL_BUDGET!$D$2:$D$101,MATCH(B474,REFERENTIEL_BUDGET!$A$2:$A$101,0)),"")),"Oui","Non"))</f>
        <v/>
      </c>
      <c r="Q474" t="str">
        <f t="shared" si="44"/>
        <v/>
      </c>
      <c r="R474" t="str">
        <f t="shared" si="45"/>
        <v/>
      </c>
      <c r="S474" t="str">
        <f t="shared" si="46"/>
        <v/>
      </c>
    </row>
    <row r="475" spans="1:19">
      <c r="A475">
        <f t="shared" si="42"/>
        <v>474</v>
      </c>
      <c r="E475" s="3"/>
      <c r="L475" s="5"/>
      <c r="M475" s="5">
        <f t="shared" si="47"/>
        <v>0</v>
      </c>
      <c r="N475" s="5"/>
      <c r="O475" s="5" t="str">
        <f t="shared" si="43"/>
        <v/>
      </c>
      <c r="P475" t="str">
        <f>IF(OR(B475="",E475=""),"",IF(AND(E475&gt;=IFERROR(INDEX(REFERENTIEL_BUDGET!$C$2:$C$101,MATCH(B475,REFERENTIEL_BUDGET!$A$2:$A$101,0)),""),E475&lt;=IFERROR(INDEX(REFERENTIEL_BUDGET!$D$2:$D$101,MATCH(B475,REFERENTIEL_BUDGET!$A$2:$A$101,0)),"")),"Oui","Non"))</f>
        <v/>
      </c>
      <c r="Q475" t="str">
        <f t="shared" si="44"/>
        <v/>
      </c>
      <c r="R475" t="str">
        <f t="shared" si="45"/>
        <v/>
      </c>
      <c r="S475" t="str">
        <f t="shared" si="46"/>
        <v/>
      </c>
    </row>
    <row r="476" spans="1:19">
      <c r="A476">
        <f t="shared" si="42"/>
        <v>475</v>
      </c>
      <c r="E476" s="3"/>
      <c r="L476" s="5"/>
      <c r="M476" s="5">
        <f t="shared" si="47"/>
        <v>0</v>
      </c>
      <c r="N476" s="5"/>
      <c r="O476" s="5" t="str">
        <f t="shared" si="43"/>
        <v/>
      </c>
      <c r="P476" t="str">
        <f>IF(OR(B476="",E476=""),"",IF(AND(E476&gt;=IFERROR(INDEX(REFERENTIEL_BUDGET!$C$2:$C$101,MATCH(B476,REFERENTIEL_BUDGET!$A$2:$A$101,0)),""),E476&lt;=IFERROR(INDEX(REFERENTIEL_BUDGET!$D$2:$D$101,MATCH(B476,REFERENTIEL_BUDGET!$A$2:$A$101,0)),"")),"Oui","Non"))</f>
        <v/>
      </c>
      <c r="Q476" t="str">
        <f t="shared" si="44"/>
        <v/>
      </c>
      <c r="R476" t="str">
        <f t="shared" si="45"/>
        <v/>
      </c>
      <c r="S476" t="str">
        <f t="shared" si="46"/>
        <v/>
      </c>
    </row>
    <row r="477" spans="1:19">
      <c r="A477">
        <f t="shared" si="42"/>
        <v>476</v>
      </c>
      <c r="E477" s="3"/>
      <c r="L477" s="5"/>
      <c r="M477" s="5">
        <f t="shared" si="47"/>
        <v>0</v>
      </c>
      <c r="N477" s="5"/>
      <c r="O477" s="5" t="str">
        <f t="shared" si="43"/>
        <v/>
      </c>
      <c r="P477" t="str">
        <f>IF(OR(B477="",E477=""),"",IF(AND(E477&gt;=IFERROR(INDEX(REFERENTIEL_BUDGET!$C$2:$C$101,MATCH(B477,REFERENTIEL_BUDGET!$A$2:$A$101,0)),""),E477&lt;=IFERROR(INDEX(REFERENTIEL_BUDGET!$D$2:$D$101,MATCH(B477,REFERENTIEL_BUDGET!$A$2:$A$101,0)),"")),"Oui","Non"))</f>
        <v/>
      </c>
      <c r="Q477" t="str">
        <f t="shared" si="44"/>
        <v/>
      </c>
      <c r="R477" t="str">
        <f t="shared" si="45"/>
        <v/>
      </c>
      <c r="S477" t="str">
        <f t="shared" si="46"/>
        <v/>
      </c>
    </row>
    <row r="478" spans="1:19">
      <c r="A478">
        <f t="shared" si="42"/>
        <v>477</v>
      </c>
      <c r="E478" s="3"/>
      <c r="L478" s="5"/>
      <c r="M478" s="5">
        <f t="shared" si="47"/>
        <v>0</v>
      </c>
      <c r="N478" s="5"/>
      <c r="O478" s="5" t="str">
        <f t="shared" si="43"/>
        <v/>
      </c>
      <c r="P478" t="str">
        <f>IF(OR(B478="",E478=""),"",IF(AND(E478&gt;=IFERROR(INDEX(REFERENTIEL_BUDGET!$C$2:$C$101,MATCH(B478,REFERENTIEL_BUDGET!$A$2:$A$101,0)),""),E478&lt;=IFERROR(INDEX(REFERENTIEL_BUDGET!$D$2:$D$101,MATCH(B478,REFERENTIEL_BUDGET!$A$2:$A$101,0)),"")),"Oui","Non"))</f>
        <v/>
      </c>
      <c r="Q478" t="str">
        <f t="shared" si="44"/>
        <v/>
      </c>
      <c r="R478" t="str">
        <f t="shared" si="45"/>
        <v/>
      </c>
      <c r="S478" t="str">
        <f t="shared" si="46"/>
        <v/>
      </c>
    </row>
    <row r="479" spans="1:19">
      <c r="A479">
        <f t="shared" si="42"/>
        <v>478</v>
      </c>
      <c r="E479" s="3"/>
      <c r="L479" s="5"/>
      <c r="M479" s="5">
        <f t="shared" si="47"/>
        <v>0</v>
      </c>
      <c r="N479" s="5"/>
      <c r="O479" s="5" t="str">
        <f t="shared" si="43"/>
        <v/>
      </c>
      <c r="P479" t="str">
        <f>IF(OR(B479="",E479=""),"",IF(AND(E479&gt;=IFERROR(INDEX(REFERENTIEL_BUDGET!$C$2:$C$101,MATCH(B479,REFERENTIEL_BUDGET!$A$2:$A$101,0)),""),E479&lt;=IFERROR(INDEX(REFERENTIEL_BUDGET!$D$2:$D$101,MATCH(B479,REFERENTIEL_BUDGET!$A$2:$A$101,0)),"")),"Oui","Non"))</f>
        <v/>
      </c>
      <c r="Q479" t="str">
        <f t="shared" si="44"/>
        <v/>
      </c>
      <c r="R479" t="str">
        <f t="shared" si="45"/>
        <v/>
      </c>
      <c r="S479" t="str">
        <f t="shared" si="46"/>
        <v/>
      </c>
    </row>
    <row r="480" spans="1:19">
      <c r="A480">
        <f t="shared" si="42"/>
        <v>479</v>
      </c>
      <c r="E480" s="3"/>
      <c r="L480" s="5"/>
      <c r="M480" s="5">
        <f t="shared" si="47"/>
        <v>0</v>
      </c>
      <c r="N480" s="5"/>
      <c r="O480" s="5" t="str">
        <f t="shared" si="43"/>
        <v/>
      </c>
      <c r="P480" t="str">
        <f>IF(OR(B480="",E480=""),"",IF(AND(E480&gt;=IFERROR(INDEX(REFERENTIEL_BUDGET!$C$2:$C$101,MATCH(B480,REFERENTIEL_BUDGET!$A$2:$A$101,0)),""),E480&lt;=IFERROR(INDEX(REFERENTIEL_BUDGET!$D$2:$D$101,MATCH(B480,REFERENTIEL_BUDGET!$A$2:$A$101,0)),"")),"Oui","Non"))</f>
        <v/>
      </c>
      <c r="Q480" t="str">
        <f t="shared" si="44"/>
        <v/>
      </c>
      <c r="R480" t="str">
        <f t="shared" si="45"/>
        <v/>
      </c>
      <c r="S480" t="str">
        <f t="shared" si="46"/>
        <v/>
      </c>
    </row>
    <row r="481" spans="1:19">
      <c r="A481">
        <f t="shared" si="42"/>
        <v>480</v>
      </c>
      <c r="E481" s="3"/>
      <c r="L481" s="5"/>
      <c r="M481" s="5">
        <f t="shared" si="47"/>
        <v>0</v>
      </c>
      <c r="N481" s="5"/>
      <c r="O481" s="5" t="str">
        <f t="shared" si="43"/>
        <v/>
      </c>
      <c r="P481" t="str">
        <f>IF(OR(B481="",E481=""),"",IF(AND(E481&gt;=IFERROR(INDEX(REFERENTIEL_BUDGET!$C$2:$C$101,MATCH(B481,REFERENTIEL_BUDGET!$A$2:$A$101,0)),""),E481&lt;=IFERROR(INDEX(REFERENTIEL_BUDGET!$D$2:$D$101,MATCH(B481,REFERENTIEL_BUDGET!$A$2:$A$101,0)),"")),"Oui","Non"))</f>
        <v/>
      </c>
      <c r="Q481" t="str">
        <f t="shared" si="44"/>
        <v/>
      </c>
      <c r="R481" t="str">
        <f t="shared" si="45"/>
        <v/>
      </c>
      <c r="S481" t="str">
        <f t="shared" si="46"/>
        <v/>
      </c>
    </row>
    <row r="482" spans="1:19">
      <c r="A482">
        <f t="shared" si="42"/>
        <v>481</v>
      </c>
      <c r="E482" s="3"/>
      <c r="L482" s="5"/>
      <c r="M482" s="5">
        <f t="shared" si="47"/>
        <v>0</v>
      </c>
      <c r="N482" s="5"/>
      <c r="O482" s="5" t="str">
        <f t="shared" si="43"/>
        <v/>
      </c>
      <c r="P482" t="str">
        <f>IF(OR(B482="",E482=""),"",IF(AND(E482&gt;=IFERROR(INDEX(REFERENTIEL_BUDGET!$C$2:$C$101,MATCH(B482,REFERENTIEL_BUDGET!$A$2:$A$101,0)),""),E482&lt;=IFERROR(INDEX(REFERENTIEL_BUDGET!$D$2:$D$101,MATCH(B482,REFERENTIEL_BUDGET!$A$2:$A$101,0)),"")),"Oui","Non"))</f>
        <v/>
      </c>
      <c r="Q482" t="str">
        <f t="shared" si="44"/>
        <v/>
      </c>
      <c r="R482" t="str">
        <f t="shared" si="45"/>
        <v/>
      </c>
      <c r="S482" t="str">
        <f t="shared" si="46"/>
        <v/>
      </c>
    </row>
    <row r="483" spans="1:19">
      <c r="A483">
        <f t="shared" si="42"/>
        <v>482</v>
      </c>
      <c r="E483" s="3"/>
      <c r="L483" s="5"/>
      <c r="M483" s="5">
        <f t="shared" si="47"/>
        <v>0</v>
      </c>
      <c r="N483" s="5"/>
      <c r="O483" s="5" t="str">
        <f t="shared" si="43"/>
        <v/>
      </c>
      <c r="P483" t="str">
        <f>IF(OR(B483="",E483=""),"",IF(AND(E483&gt;=IFERROR(INDEX(REFERENTIEL_BUDGET!$C$2:$C$101,MATCH(B483,REFERENTIEL_BUDGET!$A$2:$A$101,0)),""),E483&lt;=IFERROR(INDEX(REFERENTIEL_BUDGET!$D$2:$D$101,MATCH(B483,REFERENTIEL_BUDGET!$A$2:$A$101,0)),"")),"Oui","Non"))</f>
        <v/>
      </c>
      <c r="Q483" t="str">
        <f t="shared" si="44"/>
        <v/>
      </c>
      <c r="R483" t="str">
        <f t="shared" si="45"/>
        <v/>
      </c>
      <c r="S483" t="str">
        <f t="shared" si="46"/>
        <v/>
      </c>
    </row>
    <row r="484" spans="1:19">
      <c r="A484">
        <f t="shared" si="42"/>
        <v>483</v>
      </c>
      <c r="E484" s="3"/>
      <c r="L484" s="5"/>
      <c r="M484" s="5">
        <f t="shared" si="47"/>
        <v>0</v>
      </c>
      <c r="N484" s="5"/>
      <c r="O484" s="5" t="str">
        <f t="shared" si="43"/>
        <v/>
      </c>
      <c r="P484" t="str">
        <f>IF(OR(B484="",E484=""),"",IF(AND(E484&gt;=IFERROR(INDEX(REFERENTIEL_BUDGET!$C$2:$C$101,MATCH(B484,REFERENTIEL_BUDGET!$A$2:$A$101,0)),""),E484&lt;=IFERROR(INDEX(REFERENTIEL_BUDGET!$D$2:$D$101,MATCH(B484,REFERENTIEL_BUDGET!$A$2:$A$101,0)),"")),"Oui","Non"))</f>
        <v/>
      </c>
      <c r="Q484" t="str">
        <f t="shared" si="44"/>
        <v/>
      </c>
      <c r="R484" t="str">
        <f t="shared" si="45"/>
        <v/>
      </c>
      <c r="S484" t="str">
        <f t="shared" si="46"/>
        <v/>
      </c>
    </row>
    <row r="485" spans="1:19">
      <c r="A485">
        <f t="shared" si="42"/>
        <v>484</v>
      </c>
      <c r="E485" s="3"/>
      <c r="L485" s="5"/>
      <c r="M485" s="5">
        <f t="shared" si="47"/>
        <v>0</v>
      </c>
      <c r="N485" s="5"/>
      <c r="O485" s="5" t="str">
        <f t="shared" si="43"/>
        <v/>
      </c>
      <c r="P485" t="str">
        <f>IF(OR(B485="",E485=""),"",IF(AND(E485&gt;=IFERROR(INDEX(REFERENTIEL_BUDGET!$C$2:$C$101,MATCH(B485,REFERENTIEL_BUDGET!$A$2:$A$101,0)),""),E485&lt;=IFERROR(INDEX(REFERENTIEL_BUDGET!$D$2:$D$101,MATCH(B485,REFERENTIEL_BUDGET!$A$2:$A$101,0)),"")),"Oui","Non"))</f>
        <v/>
      </c>
      <c r="Q485" t="str">
        <f t="shared" si="44"/>
        <v/>
      </c>
      <c r="R485" t="str">
        <f t="shared" si="45"/>
        <v/>
      </c>
      <c r="S485" t="str">
        <f t="shared" si="46"/>
        <v/>
      </c>
    </row>
    <row r="486" spans="1:19">
      <c r="A486">
        <f t="shared" si="42"/>
        <v>485</v>
      </c>
      <c r="E486" s="3"/>
      <c r="L486" s="5"/>
      <c r="M486" s="5">
        <f t="shared" si="47"/>
        <v>0</v>
      </c>
      <c r="N486" s="5"/>
      <c r="O486" s="5" t="str">
        <f t="shared" si="43"/>
        <v/>
      </c>
      <c r="P486" t="str">
        <f>IF(OR(B486="",E486=""),"",IF(AND(E486&gt;=IFERROR(INDEX(REFERENTIEL_BUDGET!$C$2:$C$101,MATCH(B486,REFERENTIEL_BUDGET!$A$2:$A$101,0)),""),E486&lt;=IFERROR(INDEX(REFERENTIEL_BUDGET!$D$2:$D$101,MATCH(B486,REFERENTIEL_BUDGET!$A$2:$A$101,0)),"")),"Oui","Non"))</f>
        <v/>
      </c>
      <c r="Q486" t="str">
        <f t="shared" si="44"/>
        <v/>
      </c>
      <c r="R486" t="str">
        <f t="shared" si="45"/>
        <v/>
      </c>
      <c r="S486" t="str">
        <f t="shared" si="46"/>
        <v/>
      </c>
    </row>
    <row r="487" spans="1:19">
      <c r="A487">
        <f t="shared" si="42"/>
        <v>486</v>
      </c>
      <c r="E487" s="3"/>
      <c r="L487" s="5"/>
      <c r="M487" s="5">
        <f t="shared" si="47"/>
        <v>0</v>
      </c>
      <c r="N487" s="5"/>
      <c r="O487" s="5" t="str">
        <f t="shared" si="43"/>
        <v/>
      </c>
      <c r="P487" t="str">
        <f>IF(OR(B487="",E487=""),"",IF(AND(E487&gt;=IFERROR(INDEX(REFERENTIEL_BUDGET!$C$2:$C$101,MATCH(B487,REFERENTIEL_BUDGET!$A$2:$A$101,0)),""),E487&lt;=IFERROR(INDEX(REFERENTIEL_BUDGET!$D$2:$D$101,MATCH(B487,REFERENTIEL_BUDGET!$A$2:$A$101,0)),"")),"Oui","Non"))</f>
        <v/>
      </c>
      <c r="Q487" t="str">
        <f t="shared" si="44"/>
        <v/>
      </c>
      <c r="R487" t="str">
        <f t="shared" si="45"/>
        <v/>
      </c>
      <c r="S487" t="str">
        <f t="shared" si="46"/>
        <v/>
      </c>
    </row>
    <row r="488" spans="1:19">
      <c r="A488">
        <f t="shared" si="42"/>
        <v>487</v>
      </c>
      <c r="E488" s="3"/>
      <c r="L488" s="5"/>
      <c r="M488" s="5">
        <f t="shared" si="47"/>
        <v>0</v>
      </c>
      <c r="N488" s="5"/>
      <c r="O488" s="5" t="str">
        <f t="shared" si="43"/>
        <v/>
      </c>
      <c r="P488" t="str">
        <f>IF(OR(B488="",E488=""),"",IF(AND(E488&gt;=IFERROR(INDEX(REFERENTIEL_BUDGET!$C$2:$C$101,MATCH(B488,REFERENTIEL_BUDGET!$A$2:$A$101,0)),""),E488&lt;=IFERROR(INDEX(REFERENTIEL_BUDGET!$D$2:$D$101,MATCH(B488,REFERENTIEL_BUDGET!$A$2:$A$101,0)),"")),"Oui","Non"))</f>
        <v/>
      </c>
      <c r="Q488" t="str">
        <f t="shared" si="44"/>
        <v/>
      </c>
      <c r="R488" t="str">
        <f t="shared" si="45"/>
        <v/>
      </c>
      <c r="S488" t="str">
        <f t="shared" si="46"/>
        <v/>
      </c>
    </row>
    <row r="489" spans="1:19">
      <c r="A489">
        <f t="shared" si="42"/>
        <v>488</v>
      </c>
      <c r="E489" s="3"/>
      <c r="L489" s="5"/>
      <c r="M489" s="5">
        <f t="shared" si="47"/>
        <v>0</v>
      </c>
      <c r="N489" s="5"/>
      <c r="O489" s="5" t="str">
        <f t="shared" si="43"/>
        <v/>
      </c>
      <c r="P489" t="str">
        <f>IF(OR(B489="",E489=""),"",IF(AND(E489&gt;=IFERROR(INDEX(REFERENTIEL_BUDGET!$C$2:$C$101,MATCH(B489,REFERENTIEL_BUDGET!$A$2:$A$101,0)),""),E489&lt;=IFERROR(INDEX(REFERENTIEL_BUDGET!$D$2:$D$101,MATCH(B489,REFERENTIEL_BUDGET!$A$2:$A$101,0)),"")),"Oui","Non"))</f>
        <v/>
      </c>
      <c r="Q489" t="str">
        <f t="shared" si="44"/>
        <v/>
      </c>
      <c r="R489" t="str">
        <f t="shared" si="45"/>
        <v/>
      </c>
      <c r="S489" t="str">
        <f t="shared" si="46"/>
        <v/>
      </c>
    </row>
    <row r="490" spans="1:19">
      <c r="A490">
        <f t="shared" si="42"/>
        <v>489</v>
      </c>
      <c r="E490" s="3"/>
      <c r="L490" s="5"/>
      <c r="M490" s="5">
        <f t="shared" si="47"/>
        <v>0</v>
      </c>
      <c r="N490" s="5"/>
      <c r="O490" s="5" t="str">
        <f t="shared" si="43"/>
        <v/>
      </c>
      <c r="P490" t="str">
        <f>IF(OR(B490="",E490=""),"",IF(AND(E490&gt;=IFERROR(INDEX(REFERENTIEL_BUDGET!$C$2:$C$101,MATCH(B490,REFERENTIEL_BUDGET!$A$2:$A$101,0)),""),E490&lt;=IFERROR(INDEX(REFERENTIEL_BUDGET!$D$2:$D$101,MATCH(B490,REFERENTIEL_BUDGET!$A$2:$A$101,0)),"")),"Oui","Non"))</f>
        <v/>
      </c>
      <c r="Q490" t="str">
        <f t="shared" si="44"/>
        <v/>
      </c>
      <c r="R490" t="str">
        <f t="shared" si="45"/>
        <v/>
      </c>
      <c r="S490" t="str">
        <f t="shared" si="46"/>
        <v/>
      </c>
    </row>
    <row r="491" spans="1:19">
      <c r="A491">
        <f t="shared" si="42"/>
        <v>490</v>
      </c>
      <c r="E491" s="3"/>
      <c r="L491" s="5"/>
      <c r="M491" s="5">
        <f t="shared" si="47"/>
        <v>0</v>
      </c>
      <c r="N491" s="5"/>
      <c r="O491" s="5" t="str">
        <f t="shared" si="43"/>
        <v/>
      </c>
      <c r="P491" t="str">
        <f>IF(OR(B491="",E491=""),"",IF(AND(E491&gt;=IFERROR(INDEX(REFERENTIEL_BUDGET!$C$2:$C$101,MATCH(B491,REFERENTIEL_BUDGET!$A$2:$A$101,0)),""),E491&lt;=IFERROR(INDEX(REFERENTIEL_BUDGET!$D$2:$D$101,MATCH(B491,REFERENTIEL_BUDGET!$A$2:$A$101,0)),"")),"Oui","Non"))</f>
        <v/>
      </c>
      <c r="Q491" t="str">
        <f t="shared" si="44"/>
        <v/>
      </c>
      <c r="R491" t="str">
        <f t="shared" si="45"/>
        <v/>
      </c>
      <c r="S491" t="str">
        <f t="shared" si="46"/>
        <v/>
      </c>
    </row>
    <row r="492" spans="1:19">
      <c r="A492">
        <f t="shared" si="42"/>
        <v>491</v>
      </c>
      <c r="E492" s="3"/>
      <c r="L492" s="5"/>
      <c r="M492" s="5">
        <f t="shared" si="47"/>
        <v>0</v>
      </c>
      <c r="N492" s="5"/>
      <c r="O492" s="5" t="str">
        <f t="shared" si="43"/>
        <v/>
      </c>
      <c r="P492" t="str">
        <f>IF(OR(B492="",E492=""),"",IF(AND(E492&gt;=IFERROR(INDEX(REFERENTIEL_BUDGET!$C$2:$C$101,MATCH(B492,REFERENTIEL_BUDGET!$A$2:$A$101,0)),""),E492&lt;=IFERROR(INDEX(REFERENTIEL_BUDGET!$D$2:$D$101,MATCH(B492,REFERENTIEL_BUDGET!$A$2:$A$101,0)),"")),"Oui","Non"))</f>
        <v/>
      </c>
      <c r="Q492" t="str">
        <f t="shared" si="44"/>
        <v/>
      </c>
      <c r="R492" t="str">
        <f t="shared" si="45"/>
        <v/>
      </c>
      <c r="S492" t="str">
        <f t="shared" si="46"/>
        <v/>
      </c>
    </row>
    <row r="493" spans="1:19">
      <c r="A493">
        <f t="shared" si="42"/>
        <v>492</v>
      </c>
      <c r="E493" s="3"/>
      <c r="L493" s="5"/>
      <c r="M493" s="5">
        <f t="shared" si="47"/>
        <v>0</v>
      </c>
      <c r="N493" s="5"/>
      <c r="O493" s="5" t="str">
        <f t="shared" si="43"/>
        <v/>
      </c>
      <c r="P493" t="str">
        <f>IF(OR(B493="",E493=""),"",IF(AND(E493&gt;=IFERROR(INDEX(REFERENTIEL_BUDGET!$C$2:$C$101,MATCH(B493,REFERENTIEL_BUDGET!$A$2:$A$101,0)),""),E493&lt;=IFERROR(INDEX(REFERENTIEL_BUDGET!$D$2:$D$101,MATCH(B493,REFERENTIEL_BUDGET!$A$2:$A$101,0)),"")),"Oui","Non"))</f>
        <v/>
      </c>
      <c r="Q493" t="str">
        <f t="shared" si="44"/>
        <v/>
      </c>
      <c r="R493" t="str">
        <f t="shared" si="45"/>
        <v/>
      </c>
      <c r="S493" t="str">
        <f t="shared" si="46"/>
        <v/>
      </c>
    </row>
    <row r="494" spans="1:19">
      <c r="A494">
        <f t="shared" si="42"/>
        <v>493</v>
      </c>
      <c r="E494" s="3"/>
      <c r="L494" s="5"/>
      <c r="M494" s="5">
        <f t="shared" si="47"/>
        <v>0</v>
      </c>
      <c r="N494" s="5"/>
      <c r="O494" s="5" t="str">
        <f t="shared" si="43"/>
        <v/>
      </c>
      <c r="P494" t="str">
        <f>IF(OR(B494="",E494=""),"",IF(AND(E494&gt;=IFERROR(INDEX(REFERENTIEL_BUDGET!$C$2:$C$101,MATCH(B494,REFERENTIEL_BUDGET!$A$2:$A$101,0)),""),E494&lt;=IFERROR(INDEX(REFERENTIEL_BUDGET!$D$2:$D$101,MATCH(B494,REFERENTIEL_BUDGET!$A$2:$A$101,0)),"")),"Oui","Non"))</f>
        <v/>
      </c>
      <c r="Q494" t="str">
        <f t="shared" si="44"/>
        <v/>
      </c>
      <c r="R494" t="str">
        <f t="shared" si="45"/>
        <v/>
      </c>
      <c r="S494" t="str">
        <f t="shared" si="46"/>
        <v/>
      </c>
    </row>
    <row r="495" spans="1:19">
      <c r="A495">
        <f t="shared" si="42"/>
        <v>494</v>
      </c>
      <c r="E495" s="3"/>
      <c r="L495" s="5"/>
      <c r="M495" s="5">
        <f t="shared" si="47"/>
        <v>0</v>
      </c>
      <c r="N495" s="5"/>
      <c r="O495" s="5" t="str">
        <f t="shared" si="43"/>
        <v/>
      </c>
      <c r="P495" t="str">
        <f>IF(OR(B495="",E495=""),"",IF(AND(E495&gt;=IFERROR(INDEX(REFERENTIEL_BUDGET!$C$2:$C$101,MATCH(B495,REFERENTIEL_BUDGET!$A$2:$A$101,0)),""),E495&lt;=IFERROR(INDEX(REFERENTIEL_BUDGET!$D$2:$D$101,MATCH(B495,REFERENTIEL_BUDGET!$A$2:$A$101,0)),"")),"Oui","Non"))</f>
        <v/>
      </c>
      <c r="Q495" t="str">
        <f t="shared" si="44"/>
        <v/>
      </c>
      <c r="R495" t="str">
        <f t="shared" si="45"/>
        <v/>
      </c>
      <c r="S495" t="str">
        <f t="shared" si="46"/>
        <v/>
      </c>
    </row>
    <row r="496" spans="1:19">
      <c r="A496">
        <f t="shared" si="42"/>
        <v>495</v>
      </c>
      <c r="E496" s="3"/>
      <c r="L496" s="5"/>
      <c r="M496" s="5">
        <f t="shared" si="47"/>
        <v>0</v>
      </c>
      <c r="N496" s="5"/>
      <c r="O496" s="5" t="str">
        <f t="shared" si="43"/>
        <v/>
      </c>
      <c r="P496" t="str">
        <f>IF(OR(B496="",E496=""),"",IF(AND(E496&gt;=IFERROR(INDEX(REFERENTIEL_BUDGET!$C$2:$C$101,MATCH(B496,REFERENTIEL_BUDGET!$A$2:$A$101,0)),""),E496&lt;=IFERROR(INDEX(REFERENTIEL_BUDGET!$D$2:$D$101,MATCH(B496,REFERENTIEL_BUDGET!$A$2:$A$101,0)),"")),"Oui","Non"))</f>
        <v/>
      </c>
      <c r="Q496" t="str">
        <f t="shared" si="44"/>
        <v/>
      </c>
      <c r="R496" t="str">
        <f t="shared" si="45"/>
        <v/>
      </c>
      <c r="S496" t="str">
        <f t="shared" si="46"/>
        <v/>
      </c>
    </row>
    <row r="497" spans="1:19">
      <c r="A497">
        <f t="shared" si="42"/>
        <v>496</v>
      </c>
      <c r="E497" s="3"/>
      <c r="L497" s="5"/>
      <c r="M497" s="5">
        <f t="shared" si="47"/>
        <v>0</v>
      </c>
      <c r="N497" s="5"/>
      <c r="O497" s="5" t="str">
        <f t="shared" si="43"/>
        <v/>
      </c>
      <c r="P497" t="str">
        <f>IF(OR(B497="",E497=""),"",IF(AND(E497&gt;=IFERROR(INDEX(REFERENTIEL_BUDGET!$C$2:$C$101,MATCH(B497,REFERENTIEL_BUDGET!$A$2:$A$101,0)),""),E497&lt;=IFERROR(INDEX(REFERENTIEL_BUDGET!$D$2:$D$101,MATCH(B497,REFERENTIEL_BUDGET!$A$2:$A$101,0)),"")),"Oui","Non"))</f>
        <v/>
      </c>
      <c r="Q497" t="str">
        <f t="shared" si="44"/>
        <v/>
      </c>
      <c r="R497" t="str">
        <f t="shared" si="45"/>
        <v/>
      </c>
      <c r="S497" t="str">
        <f t="shared" si="46"/>
        <v/>
      </c>
    </row>
    <row r="498" spans="1:19">
      <c r="A498">
        <f t="shared" si="42"/>
        <v>497</v>
      </c>
      <c r="E498" s="3"/>
      <c r="L498" s="5"/>
      <c r="M498" s="5">
        <f t="shared" si="47"/>
        <v>0</v>
      </c>
      <c r="N498" s="5"/>
      <c r="O498" s="5" t="str">
        <f t="shared" si="43"/>
        <v/>
      </c>
      <c r="P498" t="str">
        <f>IF(OR(B498="",E498=""),"",IF(AND(E498&gt;=IFERROR(INDEX(REFERENTIEL_BUDGET!$C$2:$C$101,MATCH(B498,REFERENTIEL_BUDGET!$A$2:$A$101,0)),""),E498&lt;=IFERROR(INDEX(REFERENTIEL_BUDGET!$D$2:$D$101,MATCH(B498,REFERENTIEL_BUDGET!$A$2:$A$101,0)),"")),"Oui","Non"))</f>
        <v/>
      </c>
      <c r="Q498" t="str">
        <f t="shared" si="44"/>
        <v/>
      </c>
      <c r="R498" t="str">
        <f t="shared" si="45"/>
        <v/>
      </c>
      <c r="S498" t="str">
        <f t="shared" si="46"/>
        <v/>
      </c>
    </row>
    <row r="499" spans="1:19">
      <c r="A499">
        <f t="shared" si="42"/>
        <v>498</v>
      </c>
      <c r="E499" s="3"/>
      <c r="L499" s="5"/>
      <c r="M499" s="5">
        <f t="shared" si="47"/>
        <v>0</v>
      </c>
      <c r="N499" s="5"/>
      <c r="O499" s="5" t="str">
        <f t="shared" si="43"/>
        <v/>
      </c>
      <c r="P499" t="str">
        <f>IF(OR(B499="",E499=""),"",IF(AND(E499&gt;=IFERROR(INDEX(REFERENTIEL_BUDGET!$C$2:$C$101,MATCH(B499,REFERENTIEL_BUDGET!$A$2:$A$101,0)),""),E499&lt;=IFERROR(INDEX(REFERENTIEL_BUDGET!$D$2:$D$101,MATCH(B499,REFERENTIEL_BUDGET!$A$2:$A$101,0)),"")),"Oui","Non"))</f>
        <v/>
      </c>
      <c r="Q499" t="str">
        <f t="shared" si="44"/>
        <v/>
      </c>
      <c r="R499" t="str">
        <f t="shared" si="45"/>
        <v/>
      </c>
      <c r="S499" t="str">
        <f t="shared" si="46"/>
        <v/>
      </c>
    </row>
    <row r="500" spans="1:19">
      <c r="A500">
        <f t="shared" si="42"/>
        <v>499</v>
      </c>
      <c r="E500" s="3"/>
      <c r="L500" s="5"/>
      <c r="M500" s="5">
        <f t="shared" si="47"/>
        <v>0</v>
      </c>
      <c r="N500" s="5"/>
      <c r="O500" s="5" t="str">
        <f t="shared" si="43"/>
        <v/>
      </c>
      <c r="P500" t="str">
        <f>IF(OR(B500="",E500=""),"",IF(AND(E500&gt;=IFERROR(INDEX(REFERENTIEL_BUDGET!$C$2:$C$101,MATCH(B500,REFERENTIEL_BUDGET!$A$2:$A$101,0)),""),E500&lt;=IFERROR(INDEX(REFERENTIEL_BUDGET!$D$2:$D$101,MATCH(B500,REFERENTIEL_BUDGET!$A$2:$A$101,0)),"")),"Oui","Non"))</f>
        <v/>
      </c>
      <c r="Q500" t="str">
        <f t="shared" si="44"/>
        <v/>
      </c>
      <c r="R500" t="str">
        <f t="shared" si="45"/>
        <v/>
      </c>
      <c r="S500" t="str">
        <f t="shared" si="46"/>
        <v/>
      </c>
    </row>
    <row r="501" spans="1:19">
      <c r="A501">
        <f t="shared" si="42"/>
        <v>500</v>
      </c>
      <c r="E501" s="3"/>
      <c r="F501" s="4"/>
      <c r="G501" s="4"/>
      <c r="H501" s="4"/>
      <c r="I501" s="4"/>
      <c r="L501" s="5"/>
      <c r="M501" s="5">
        <f t="shared" si="47"/>
        <v>0</v>
      </c>
      <c r="N501" s="5"/>
      <c r="O501" s="5" t="str">
        <f t="shared" si="43"/>
        <v/>
      </c>
      <c r="P501" t="str">
        <f>IF(OR(B501="",E501=""),"",IF(AND(E501&gt;=IFERROR(INDEX(REFERENTIEL_BUDGET!$C$2:$C$101,MATCH(B501,REFERENTIEL_BUDGET!$A$2:$A$101,0)),""),E501&lt;=IFERROR(INDEX(REFERENTIEL_BUDGET!$D$2:$D$101,MATCH(B501,REFERENTIEL_BUDGET!$A$2:$A$101,0)),"")),"Oui","Non"))</f>
        <v/>
      </c>
      <c r="Q501" t="str">
        <f t="shared" si="44"/>
        <v/>
      </c>
      <c r="R501" t="str">
        <f t="shared" si="45"/>
        <v/>
      </c>
      <c r="S501" t="str">
        <f t="shared" si="46"/>
        <v/>
      </c>
    </row>
  </sheetData>
  <phoneticPr fontId="6" type="noConversion"/>
  <conditionalFormatting sqref="S2:S501">
    <cfRule type="expression" dxfId="4" priority="1">
      <formula>S2="CONFORME"</formula>
    </cfRule>
    <cfRule type="expression" dxfId="3" priority="2">
      <formula>S2="DATE HORS PÉRIODE"</formula>
    </cfRule>
    <cfRule type="expression" dxfId="2" priority="3">
      <formula>S2="PAIEMENT SANS PRÉSENCE"</formula>
    </cfRule>
    <cfRule type="expression" dxfId="1" priority="4">
      <formula>S2="MONTANT NON CONFORME"</formula>
    </cfRule>
    <cfRule type="expression" dxfId="0" priority="5">
      <formula>S2="PRÉSENCE À VÉRIFIER"</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xr:uid="{00000000-0002-0000-0100-000000000000}">
          <x14:formula1>
            <xm:f>LISTES!$J$2:$J$4</xm:f>
          </x14:formula1>
          <xm:sqref>J2:J501 F2:I500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9163-89BC-44CF-8420-4F572E8FE91B}">
  <dimension ref="A1:K31"/>
  <sheetViews>
    <sheetView showGridLines="0" topLeftCell="A6" workbookViewId="0">
      <selection activeCell="A17" sqref="A17"/>
    </sheetView>
  </sheetViews>
  <sheetFormatPr baseColWidth="10" defaultColWidth="8.796875" defaultRowHeight="13.8"/>
  <cols>
    <col min="1" max="1" width="6" style="11" customWidth="1"/>
    <col min="2" max="2" width="34" style="11" customWidth="1"/>
    <col min="3" max="3" width="20" style="11" customWidth="1"/>
    <col min="4" max="4" width="13" style="11" customWidth="1"/>
    <col min="5" max="6" width="16" style="11" customWidth="1"/>
    <col min="7" max="10" width="20" style="11" customWidth="1"/>
    <col min="11" max="11" width="42" style="11" customWidth="1"/>
    <col min="12" max="16384" width="8.796875" style="11"/>
  </cols>
  <sheetData>
    <row r="1" spans="1:11">
      <c r="A1" s="267" t="s">
        <v>229</v>
      </c>
      <c r="B1" s="268"/>
      <c r="C1" s="268"/>
      <c r="D1" s="268"/>
      <c r="E1" s="268"/>
      <c r="F1" s="268"/>
      <c r="G1" s="268"/>
      <c r="H1" s="268"/>
      <c r="I1" s="268"/>
      <c r="J1" s="268"/>
      <c r="K1" s="268"/>
    </row>
    <row r="2" spans="1:11">
      <c r="A2" s="12"/>
      <c r="B2" s="12"/>
      <c r="C2" s="12"/>
      <c r="D2" s="12"/>
      <c r="E2" s="12"/>
      <c r="F2" s="12"/>
      <c r="G2" s="12"/>
      <c r="H2" s="12"/>
      <c r="I2" s="12"/>
      <c r="J2" s="12"/>
      <c r="K2" s="12"/>
    </row>
    <row r="3" spans="1:11">
      <c r="A3" s="12"/>
      <c r="B3" s="17" t="s">
        <v>188</v>
      </c>
      <c r="C3" s="18"/>
      <c r="D3" s="12"/>
      <c r="E3" s="12"/>
      <c r="F3" s="12"/>
      <c r="G3" s="12"/>
      <c r="H3" s="12"/>
      <c r="I3" s="12"/>
      <c r="J3" s="12"/>
      <c r="K3" s="12"/>
    </row>
    <row r="4" spans="1:11">
      <c r="A4" s="12"/>
      <c r="B4" s="17" t="s">
        <v>1</v>
      </c>
      <c r="C4" s="18"/>
      <c r="D4" s="12"/>
      <c r="E4" s="12"/>
      <c r="F4" s="12"/>
      <c r="G4" s="12"/>
      <c r="H4" s="12"/>
      <c r="I4" s="12"/>
      <c r="J4" s="12"/>
      <c r="K4" s="12"/>
    </row>
    <row r="5" spans="1:11">
      <c r="A5" s="12"/>
      <c r="B5" s="17" t="s">
        <v>2</v>
      </c>
      <c r="C5" s="18"/>
      <c r="D5" s="12"/>
      <c r="E5" s="12"/>
      <c r="F5" s="12"/>
      <c r="G5" s="12"/>
      <c r="H5" s="12"/>
      <c r="I5" s="12"/>
      <c r="J5" s="12"/>
      <c r="K5" s="12"/>
    </row>
    <row r="6" spans="1:11">
      <c r="A6" s="12"/>
      <c r="B6" s="17" t="s">
        <v>214</v>
      </c>
      <c r="C6" s="19"/>
      <c r="D6" s="12"/>
      <c r="E6" s="12"/>
      <c r="F6" s="12"/>
      <c r="G6" s="12"/>
      <c r="H6" s="12"/>
      <c r="I6" s="12"/>
      <c r="J6" s="12"/>
      <c r="K6" s="12"/>
    </row>
    <row r="7" spans="1:11">
      <c r="A7" s="12"/>
      <c r="B7" s="17" t="s">
        <v>215</v>
      </c>
      <c r="C7" s="19"/>
      <c r="D7" s="12"/>
      <c r="E7" s="12"/>
      <c r="F7" s="12"/>
      <c r="G7" s="12"/>
      <c r="H7" s="12"/>
      <c r="I7" s="12"/>
      <c r="J7" s="12"/>
      <c r="K7" s="12"/>
    </row>
    <row r="8" spans="1:11" ht="14.4" thickBot="1">
      <c r="A8" s="12"/>
      <c r="B8" s="27"/>
      <c r="C8" s="27"/>
      <c r="D8" s="27"/>
      <c r="E8" s="12"/>
      <c r="F8" s="12"/>
      <c r="G8" s="12"/>
      <c r="H8" s="12"/>
      <c r="I8" s="12"/>
      <c r="J8" s="12"/>
      <c r="K8" s="12"/>
    </row>
    <row r="9" spans="1:11" s="28" customFormat="1" ht="30.6">
      <c r="A9" s="23" t="s">
        <v>231</v>
      </c>
      <c r="B9" s="24"/>
      <c r="C9" s="25" t="s">
        <v>228</v>
      </c>
      <c r="D9" s="26">
        <f>+C27</f>
        <v>0</v>
      </c>
      <c r="E9" s="27"/>
      <c r="F9" s="27"/>
      <c r="G9" s="27"/>
      <c r="H9" s="27"/>
      <c r="I9" s="27"/>
    </row>
    <row r="10" spans="1:11" s="28" customFormat="1" ht="21.45" customHeight="1">
      <c r="A10" s="29" t="s">
        <v>233</v>
      </c>
      <c r="B10" s="24"/>
      <c r="C10" s="30" t="s">
        <v>234</v>
      </c>
      <c r="D10" s="26">
        <f>+H27</f>
        <v>0</v>
      </c>
      <c r="E10" s="27"/>
      <c r="F10" s="27"/>
      <c r="G10" s="27"/>
      <c r="H10" s="27"/>
      <c r="I10" s="27"/>
    </row>
    <row r="11" spans="1:11" s="28" customFormat="1" ht="15" customHeight="1">
      <c r="A11" s="31" t="s">
        <v>235</v>
      </c>
      <c r="B11" s="24"/>
      <c r="C11" s="32" t="s">
        <v>236</v>
      </c>
      <c r="D11" s="26">
        <f>+D9-D10</f>
        <v>0</v>
      </c>
      <c r="E11" s="27"/>
      <c r="F11" s="27"/>
      <c r="G11" s="27"/>
      <c r="H11" s="27"/>
      <c r="I11" s="27"/>
    </row>
    <row r="12" spans="1:11" s="28" customFormat="1" ht="15" customHeight="1" thickBot="1">
      <c r="A12" s="33" t="s">
        <v>237</v>
      </c>
      <c r="B12" s="24" t="s">
        <v>238</v>
      </c>
      <c r="C12" s="34"/>
      <c r="D12" s="26"/>
      <c r="E12" s="27"/>
      <c r="F12" s="27"/>
      <c r="G12" s="27"/>
      <c r="H12" s="27"/>
      <c r="I12" s="27"/>
    </row>
    <row r="13" spans="1:11" s="28" customFormat="1" ht="19.5" customHeight="1">
      <c r="A13" s="280" t="s">
        <v>239</v>
      </c>
      <c r="B13" s="280"/>
      <c r="C13" s="280"/>
      <c r="D13" s="280"/>
      <c r="E13" s="280"/>
      <c r="F13" s="280"/>
      <c r="G13" s="280"/>
      <c r="H13" s="280"/>
      <c r="I13" s="35"/>
    </row>
    <row r="14" spans="1:11" s="28" customFormat="1" ht="22.95" customHeight="1" thickBot="1">
      <c r="A14" s="281" t="s">
        <v>240</v>
      </c>
      <c r="B14" s="281"/>
      <c r="C14" s="281"/>
      <c r="D14" s="281"/>
      <c r="E14" s="281"/>
      <c r="F14" s="281"/>
      <c r="G14" s="281"/>
      <c r="H14" s="281"/>
      <c r="I14" s="36"/>
    </row>
    <row r="15" spans="1:11" s="28" customFormat="1" ht="15" customHeight="1">
      <c r="A15" s="282" t="s">
        <v>251</v>
      </c>
      <c r="B15" s="282" t="s">
        <v>241</v>
      </c>
      <c r="C15" s="37"/>
      <c r="D15" s="284" t="s">
        <v>249</v>
      </c>
      <c r="E15" s="285"/>
      <c r="F15" s="285"/>
      <c r="G15" s="285"/>
      <c r="H15" s="286"/>
      <c r="I15" s="38"/>
      <c r="J15" s="287" t="s">
        <v>242</v>
      </c>
    </row>
    <row r="16" spans="1:11" s="28" customFormat="1" ht="24.75" customHeight="1">
      <c r="A16" s="283"/>
      <c r="B16" s="283"/>
      <c r="C16" s="39" t="s">
        <v>248</v>
      </c>
      <c r="D16" s="40" t="s">
        <v>247</v>
      </c>
      <c r="E16" s="41" t="s">
        <v>243</v>
      </c>
      <c r="F16" s="41" t="s">
        <v>244</v>
      </c>
      <c r="G16" s="42" t="s">
        <v>245</v>
      </c>
      <c r="H16" s="39" t="s">
        <v>246</v>
      </c>
      <c r="I16" s="43" t="s">
        <v>250</v>
      </c>
      <c r="J16" s="288"/>
    </row>
    <row r="17" spans="1:11">
      <c r="A17" s="18"/>
      <c r="B17" s="18" t="s">
        <v>192</v>
      </c>
      <c r="C17" s="18">
        <v>0</v>
      </c>
      <c r="D17" s="18"/>
      <c r="E17" s="18"/>
      <c r="F17" s="18"/>
      <c r="G17" s="18"/>
      <c r="H17" s="20">
        <f>+F17*E17*G17</f>
        <v>0</v>
      </c>
      <c r="I17" s="20">
        <f t="shared" ref="I17:I26" si="0">+C17-H17</f>
        <v>0</v>
      </c>
      <c r="J17" s="18"/>
    </row>
    <row r="18" spans="1:11" ht="27.6">
      <c r="A18" s="18"/>
      <c r="B18" s="18" t="s">
        <v>198</v>
      </c>
      <c r="C18" s="18">
        <v>0</v>
      </c>
      <c r="D18" s="18"/>
      <c r="E18" s="18"/>
      <c r="F18" s="18"/>
      <c r="G18" s="18"/>
      <c r="H18" s="20">
        <f t="shared" ref="H18:H26" si="1">+F18*E18*G18</f>
        <v>0</v>
      </c>
      <c r="I18" s="20">
        <f t="shared" si="0"/>
        <v>0</v>
      </c>
      <c r="J18" s="18"/>
    </row>
    <row r="19" spans="1:11">
      <c r="A19" s="18"/>
      <c r="B19" s="18" t="s">
        <v>204</v>
      </c>
      <c r="C19" s="18">
        <v>0</v>
      </c>
      <c r="D19" s="18"/>
      <c r="E19" s="18"/>
      <c r="F19" s="18"/>
      <c r="G19" s="18"/>
      <c r="H19" s="20">
        <f t="shared" si="1"/>
        <v>0</v>
      </c>
      <c r="I19" s="20">
        <f t="shared" si="0"/>
        <v>0</v>
      </c>
      <c r="J19" s="18"/>
    </row>
    <row r="20" spans="1:11">
      <c r="A20" s="18"/>
      <c r="B20" s="18" t="s">
        <v>206</v>
      </c>
      <c r="C20" s="18">
        <v>0</v>
      </c>
      <c r="D20" s="18"/>
      <c r="E20" s="18"/>
      <c r="F20" s="18"/>
      <c r="G20" s="18"/>
      <c r="H20" s="20">
        <f t="shared" si="1"/>
        <v>0</v>
      </c>
      <c r="I20" s="20">
        <f t="shared" si="0"/>
        <v>0</v>
      </c>
      <c r="J20" s="18"/>
    </row>
    <row r="21" spans="1:11">
      <c r="A21" s="18"/>
      <c r="B21" s="18" t="s">
        <v>111</v>
      </c>
      <c r="C21" s="18">
        <v>0</v>
      </c>
      <c r="D21" s="18"/>
      <c r="E21" s="18"/>
      <c r="F21" s="18"/>
      <c r="G21" s="18"/>
      <c r="H21" s="20">
        <f t="shared" si="1"/>
        <v>0</v>
      </c>
      <c r="I21" s="20">
        <f t="shared" si="0"/>
        <v>0</v>
      </c>
      <c r="J21" s="18"/>
    </row>
    <row r="22" spans="1:11">
      <c r="A22" s="18"/>
      <c r="B22" s="18" t="s">
        <v>112</v>
      </c>
      <c r="C22" s="18">
        <v>0</v>
      </c>
      <c r="D22" s="18"/>
      <c r="E22" s="18"/>
      <c r="F22" s="18"/>
      <c r="G22" s="18"/>
      <c r="H22" s="20">
        <f t="shared" si="1"/>
        <v>0</v>
      </c>
      <c r="I22" s="20">
        <f t="shared" si="0"/>
        <v>0</v>
      </c>
      <c r="J22" s="18"/>
    </row>
    <row r="23" spans="1:11" ht="27.6">
      <c r="A23" s="18"/>
      <c r="B23" s="18" t="s">
        <v>115</v>
      </c>
      <c r="C23" s="18">
        <v>0</v>
      </c>
      <c r="D23" s="18"/>
      <c r="E23" s="18"/>
      <c r="F23" s="18"/>
      <c r="G23" s="18"/>
      <c r="H23" s="20">
        <f t="shared" si="1"/>
        <v>0</v>
      </c>
      <c r="I23" s="20">
        <f t="shared" si="0"/>
        <v>0</v>
      </c>
      <c r="J23" s="18"/>
    </row>
    <row r="24" spans="1:11">
      <c r="A24" s="18"/>
      <c r="B24" s="18" t="s">
        <v>114</v>
      </c>
      <c r="C24" s="18">
        <v>0</v>
      </c>
      <c r="D24" s="18"/>
      <c r="E24" s="18"/>
      <c r="F24" s="18"/>
      <c r="G24" s="18"/>
      <c r="H24" s="20">
        <f t="shared" si="1"/>
        <v>0</v>
      </c>
      <c r="I24" s="20">
        <f t="shared" si="0"/>
        <v>0</v>
      </c>
      <c r="J24" s="18"/>
    </row>
    <row r="25" spans="1:11">
      <c r="A25" s="18"/>
      <c r="B25" s="18" t="s">
        <v>113</v>
      </c>
      <c r="C25" s="18"/>
      <c r="D25" s="18"/>
      <c r="E25" s="18"/>
      <c r="F25" s="18"/>
      <c r="G25" s="18"/>
      <c r="H25" s="20">
        <f t="shared" si="1"/>
        <v>0</v>
      </c>
      <c r="I25" s="20">
        <f t="shared" si="0"/>
        <v>0</v>
      </c>
      <c r="J25" s="18"/>
    </row>
    <row r="26" spans="1:11">
      <c r="A26" s="18"/>
      <c r="C26" s="18"/>
      <c r="D26" s="18"/>
      <c r="E26" s="18"/>
      <c r="F26" s="18"/>
      <c r="G26" s="18"/>
      <c r="H26" s="20">
        <f t="shared" si="1"/>
        <v>0</v>
      </c>
      <c r="I26" s="20">
        <f t="shared" si="0"/>
        <v>0</v>
      </c>
      <c r="J26" s="18"/>
    </row>
    <row r="27" spans="1:11">
      <c r="A27" s="18"/>
      <c r="B27" s="18"/>
      <c r="C27" s="22">
        <f>SUM(C17:C26)</f>
        <v>0</v>
      </c>
      <c r="D27" s="18"/>
      <c r="E27" s="18"/>
      <c r="F27" s="18"/>
      <c r="G27" s="18"/>
      <c r="H27" s="22">
        <f>SUM(H17:H26)</f>
        <v>0</v>
      </c>
      <c r="I27" s="22">
        <f>SUM(I17:I26)</f>
        <v>0</v>
      </c>
      <c r="J27" s="18"/>
    </row>
    <row r="28" spans="1:11">
      <c r="A28" s="12"/>
      <c r="B28" s="12"/>
      <c r="C28" s="12"/>
      <c r="D28" s="12"/>
      <c r="E28" s="12"/>
      <c r="F28" s="12"/>
      <c r="G28" s="12"/>
      <c r="H28" s="12"/>
      <c r="I28" s="12"/>
      <c r="J28" s="12"/>
      <c r="K28" s="12"/>
    </row>
    <row r="29" spans="1:11">
      <c r="A29" s="12"/>
      <c r="B29" s="12"/>
      <c r="C29" s="12"/>
      <c r="D29" s="12"/>
      <c r="E29" s="12"/>
      <c r="F29" s="12"/>
      <c r="G29" s="12"/>
      <c r="H29" s="12"/>
      <c r="I29" s="12"/>
      <c r="J29" s="12"/>
      <c r="K29" s="12"/>
    </row>
    <row r="30" spans="1:11">
      <c r="A30" s="269" t="s">
        <v>227</v>
      </c>
      <c r="B30" s="268"/>
      <c r="C30" s="268"/>
      <c r="D30" s="268"/>
      <c r="E30" s="268"/>
      <c r="F30" s="268"/>
      <c r="G30" s="268"/>
      <c r="H30" s="268"/>
      <c r="I30" s="268"/>
      <c r="J30" s="268"/>
      <c r="K30" s="268"/>
    </row>
    <row r="31" spans="1:11">
      <c r="A31" s="268"/>
      <c r="B31" s="268"/>
      <c r="C31" s="268"/>
      <c r="D31" s="268"/>
      <c r="E31" s="268"/>
      <c r="F31" s="268"/>
      <c r="G31" s="268"/>
      <c r="H31" s="268"/>
      <c r="I31" s="268"/>
      <c r="J31" s="268"/>
      <c r="K31" s="268"/>
    </row>
  </sheetData>
  <mergeCells count="8">
    <mergeCell ref="A1:K1"/>
    <mergeCell ref="A30:K31"/>
    <mergeCell ref="A13:H13"/>
    <mergeCell ref="A14:H14"/>
    <mergeCell ref="A15:A16"/>
    <mergeCell ref="B15:B16"/>
    <mergeCell ref="D15:H15"/>
    <mergeCell ref="J15:J16"/>
  </mergeCells>
  <dataValidations count="4">
    <dataValidation type="list" allowBlank="1" sqref="C3" xr:uid="{4B3F5A9A-D7CD-4389-8E1D-9CA93D93EC03}">
      <formula1>"ATELIER,SUPERVISION,FORMATION,RÉUNION,MISSION,AUTRE"</formula1>
    </dataValidation>
    <dataValidation type="list" allowBlank="1" showInputMessage="1" showErrorMessage="1" sqref="JE13:KN13 TA13:UJ13 ACW13:AEF13 AMS13:AOB13 AWO13:AXX13 BGK13:BHT13 BQG13:BRP13 CAC13:CBL13 CJY13:CLH13 CTU13:CVD13 DDQ13:DEZ13 DNM13:DOV13 DXI13:DYR13 EHE13:EIN13 ERA13:ESJ13 FAW13:FCF13 FKS13:FMB13 FUO13:FVX13 GEK13:GFT13 GOG13:GPP13 GYC13:GZL13 HHY13:HJH13 HRU13:HTD13 IBQ13:ICZ13 ILM13:IMV13 IVI13:IWR13 JFE13:JGN13 JPA13:JQJ13 JYW13:KAF13 KIS13:KKB13 KSO13:KTX13 LCK13:LDT13 LMG13:LNP13 LWC13:LXL13 MFY13:MHH13 MPU13:MRD13 MZQ13:NAZ13 NJM13:NKV13 NTI13:NUR13 ODE13:OEN13 ONA13:OOJ13 OWW13:OYF13 PGS13:PIB13 PQO13:PRX13 QAK13:QBT13 QKG13:QLP13 QUC13:QVL13 RDY13:RFH13 RNU13:RPD13 RXQ13:RYZ13 SHM13:SIV13 SRI13:SSR13 TBE13:TCN13 TLA13:TMJ13 TUW13:TWF13 UES13:UGB13 UOO13:UPX13 UYK13:UZT13 VIG13:VJP13 VSC13:VTL13 WBY13:WDH13 WLU13:WND13 WVQ13:WWZ13 JE12:KL12 TA12:UH12 ACW12:AED12 AMS12:ANZ12 AWO12:AXV12 BGK12:BHR12 BQG12:BRN12 CAC12:CBJ12 CJY12:CLF12 CTU12:CVB12 DDQ12:DEX12 DNM12:DOT12 DXI12:DYP12 EHE12:EIL12 ERA12:ESH12 FAW12:FCD12 FKS12:FLZ12 FUO12:FVV12 GEK12:GFR12 GOG12:GPN12 GYC12:GZJ12 HHY12:HJF12 HRU12:HTB12 IBQ12:ICX12 ILM12:IMT12 IVI12:IWP12 JFE12:JGL12 JPA12:JQH12 JYW12:KAD12 KIS12:KJZ12 KSO12:KTV12 LCK12:LDR12 LMG12:LNN12 LWC12:LXJ12 MFY12:MHF12 MPU12:MRB12 MZQ12:NAX12 NJM12:NKT12 NTI12:NUP12 ODE12:OEL12 ONA12:OOH12 OWW12:OYD12 PGS12:PHZ12 PQO12:PRV12 QAK12:QBR12 QKG12:QLN12 QUC12:QVJ12 RDY12:RFF12 RNU12:RPB12 RXQ12:RYX12 SHM12:SIT12 SRI12:SSP12 TBE12:TCL12 TLA12:TMH12 TUW12:TWD12 UES12:UFZ12 UOO12:UPV12 UYK12:UZR12 VIG12:VJN12 VSC12:VTJ12 WBY12:WDF12 WLU12:WNB12 WVQ12:WWX12 J12:AP12 J13:AR13" xr:uid="{06EB4AF3-F89F-4536-93F7-3056CE7C8CEE}">
      <formula1>#REF!</formula1>
    </dataValidation>
    <dataValidation type="list" allowBlank="1" showInputMessage="1" showErrorMessage="1" sqref="JA9 WVM9 WLQ9 WBU9 VRY9 VIC9 UYG9 UOK9 UEO9 TUS9 TKW9 TBA9 SRE9 SHI9 RXM9 RNQ9 RDU9 QTY9 QKC9 QAG9 PQK9 PGO9 OWS9 OMW9 ODA9 NTE9 NJI9 MZM9 MPQ9 MFU9 LVY9 LMC9 LCG9 KSK9 KIO9 JYS9 JOW9 JFA9 IVE9 ILI9 IBM9 HRQ9 HHU9 GXY9 GOC9 GEG9 FUK9 FKO9 FAS9 EQW9 EHA9 DXE9 DNI9 DDM9 CTQ9 CJU9 BZY9 BQC9 BGG9 AWK9 AMO9 ACS9 SW9" xr:uid="{C278A5FE-E154-4D2B-A076-A7889B80CD2F}">
      <formula1>$B$354:$B$376</formula1>
    </dataValidation>
    <dataValidation type="list" allowBlank="1" showInputMessage="1" showErrorMessage="1" sqref="B9" xr:uid="{76F9B942-05FA-4A15-A197-1C68DE21270F}">
      <formula1>$B$366:$B$388</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topLeftCell="A8" workbookViewId="0">
      <selection activeCell="J24" sqref="J24"/>
    </sheetView>
  </sheetViews>
  <sheetFormatPr baseColWidth="10" defaultColWidth="8.796875" defaultRowHeight="13.8"/>
  <cols>
    <col min="1" max="1" width="38" customWidth="1"/>
    <col min="2" max="2" width="22" customWidth="1"/>
    <col min="4" max="4" width="18.3984375" customWidth="1"/>
  </cols>
  <sheetData>
    <row r="1" spans="1:6" ht="19.2">
      <c r="A1" s="290" t="s">
        <v>53</v>
      </c>
      <c r="B1" s="290"/>
      <c r="C1" s="290"/>
      <c r="D1" s="290"/>
      <c r="E1" s="290"/>
      <c r="F1" s="290"/>
    </row>
    <row r="3" spans="1:6">
      <c r="A3" s="1" t="s">
        <v>54</v>
      </c>
      <c r="B3" s="1" t="s">
        <v>55</v>
      </c>
      <c r="D3" s="1" t="s">
        <v>56</v>
      </c>
      <c r="E3" s="1" t="s">
        <v>57</v>
      </c>
    </row>
    <row r="4" spans="1:6">
      <c r="A4" t="s">
        <v>58</v>
      </c>
      <c r="B4" s="5">
        <f>SUM(CONTROLE_PJ!J2:J301)</f>
        <v>26250000</v>
      </c>
      <c r="D4" t="s">
        <v>59</v>
      </c>
      <c r="E4">
        <f>COUNTIF(CONTROLE_PJ!V2:V301,"Conforme")</f>
        <v>2</v>
      </c>
    </row>
    <row r="5" spans="1:6">
      <c r="A5" t="s">
        <v>60</v>
      </c>
      <c r="B5" s="5">
        <f>SUM(CONTROLE_PJ!K2:K301)</f>
        <v>14550000</v>
      </c>
      <c r="D5" t="s">
        <v>61</v>
      </c>
      <c r="E5">
        <f>COUNTIF(CONTROLE_PJ!V2:V301,"Non conforme")</f>
        <v>0</v>
      </c>
    </row>
    <row r="6" spans="1:6">
      <c r="A6" t="s">
        <v>62</v>
      </c>
      <c r="B6" s="5">
        <f>SUM(CONTROLE_PJ!L2:L301)</f>
        <v>14550000</v>
      </c>
      <c r="D6" t="s">
        <v>63</v>
      </c>
      <c r="E6">
        <f>COUNTIF(CONTROLE_PJ!V2:V301,"PJ non reçue")</f>
        <v>0</v>
      </c>
    </row>
    <row r="7" spans="1:6">
      <c r="A7" t="s">
        <v>64</v>
      </c>
      <c r="B7" s="5">
        <f>SUM(CONTROLE_PJ!M2:M301)</f>
        <v>-11700000</v>
      </c>
      <c r="D7" t="s">
        <v>65</v>
      </c>
      <c r="E7">
        <f>COUNTIF(CONTROLE_PJ!V2:V301,"Date PJ non conforme")</f>
        <v>0</v>
      </c>
    </row>
    <row r="8" spans="1:6">
      <c r="A8" t="s">
        <v>66</v>
      </c>
      <c r="B8" s="5">
        <f>SUM(CONTROLE_PJ!N2:N301)</f>
        <v>0</v>
      </c>
    </row>
    <row r="9" spans="1:6">
      <c r="A9" t="s">
        <v>67</v>
      </c>
      <c r="B9">
        <f>COUNTIF(CONTROLE_PJ!V2:V301,"Conforme")</f>
        <v>2</v>
      </c>
    </row>
    <row r="10" spans="1:6">
      <c r="A10" t="s">
        <v>68</v>
      </c>
      <c r="B10">
        <f>COUNTIF(CONTROLE_PJ!V2:V301,"Non conforme")</f>
        <v>0</v>
      </c>
    </row>
    <row r="11" spans="1:6">
      <c r="A11" t="s">
        <v>69</v>
      </c>
      <c r="B11">
        <f>COUNTIF(CONTROLE_PJ!V2:V301,"PJ non reçue")</f>
        <v>0</v>
      </c>
    </row>
    <row r="12" spans="1:6">
      <c r="A12" t="s">
        <v>70</v>
      </c>
      <c r="B12">
        <f>COUNTIF(CONTROLE_PJ!V2:V301,"Date PJ non conforme")</f>
        <v>0</v>
      </c>
    </row>
    <row r="13" spans="1:6">
      <c r="A13" t="s">
        <v>71</v>
      </c>
      <c r="B13">
        <f>COUNTIF(CONTROLE_PJ!T2:T301,"Anomalie détectée")+COUNTIF(CONTROLE_PJ!T2:T301,"Dépassement budget indemnités")</f>
        <v>0</v>
      </c>
    </row>
    <row r="16" spans="1:6">
      <c r="A16" s="291" t="s">
        <v>72</v>
      </c>
      <c r="B16" s="291"/>
      <c r="C16" s="291"/>
      <c r="D16" s="291"/>
      <c r="E16" s="291"/>
      <c r="F16" s="291"/>
    </row>
    <row r="17" spans="1:6" ht="22.35" customHeight="1">
      <c r="A17" s="289" t="s">
        <v>73</v>
      </c>
      <c r="B17" s="289"/>
      <c r="C17" s="289"/>
      <c r="D17" s="289"/>
      <c r="E17" s="289"/>
      <c r="F17" s="289"/>
    </row>
    <row r="18" spans="1:6" ht="22.35" customHeight="1">
      <c r="A18" s="289" t="s">
        <v>74</v>
      </c>
      <c r="B18" s="289"/>
      <c r="C18" s="289"/>
      <c r="D18" s="289"/>
      <c r="E18" s="289"/>
      <c r="F18" s="289"/>
    </row>
    <row r="19" spans="1:6" ht="22.35" customHeight="1">
      <c r="A19" s="289" t="s">
        <v>75</v>
      </c>
      <c r="B19" s="289"/>
      <c r="C19" s="289"/>
      <c r="D19" s="289"/>
      <c r="E19" s="289"/>
      <c r="F19" s="289"/>
    </row>
    <row r="20" spans="1:6" ht="26.4" customHeight="1">
      <c r="A20" s="289" t="s">
        <v>76</v>
      </c>
      <c r="B20" s="289"/>
      <c r="C20" s="289"/>
      <c r="D20" s="289"/>
      <c r="E20" s="289"/>
      <c r="F20" s="289"/>
    </row>
    <row r="21" spans="1:6" ht="28.2" customHeight="1">
      <c r="A21" s="289" t="s">
        <v>77</v>
      </c>
      <c r="B21" s="289"/>
      <c r="C21" s="289"/>
      <c r="D21" s="289"/>
      <c r="E21" s="289"/>
      <c r="F21" s="289"/>
    </row>
    <row r="22" spans="1:6">
      <c r="A22" s="289" t="s">
        <v>78</v>
      </c>
      <c r="B22" s="289"/>
      <c r="C22" s="289"/>
      <c r="D22" s="289"/>
      <c r="E22" s="289"/>
      <c r="F22" s="289"/>
    </row>
  </sheetData>
  <mergeCells count="8">
    <mergeCell ref="A20:F20"/>
    <mergeCell ref="A21:F21"/>
    <mergeCell ref="A22:F22"/>
    <mergeCell ref="A1:F1"/>
    <mergeCell ref="A16:F16"/>
    <mergeCell ref="A17:F17"/>
    <mergeCell ref="A18:F18"/>
    <mergeCell ref="A19:F1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ACCUEIL</vt:lpstr>
      <vt:lpstr>BUDGET</vt:lpstr>
      <vt:lpstr>DISTANCES_DISTRICTS</vt:lpstr>
      <vt:lpstr>LISTES</vt:lpstr>
      <vt:lpstr>REFERENTIEL_TARIFS</vt:lpstr>
      <vt:lpstr>LISTES ACTIVITES</vt:lpstr>
      <vt:lpstr>J.Banque</vt:lpstr>
      <vt:lpstr>J.Depenses</vt:lpstr>
      <vt:lpstr>Rappr Banc </vt:lpstr>
      <vt:lpstr>REFERENTIEL_BUDGET</vt:lpstr>
      <vt:lpstr>CONTROLE_PJ</vt:lpstr>
      <vt:lpstr>PRESENCES_INDEMNITES</vt:lpstr>
      <vt:lpstr>RAPPORT FINANCIER</vt:lpstr>
      <vt:lpstr>TABLEAU_DE_BORD</vt:lpstr>
      <vt:lpstr>DISTANCES_DISTRICTS!DISTRICTS_FORM</vt:lpstr>
      <vt:lpstr>J.Banque!Impression_des_titres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mioraandria2503@outlook.fr</cp:lastModifiedBy>
  <dcterms:modified xsi:type="dcterms:W3CDTF">2026-10-04T09:38:07Z</dcterms:modified>
</cp:coreProperties>
</file>